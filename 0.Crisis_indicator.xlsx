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5600" windowHeight="7050" activeTab="2"/>
  </bookViews>
  <sheets>
    <sheet name="Readme" sheetId="5" r:id="rId1"/>
    <sheet name="Crisis" sheetId="13" r:id="rId2"/>
    <sheet name="Crisis_construction" sheetId="1" r:id="rId3"/>
    <sheet name="FX" sheetId="4" r:id="rId4"/>
    <sheet name="Babecky ·et al. (2012)" sheetId="2" r:id="rId5"/>
    <sheet name="Laeven and Valencia (2020)" sheetId="3" r:id="rId6"/>
    <sheet name="Baron and Dieckelmann (2022)" sheetId="14" r:id="rId7"/>
  </sheets>
  <externalReferences>
    <externalReference r:id="rId8"/>
  </externalReferences>
  <definedNames>
    <definedName name="_xlnm._FilterDatabase" localSheetId="6" hidden="1">'Baron and Dieckelmann (2022)'!$A$1:$N$408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92" i="1" l="1"/>
  <c r="C191" i="13" s="1"/>
  <c r="F192" i="1"/>
  <c r="B191" i="13" s="1"/>
  <c r="D192" i="1"/>
  <c r="B192" i="1"/>
  <c r="G191" i="1"/>
  <c r="D191" i="1"/>
  <c r="B191" i="1"/>
  <c r="F191" i="1" s="1"/>
  <c r="B190" i="13" s="1"/>
  <c r="G190" i="1"/>
  <c r="F190" i="1"/>
  <c r="D190" i="1"/>
  <c r="B190" i="1"/>
  <c r="D191" i="13"/>
  <c r="D190" i="13"/>
  <c r="C190" i="13"/>
  <c r="E32" i="4" l="1"/>
  <c r="D189" i="13" l="1"/>
  <c r="C189" i="13"/>
  <c r="B189" i="13"/>
  <c r="B30" i="13" l="1"/>
  <c r="E43" i="4" l="1"/>
  <c r="E6" i="4"/>
  <c r="D31" i="13" l="1"/>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2" i="13"/>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4" i="1" l="1"/>
  <c r="F4" i="1" s="1"/>
  <c r="B3" i="13" s="1"/>
  <c r="D5" i="1"/>
  <c r="F5" i="1" s="1"/>
  <c r="B4" i="13" s="1"/>
  <c r="D6" i="1"/>
  <c r="F6" i="1" s="1"/>
  <c r="B5" i="13" s="1"/>
  <c r="D7" i="1"/>
  <c r="F7" i="1" s="1"/>
  <c r="B6" i="13" s="1"/>
  <c r="D8" i="1"/>
  <c r="F8" i="1" s="1"/>
  <c r="B7" i="13" s="1"/>
  <c r="D9" i="1"/>
  <c r="F9" i="1" s="1"/>
  <c r="B8" i="13" s="1"/>
  <c r="D10" i="1"/>
  <c r="F10" i="1" s="1"/>
  <c r="B9" i="13" s="1"/>
  <c r="D11" i="1"/>
  <c r="F11" i="1" s="1"/>
  <c r="B10" i="13" s="1"/>
  <c r="D12" i="1"/>
  <c r="F12" i="1" s="1"/>
  <c r="B11" i="13" s="1"/>
  <c r="D13" i="1"/>
  <c r="F13" i="1" s="1"/>
  <c r="B12" i="13" s="1"/>
  <c r="D14" i="1"/>
  <c r="F14" i="1" s="1"/>
  <c r="B13" i="13" s="1"/>
  <c r="D15" i="1"/>
  <c r="F15" i="1" s="1"/>
  <c r="B14" i="13" s="1"/>
  <c r="D16" i="1"/>
  <c r="F16" i="1" s="1"/>
  <c r="B15" i="13" s="1"/>
  <c r="D17" i="1"/>
  <c r="F17" i="1" s="1"/>
  <c r="B16" i="13" s="1"/>
  <c r="D18" i="1"/>
  <c r="F18" i="1" s="1"/>
  <c r="B17" i="13" s="1"/>
  <c r="D19" i="1"/>
  <c r="F19" i="1" s="1"/>
  <c r="B18" i="13" s="1"/>
  <c r="D20" i="1"/>
  <c r="F20" i="1" s="1"/>
  <c r="B19" i="13" s="1"/>
  <c r="D21" i="1"/>
  <c r="F21" i="1" s="1"/>
  <c r="B20" i="13" s="1"/>
  <c r="D22" i="1"/>
  <c r="F22" i="1" s="1"/>
  <c r="B21" i="13" s="1"/>
  <c r="D23" i="1"/>
  <c r="F23" i="1" s="1"/>
  <c r="B22" i="13" s="1"/>
  <c r="D24" i="1"/>
  <c r="F24" i="1" s="1"/>
  <c r="B23" i="13" s="1"/>
  <c r="D25" i="1"/>
  <c r="F25" i="1" s="1"/>
  <c r="B24" i="13" s="1"/>
  <c r="D26" i="1"/>
  <c r="F26" i="1" s="1"/>
  <c r="B25" i="13" s="1"/>
  <c r="D27" i="1"/>
  <c r="F27" i="1" s="1"/>
  <c r="B26" i="13" s="1"/>
  <c r="D28" i="1"/>
  <c r="F28" i="1" s="1"/>
  <c r="B27" i="13" s="1"/>
  <c r="D29" i="1"/>
  <c r="F29" i="1" s="1"/>
  <c r="B28" i="13" s="1"/>
  <c r="D30" i="1"/>
  <c r="F30" i="1" s="1"/>
  <c r="B29" i="13" s="1"/>
  <c r="D31" i="1"/>
  <c r="F31" i="1" s="1"/>
  <c r="D32" i="1"/>
  <c r="F32" i="1" s="1"/>
  <c r="B31" i="13" s="1"/>
  <c r="D33" i="1"/>
  <c r="F33" i="1" s="1"/>
  <c r="B32" i="13" s="1"/>
  <c r="D34" i="1"/>
  <c r="F34" i="1" s="1"/>
  <c r="B33" i="13" s="1"/>
  <c r="D35" i="1"/>
  <c r="F35" i="1" s="1"/>
  <c r="B34" i="13" s="1"/>
  <c r="D36" i="1"/>
  <c r="F36" i="1" s="1"/>
  <c r="B35" i="13" s="1"/>
  <c r="D37" i="1"/>
  <c r="F37" i="1" s="1"/>
  <c r="B36" i="13" s="1"/>
  <c r="D38" i="1"/>
  <c r="F38" i="1" s="1"/>
  <c r="B37" i="13" s="1"/>
  <c r="D39" i="1"/>
  <c r="F39" i="1" s="1"/>
  <c r="B38" i="13" s="1"/>
  <c r="D40" i="1"/>
  <c r="F40" i="1" s="1"/>
  <c r="B39" i="13" s="1"/>
  <c r="D41" i="1"/>
  <c r="F41" i="1" s="1"/>
  <c r="B40" i="13" s="1"/>
  <c r="D42" i="1"/>
  <c r="F42" i="1" s="1"/>
  <c r="B41" i="13" s="1"/>
  <c r="D43" i="1"/>
  <c r="F43" i="1" s="1"/>
  <c r="B42" i="13" s="1"/>
  <c r="D44" i="1"/>
  <c r="F44" i="1" s="1"/>
  <c r="B43" i="13" s="1"/>
  <c r="D45" i="1"/>
  <c r="F45" i="1" s="1"/>
  <c r="B44" i="13" s="1"/>
  <c r="D46" i="1"/>
  <c r="F46" i="1" s="1"/>
  <c r="B45" i="13" s="1"/>
  <c r="D47" i="1"/>
  <c r="F47" i="1" s="1"/>
  <c r="B46" i="13" s="1"/>
  <c r="D48" i="1"/>
  <c r="F48" i="1" s="1"/>
  <c r="B47" i="13" s="1"/>
  <c r="D49" i="1"/>
  <c r="F49" i="1" s="1"/>
  <c r="B48" i="13" s="1"/>
  <c r="D50" i="1"/>
  <c r="F50" i="1" s="1"/>
  <c r="B49" i="13" s="1"/>
  <c r="D51" i="1"/>
  <c r="F51" i="1" s="1"/>
  <c r="B50" i="13" s="1"/>
  <c r="D52" i="1"/>
  <c r="F52" i="1" s="1"/>
  <c r="B51" i="13" s="1"/>
  <c r="D53" i="1"/>
  <c r="F53" i="1" s="1"/>
  <c r="B52" i="13" s="1"/>
  <c r="D54" i="1"/>
  <c r="F54" i="1" s="1"/>
  <c r="B53" i="13" s="1"/>
  <c r="D55" i="1"/>
  <c r="F55" i="1" s="1"/>
  <c r="B54" i="13" s="1"/>
  <c r="D56" i="1"/>
  <c r="F56" i="1" s="1"/>
  <c r="B55" i="13" s="1"/>
  <c r="D57" i="1"/>
  <c r="F57" i="1" s="1"/>
  <c r="B56" i="13" s="1"/>
  <c r="D58" i="1"/>
  <c r="F58" i="1" s="1"/>
  <c r="B57" i="13" s="1"/>
  <c r="D59" i="1"/>
  <c r="F59" i="1" s="1"/>
  <c r="B58" i="13" s="1"/>
  <c r="D60" i="1"/>
  <c r="F60" i="1" s="1"/>
  <c r="B59" i="13" s="1"/>
  <c r="D61" i="1"/>
  <c r="F61" i="1" s="1"/>
  <c r="B60" i="13" s="1"/>
  <c r="D62" i="1"/>
  <c r="F62" i="1" s="1"/>
  <c r="B61" i="13" s="1"/>
  <c r="D63" i="1"/>
  <c r="F63" i="1" s="1"/>
  <c r="B62" i="13" s="1"/>
  <c r="D64" i="1"/>
  <c r="F64" i="1" s="1"/>
  <c r="B63" i="13" s="1"/>
  <c r="D65" i="1"/>
  <c r="F65" i="1" s="1"/>
  <c r="B64" i="13" s="1"/>
  <c r="D66" i="1"/>
  <c r="F66" i="1" s="1"/>
  <c r="B65" i="13" s="1"/>
  <c r="D67" i="1"/>
  <c r="F67" i="1" s="1"/>
  <c r="B66" i="13" s="1"/>
  <c r="D68" i="1"/>
  <c r="F68" i="1" s="1"/>
  <c r="B67" i="13" s="1"/>
  <c r="D69" i="1"/>
  <c r="F69" i="1" s="1"/>
  <c r="B68" i="13" s="1"/>
  <c r="D70" i="1"/>
  <c r="F70" i="1" s="1"/>
  <c r="B69" i="13" s="1"/>
  <c r="D71" i="1"/>
  <c r="F71" i="1" s="1"/>
  <c r="B70" i="13" s="1"/>
  <c r="D72" i="1"/>
  <c r="F72" i="1" s="1"/>
  <c r="B71" i="13" s="1"/>
  <c r="D73" i="1"/>
  <c r="F73" i="1" s="1"/>
  <c r="B72" i="13" s="1"/>
  <c r="D74" i="1"/>
  <c r="F74" i="1" s="1"/>
  <c r="B73" i="13" s="1"/>
  <c r="D75" i="1"/>
  <c r="F75" i="1" s="1"/>
  <c r="B74" i="13" s="1"/>
  <c r="D76" i="1"/>
  <c r="F76" i="1" s="1"/>
  <c r="B75" i="13" s="1"/>
  <c r="D77" i="1"/>
  <c r="F77" i="1" s="1"/>
  <c r="B76" i="13" s="1"/>
  <c r="D78" i="1"/>
  <c r="F78" i="1" s="1"/>
  <c r="B77" i="13" s="1"/>
  <c r="D79" i="1"/>
  <c r="F79" i="1" s="1"/>
  <c r="B78" i="13" s="1"/>
  <c r="D80" i="1"/>
  <c r="F80" i="1" s="1"/>
  <c r="B79" i="13" s="1"/>
  <c r="D81" i="1"/>
  <c r="F81" i="1" s="1"/>
  <c r="B80" i="13" s="1"/>
  <c r="D82" i="1"/>
  <c r="F82" i="1" s="1"/>
  <c r="B81" i="13" s="1"/>
  <c r="D83" i="1"/>
  <c r="F83" i="1" s="1"/>
  <c r="B82" i="13" s="1"/>
  <c r="D84" i="1"/>
  <c r="F84" i="1" s="1"/>
  <c r="B83" i="13" s="1"/>
  <c r="D85" i="1"/>
  <c r="F85" i="1" s="1"/>
  <c r="B84" i="13" s="1"/>
  <c r="D86" i="1"/>
  <c r="F86" i="1" s="1"/>
  <c r="B85" i="13" s="1"/>
  <c r="D87" i="1"/>
  <c r="F87" i="1" s="1"/>
  <c r="B86" i="13" s="1"/>
  <c r="D88" i="1"/>
  <c r="F88" i="1" s="1"/>
  <c r="B87" i="13" s="1"/>
  <c r="D89" i="1"/>
  <c r="F89" i="1" s="1"/>
  <c r="B88" i="13" s="1"/>
  <c r="D90" i="1"/>
  <c r="F90" i="1" s="1"/>
  <c r="B89" i="13" s="1"/>
  <c r="D91" i="1"/>
  <c r="F91" i="1" s="1"/>
  <c r="B90" i="13" s="1"/>
  <c r="D92" i="1"/>
  <c r="F92" i="1" s="1"/>
  <c r="B91" i="13" s="1"/>
  <c r="D93" i="1"/>
  <c r="F93" i="1" s="1"/>
  <c r="B92" i="13" s="1"/>
  <c r="D94" i="1"/>
  <c r="F94" i="1" s="1"/>
  <c r="B93" i="13" s="1"/>
  <c r="D95" i="1"/>
  <c r="F95" i="1" s="1"/>
  <c r="B94" i="13" s="1"/>
  <c r="D96" i="1"/>
  <c r="F96" i="1" s="1"/>
  <c r="B95" i="13" s="1"/>
  <c r="D97" i="1"/>
  <c r="F97" i="1" s="1"/>
  <c r="B96" i="13" s="1"/>
  <c r="D98" i="1"/>
  <c r="F98" i="1" s="1"/>
  <c r="B97" i="13" s="1"/>
  <c r="D99" i="1"/>
  <c r="F99" i="1" s="1"/>
  <c r="B98" i="13" s="1"/>
  <c r="D100" i="1"/>
  <c r="F100" i="1" s="1"/>
  <c r="B99" i="13" s="1"/>
  <c r="D101" i="1"/>
  <c r="F101" i="1" s="1"/>
  <c r="B100" i="13" s="1"/>
  <c r="D102" i="1"/>
  <c r="F102" i="1" s="1"/>
  <c r="B101" i="13" s="1"/>
  <c r="D103" i="1"/>
  <c r="F103" i="1" s="1"/>
  <c r="B102" i="13" s="1"/>
  <c r="D104" i="1"/>
  <c r="F104" i="1" s="1"/>
  <c r="B103" i="13" s="1"/>
  <c r="D105" i="1"/>
  <c r="F105" i="1" s="1"/>
  <c r="B104" i="13" s="1"/>
  <c r="D106" i="1"/>
  <c r="F106" i="1" s="1"/>
  <c r="B105" i="13" s="1"/>
  <c r="D107" i="1"/>
  <c r="F107" i="1" s="1"/>
  <c r="B106" i="13" s="1"/>
  <c r="D108" i="1"/>
  <c r="F108" i="1" s="1"/>
  <c r="B107" i="13" s="1"/>
  <c r="D109" i="1"/>
  <c r="F109" i="1" s="1"/>
  <c r="B108" i="13" s="1"/>
  <c r="D110" i="1"/>
  <c r="F110" i="1" s="1"/>
  <c r="B109" i="13" s="1"/>
  <c r="D111" i="1"/>
  <c r="F111" i="1" s="1"/>
  <c r="B110" i="13" s="1"/>
  <c r="D112" i="1"/>
  <c r="F112" i="1" s="1"/>
  <c r="B111" i="13" s="1"/>
  <c r="D113" i="1"/>
  <c r="F113" i="1" s="1"/>
  <c r="B112" i="13" s="1"/>
  <c r="D114" i="1"/>
  <c r="F114" i="1" s="1"/>
  <c r="B113" i="13" s="1"/>
  <c r="D115" i="1"/>
  <c r="F115" i="1" s="1"/>
  <c r="B114" i="13" s="1"/>
  <c r="D116" i="1"/>
  <c r="F116" i="1" s="1"/>
  <c r="B115" i="13" s="1"/>
  <c r="D117" i="1"/>
  <c r="F117" i="1" s="1"/>
  <c r="B116" i="13" s="1"/>
  <c r="D118" i="1"/>
  <c r="F118" i="1" s="1"/>
  <c r="B117" i="13" s="1"/>
  <c r="D119" i="1"/>
  <c r="F119" i="1" s="1"/>
  <c r="B118" i="13" s="1"/>
  <c r="D120" i="1"/>
  <c r="F120" i="1" s="1"/>
  <c r="B119" i="13" s="1"/>
  <c r="D121" i="1"/>
  <c r="F121" i="1" s="1"/>
  <c r="B120" i="13" s="1"/>
  <c r="D122" i="1"/>
  <c r="F122" i="1" s="1"/>
  <c r="B121" i="13" s="1"/>
  <c r="D123" i="1"/>
  <c r="F123" i="1" s="1"/>
  <c r="B122" i="13" s="1"/>
  <c r="D124" i="1"/>
  <c r="F124" i="1" s="1"/>
  <c r="B123" i="13" s="1"/>
  <c r="D125" i="1"/>
  <c r="F125" i="1" s="1"/>
  <c r="B124" i="13" s="1"/>
  <c r="D126" i="1"/>
  <c r="F126" i="1" s="1"/>
  <c r="B125" i="13" s="1"/>
  <c r="D127" i="1"/>
  <c r="F127" i="1" s="1"/>
  <c r="B126" i="13" s="1"/>
  <c r="D128" i="1"/>
  <c r="F128" i="1" s="1"/>
  <c r="B127" i="13" s="1"/>
  <c r="D129" i="1"/>
  <c r="F129" i="1" s="1"/>
  <c r="B128" i="13" s="1"/>
  <c r="D130" i="1"/>
  <c r="F130" i="1" s="1"/>
  <c r="B129" i="13" s="1"/>
  <c r="D131" i="1"/>
  <c r="F131" i="1" s="1"/>
  <c r="B130" i="13" s="1"/>
  <c r="D132" i="1"/>
  <c r="F132" i="1" s="1"/>
  <c r="B131" i="13" s="1"/>
  <c r="D133" i="1"/>
  <c r="F133" i="1" s="1"/>
  <c r="B132" i="13" s="1"/>
  <c r="D134" i="1"/>
  <c r="F134" i="1" s="1"/>
  <c r="B133" i="13" s="1"/>
  <c r="D135" i="1"/>
  <c r="F135" i="1" s="1"/>
  <c r="B134" i="13" s="1"/>
  <c r="D136" i="1"/>
  <c r="F136" i="1" s="1"/>
  <c r="B135" i="13" s="1"/>
  <c r="D137" i="1"/>
  <c r="F137" i="1" s="1"/>
  <c r="B136" i="13" s="1"/>
  <c r="D138" i="1"/>
  <c r="F138" i="1" s="1"/>
  <c r="B137" i="13" s="1"/>
  <c r="D139" i="1"/>
  <c r="F139" i="1" s="1"/>
  <c r="B138" i="13" s="1"/>
  <c r="D140" i="1"/>
  <c r="F140" i="1" s="1"/>
  <c r="B139" i="13" s="1"/>
  <c r="D141" i="1"/>
  <c r="F141" i="1" s="1"/>
  <c r="B140" i="13" s="1"/>
  <c r="D142" i="1"/>
  <c r="F142" i="1" s="1"/>
  <c r="B141" i="13" s="1"/>
  <c r="D143" i="1"/>
  <c r="F143" i="1" s="1"/>
  <c r="B142" i="13" s="1"/>
  <c r="D144" i="1"/>
  <c r="F144" i="1" s="1"/>
  <c r="B143" i="13" s="1"/>
  <c r="D145" i="1"/>
  <c r="F145" i="1" s="1"/>
  <c r="B144" i="13" s="1"/>
  <c r="D146" i="1"/>
  <c r="F146" i="1" s="1"/>
  <c r="B145" i="13" s="1"/>
  <c r="D147" i="1"/>
  <c r="F147" i="1" s="1"/>
  <c r="B146" i="13" s="1"/>
  <c r="D148" i="1"/>
  <c r="F148" i="1" s="1"/>
  <c r="B147" i="13" s="1"/>
  <c r="D149" i="1"/>
  <c r="F149" i="1" s="1"/>
  <c r="B148" i="13" s="1"/>
  <c r="D150" i="1"/>
  <c r="F150" i="1" s="1"/>
  <c r="B149" i="13" s="1"/>
  <c r="D151" i="1"/>
  <c r="F151" i="1" s="1"/>
  <c r="B150" i="13" s="1"/>
  <c r="D152" i="1"/>
  <c r="F152" i="1" s="1"/>
  <c r="B151" i="13" s="1"/>
  <c r="D153" i="1"/>
  <c r="F153" i="1" s="1"/>
  <c r="B152" i="13" s="1"/>
  <c r="D154" i="1"/>
  <c r="F154" i="1" s="1"/>
  <c r="B153" i="13" s="1"/>
  <c r="D155" i="1"/>
  <c r="F155" i="1" s="1"/>
  <c r="B154" i="13" s="1"/>
  <c r="D156" i="1"/>
  <c r="F156" i="1" s="1"/>
  <c r="B155" i="13" s="1"/>
  <c r="D157" i="1"/>
  <c r="F157" i="1" s="1"/>
  <c r="B156" i="13" s="1"/>
  <c r="D158" i="1"/>
  <c r="F158" i="1" s="1"/>
  <c r="B157" i="13" s="1"/>
  <c r="D159" i="1"/>
  <c r="F159" i="1" s="1"/>
  <c r="B158" i="13" s="1"/>
  <c r="D160" i="1"/>
  <c r="F160" i="1" s="1"/>
  <c r="B159" i="13" s="1"/>
  <c r="D161" i="1"/>
  <c r="F161" i="1" s="1"/>
  <c r="B160" i="13" s="1"/>
  <c r="D162" i="1"/>
  <c r="F162" i="1" s="1"/>
  <c r="B161" i="13" s="1"/>
  <c r="D163" i="1"/>
  <c r="F163" i="1" s="1"/>
  <c r="B162" i="13" s="1"/>
  <c r="D164" i="1"/>
  <c r="F164" i="1" s="1"/>
  <c r="B163" i="13" s="1"/>
  <c r="D165" i="1"/>
  <c r="F165" i="1" s="1"/>
  <c r="B164" i="13" s="1"/>
  <c r="D166" i="1"/>
  <c r="F166" i="1" s="1"/>
  <c r="B165" i="13" s="1"/>
  <c r="D167" i="1"/>
  <c r="F167" i="1" s="1"/>
  <c r="B166" i="13" s="1"/>
  <c r="D168" i="1"/>
  <c r="F168" i="1" s="1"/>
  <c r="B167" i="13" s="1"/>
  <c r="D169" i="1"/>
  <c r="F169" i="1" s="1"/>
  <c r="B168" i="13" s="1"/>
  <c r="D170" i="1"/>
  <c r="F170" i="1" s="1"/>
  <c r="B169" i="13" s="1"/>
  <c r="D171" i="1"/>
  <c r="F171" i="1" s="1"/>
  <c r="B170" i="13" s="1"/>
  <c r="D172" i="1"/>
  <c r="F172" i="1" s="1"/>
  <c r="B171" i="13" s="1"/>
  <c r="D173" i="1"/>
  <c r="F173" i="1" s="1"/>
  <c r="B172" i="13" s="1"/>
  <c r="D174" i="1"/>
  <c r="F174" i="1" s="1"/>
  <c r="B173" i="13" s="1"/>
  <c r="D175" i="1"/>
  <c r="F175" i="1" s="1"/>
  <c r="B174" i="13" s="1"/>
  <c r="D176" i="1"/>
  <c r="F176" i="1" s="1"/>
  <c r="B175" i="13" s="1"/>
  <c r="D177" i="1"/>
  <c r="F177" i="1" s="1"/>
  <c r="B176" i="13" s="1"/>
  <c r="D178" i="1"/>
  <c r="F178" i="1" s="1"/>
  <c r="B177" i="13" s="1"/>
  <c r="D179" i="1"/>
  <c r="F179" i="1" s="1"/>
  <c r="B178" i="13" s="1"/>
  <c r="D180" i="1"/>
  <c r="F180" i="1" s="1"/>
  <c r="B179" i="13" s="1"/>
  <c r="D181" i="1"/>
  <c r="F181" i="1" s="1"/>
  <c r="B180" i="13" s="1"/>
  <c r="D182" i="1"/>
  <c r="F182" i="1" s="1"/>
  <c r="B181" i="13" s="1"/>
  <c r="D183" i="1"/>
  <c r="F183" i="1" s="1"/>
  <c r="B182" i="13" s="1"/>
  <c r="D184" i="1"/>
  <c r="F184" i="1" s="1"/>
  <c r="B183" i="13" s="1"/>
  <c r="D185" i="1"/>
  <c r="F185" i="1" s="1"/>
  <c r="B184" i="13" s="1"/>
  <c r="D186" i="1"/>
  <c r="F186" i="1" s="1"/>
  <c r="B185" i="13" s="1"/>
  <c r="D187" i="1"/>
  <c r="F187" i="1" s="1"/>
  <c r="B186" i="13" s="1"/>
  <c r="D188" i="1"/>
  <c r="F188" i="1" s="1"/>
  <c r="B187" i="13" s="1"/>
  <c r="D189" i="1"/>
  <c r="F189" i="1" s="1"/>
  <c r="B188" i="13" s="1"/>
  <c r="D3" i="1"/>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2" i="4"/>
  <c r="E41" i="4"/>
  <c r="E40" i="4"/>
  <c r="E39" i="4"/>
  <c r="E38" i="4"/>
  <c r="E37" i="4"/>
  <c r="E36" i="4"/>
  <c r="E35" i="4"/>
  <c r="E34" i="4"/>
  <c r="E33" i="4"/>
  <c r="E31" i="4"/>
  <c r="E30" i="4"/>
  <c r="E29" i="4"/>
  <c r="E28" i="4"/>
  <c r="E27" i="4"/>
  <c r="E26" i="4"/>
  <c r="E25" i="4"/>
  <c r="E24" i="4"/>
  <c r="E23" i="4"/>
  <c r="E22" i="4"/>
  <c r="E21" i="4"/>
  <c r="E20" i="4"/>
  <c r="E19" i="4"/>
  <c r="E18" i="4"/>
  <c r="E17" i="4"/>
  <c r="E16" i="4"/>
  <c r="E15" i="4"/>
  <c r="E14" i="4"/>
  <c r="E13" i="4"/>
  <c r="E12" i="4"/>
  <c r="E11" i="4"/>
  <c r="E10" i="4"/>
  <c r="E9" i="4"/>
  <c r="E8" i="4"/>
  <c r="E7" i="4"/>
  <c r="B189" i="1"/>
  <c r="B188" i="1"/>
  <c r="B187" i="1"/>
  <c r="B186" i="1"/>
  <c r="G186" i="1" s="1"/>
  <c r="B185" i="1"/>
  <c r="B184" i="1"/>
  <c r="G184" i="1" s="1"/>
  <c r="B183" i="1"/>
  <c r="G183" i="1" s="1"/>
  <c r="B182" i="1"/>
  <c r="G182" i="1" s="1"/>
  <c r="B181" i="1"/>
  <c r="B180" i="1"/>
  <c r="B179" i="1"/>
  <c r="B178" i="1"/>
  <c r="G178" i="1" s="1"/>
  <c r="B177" i="1"/>
  <c r="B176" i="1"/>
  <c r="G176" i="1" s="1"/>
  <c r="B175" i="1"/>
  <c r="G175" i="1" s="1"/>
  <c r="B174" i="1"/>
  <c r="G174" i="1" s="1"/>
  <c r="B173" i="1"/>
  <c r="B172" i="1"/>
  <c r="B171" i="1"/>
  <c r="B170" i="1"/>
  <c r="G170" i="1" s="1"/>
  <c r="B169" i="1"/>
  <c r="B168" i="1"/>
  <c r="G168" i="1" s="1"/>
  <c r="B167" i="1"/>
  <c r="G167" i="1" s="1"/>
  <c r="B166" i="1"/>
  <c r="G166" i="1" s="1"/>
  <c r="B165" i="1"/>
  <c r="B164" i="1"/>
  <c r="B163" i="1"/>
  <c r="B162" i="1"/>
  <c r="G162" i="1" s="1"/>
  <c r="B161" i="1"/>
  <c r="B160" i="1"/>
  <c r="G160" i="1" s="1"/>
  <c r="B159" i="1"/>
  <c r="G159" i="1" s="1"/>
  <c r="B158" i="1"/>
  <c r="G158" i="1" s="1"/>
  <c r="B157" i="1"/>
  <c r="G157" i="1" s="1"/>
  <c r="B156" i="1"/>
  <c r="B155" i="1"/>
  <c r="B154" i="1"/>
  <c r="G154" i="1" s="1"/>
  <c r="B153" i="1"/>
  <c r="B152" i="1"/>
  <c r="G152" i="1" s="1"/>
  <c r="B151" i="1"/>
  <c r="G151" i="1" s="1"/>
  <c r="B150" i="1"/>
  <c r="G150" i="1" s="1"/>
  <c r="B149" i="1"/>
  <c r="G149" i="1" s="1"/>
  <c r="B148" i="1"/>
  <c r="B147" i="1"/>
  <c r="B146" i="1"/>
  <c r="G146" i="1" s="1"/>
  <c r="B145" i="1"/>
  <c r="B144" i="1"/>
  <c r="G144" i="1" s="1"/>
  <c r="B143" i="1"/>
  <c r="G143" i="1" s="1"/>
  <c r="B142" i="1"/>
  <c r="G142" i="1" s="1"/>
  <c r="B141" i="1"/>
  <c r="G141" i="1" s="1"/>
  <c r="B140" i="1"/>
  <c r="B139" i="1"/>
  <c r="B138" i="1"/>
  <c r="G138" i="1" s="1"/>
  <c r="B137" i="1"/>
  <c r="B136" i="1"/>
  <c r="G136" i="1" s="1"/>
  <c r="B135" i="1"/>
  <c r="G135" i="1" s="1"/>
  <c r="B134" i="1"/>
  <c r="G134" i="1" s="1"/>
  <c r="B133" i="1"/>
  <c r="G133" i="1" s="1"/>
  <c r="B132" i="1"/>
  <c r="B131" i="1"/>
  <c r="B130" i="1"/>
  <c r="G130" i="1" s="1"/>
  <c r="B129" i="1"/>
  <c r="B128" i="1"/>
  <c r="G128" i="1" s="1"/>
  <c r="B127" i="1"/>
  <c r="G127" i="1" s="1"/>
  <c r="B126" i="1"/>
  <c r="G126" i="1" s="1"/>
  <c r="B125" i="1"/>
  <c r="G125" i="1" s="1"/>
  <c r="B124" i="1"/>
  <c r="B123" i="1"/>
  <c r="B122" i="1"/>
  <c r="G122" i="1" s="1"/>
  <c r="B121" i="1"/>
  <c r="B120" i="1"/>
  <c r="G120" i="1" s="1"/>
  <c r="B119" i="1"/>
  <c r="G119" i="1" s="1"/>
  <c r="B118" i="1"/>
  <c r="G118" i="1" s="1"/>
  <c r="B117" i="1"/>
  <c r="G117" i="1" s="1"/>
  <c r="B116" i="1"/>
  <c r="B115" i="1"/>
  <c r="B114" i="1"/>
  <c r="G114" i="1" s="1"/>
  <c r="B113" i="1"/>
  <c r="B112" i="1"/>
  <c r="G112" i="1" s="1"/>
  <c r="B111" i="1"/>
  <c r="G111" i="1" s="1"/>
  <c r="B110" i="1"/>
  <c r="G110" i="1" s="1"/>
  <c r="B109" i="1"/>
  <c r="G109" i="1" s="1"/>
  <c r="B108" i="1"/>
  <c r="B107" i="1"/>
  <c r="B106" i="1"/>
  <c r="G106" i="1" s="1"/>
  <c r="B105" i="1"/>
  <c r="B104" i="1"/>
  <c r="G104" i="1" s="1"/>
  <c r="B103" i="1"/>
  <c r="G103" i="1" s="1"/>
  <c r="B102" i="1"/>
  <c r="G102" i="1" s="1"/>
  <c r="B101" i="1"/>
  <c r="G101" i="1" s="1"/>
  <c r="B100" i="1"/>
  <c r="B99" i="1"/>
  <c r="B98" i="1"/>
  <c r="G98" i="1" s="1"/>
  <c r="B97" i="1"/>
  <c r="B96" i="1"/>
  <c r="G96" i="1" s="1"/>
  <c r="B95" i="1"/>
  <c r="G95" i="1" s="1"/>
  <c r="B94" i="1"/>
  <c r="G94" i="1" s="1"/>
  <c r="B93" i="1"/>
  <c r="G93" i="1" s="1"/>
  <c r="B92" i="1"/>
  <c r="B91" i="1"/>
  <c r="B90" i="1"/>
  <c r="G90" i="1" s="1"/>
  <c r="B89" i="1"/>
  <c r="B88" i="1"/>
  <c r="G88" i="1" s="1"/>
  <c r="B87" i="1"/>
  <c r="G87" i="1" s="1"/>
  <c r="B86" i="1"/>
  <c r="G86" i="1" s="1"/>
  <c r="B85" i="1"/>
  <c r="G85" i="1" s="1"/>
  <c r="B84" i="1"/>
  <c r="B83" i="1"/>
  <c r="B82" i="1"/>
  <c r="G82" i="1" s="1"/>
  <c r="B81" i="1"/>
  <c r="B80" i="1"/>
  <c r="G80" i="1" s="1"/>
  <c r="B79" i="1"/>
  <c r="G79" i="1" s="1"/>
  <c r="B78" i="1"/>
  <c r="G78" i="1" s="1"/>
  <c r="B77" i="1"/>
  <c r="G77" i="1" s="1"/>
  <c r="B76" i="1"/>
  <c r="B75" i="1"/>
  <c r="B74" i="1"/>
  <c r="G74" i="1" s="1"/>
  <c r="B73" i="1"/>
  <c r="B72" i="1"/>
  <c r="G72" i="1" s="1"/>
  <c r="B71" i="1"/>
  <c r="G71" i="1" s="1"/>
  <c r="B70" i="1"/>
  <c r="G70" i="1" s="1"/>
  <c r="B69" i="1"/>
  <c r="G69" i="1" s="1"/>
  <c r="B68" i="1"/>
  <c r="B67" i="1"/>
  <c r="B66" i="1"/>
  <c r="G66" i="1" s="1"/>
  <c r="B65" i="1"/>
  <c r="B64" i="1"/>
  <c r="G64" i="1" s="1"/>
  <c r="B63" i="1"/>
  <c r="G63" i="1" s="1"/>
  <c r="B62" i="1"/>
  <c r="G62" i="1" s="1"/>
  <c r="B61" i="1"/>
  <c r="G61" i="1" s="1"/>
  <c r="B60" i="1"/>
  <c r="B59" i="1"/>
  <c r="B58" i="1"/>
  <c r="G58" i="1" s="1"/>
  <c r="B57" i="1"/>
  <c r="B56" i="1"/>
  <c r="G56" i="1" s="1"/>
  <c r="B55" i="1"/>
  <c r="G55" i="1" s="1"/>
  <c r="B54" i="1"/>
  <c r="G54" i="1" s="1"/>
  <c r="B53" i="1"/>
  <c r="G53" i="1" s="1"/>
  <c r="B52" i="1"/>
  <c r="B51" i="1"/>
  <c r="B50" i="1"/>
  <c r="G50" i="1" s="1"/>
  <c r="B49" i="1"/>
  <c r="B48" i="1"/>
  <c r="G48" i="1" s="1"/>
  <c r="B47" i="1"/>
  <c r="G47" i="1" s="1"/>
  <c r="B46" i="1"/>
  <c r="G46" i="1" s="1"/>
  <c r="B45" i="1"/>
  <c r="G45" i="1" s="1"/>
  <c r="B44" i="1"/>
  <c r="B43" i="1"/>
  <c r="B42" i="1"/>
  <c r="G42" i="1" s="1"/>
  <c r="B41" i="1"/>
  <c r="B40" i="1"/>
  <c r="G40" i="1" s="1"/>
  <c r="B39" i="1"/>
  <c r="G39" i="1" s="1"/>
  <c r="B38" i="1"/>
  <c r="G38" i="1" s="1"/>
  <c r="B37" i="1"/>
  <c r="G37" i="1" s="1"/>
  <c r="B36" i="1"/>
  <c r="B35" i="1"/>
  <c r="B34" i="1"/>
  <c r="G34" i="1" s="1"/>
  <c r="B33" i="1"/>
  <c r="B32" i="1"/>
  <c r="B31" i="1"/>
  <c r="G31" i="1" s="1"/>
  <c r="B30" i="1"/>
  <c r="G30" i="1" s="1"/>
  <c r="B29" i="1"/>
  <c r="G29" i="1" s="1"/>
  <c r="B28" i="1"/>
  <c r="B27" i="1"/>
  <c r="B26" i="1"/>
  <c r="G26" i="1" s="1"/>
  <c r="B25" i="1"/>
  <c r="B24" i="1"/>
  <c r="G24" i="1" s="1"/>
  <c r="B23" i="1"/>
  <c r="G23" i="1" s="1"/>
  <c r="B22" i="1"/>
  <c r="G22" i="1" s="1"/>
  <c r="B21" i="1"/>
  <c r="G21" i="1" s="1"/>
  <c r="B20" i="1"/>
  <c r="B19" i="1"/>
  <c r="B18" i="1"/>
  <c r="G18" i="1" s="1"/>
  <c r="B17" i="1"/>
  <c r="B16" i="1"/>
  <c r="G16" i="1" s="1"/>
  <c r="B15" i="1"/>
  <c r="G15" i="1" s="1"/>
  <c r="B14" i="1"/>
  <c r="G14" i="1" s="1"/>
  <c r="B13" i="1"/>
  <c r="G13" i="1" s="1"/>
  <c r="B12" i="1"/>
  <c r="B11" i="1"/>
  <c r="B10" i="1"/>
  <c r="G10" i="1" s="1"/>
  <c r="B9" i="1"/>
  <c r="B8" i="1"/>
  <c r="G8" i="1" s="1"/>
  <c r="B7" i="1"/>
  <c r="G7" i="1" s="1"/>
  <c r="B6" i="1"/>
  <c r="G6" i="1" s="1"/>
  <c r="B5" i="1"/>
  <c r="G5" i="1" s="1"/>
  <c r="B4" i="1"/>
  <c r="G4" i="1" s="1"/>
  <c r="B3" i="1"/>
  <c r="G32" i="1" l="1"/>
  <c r="G165" i="1"/>
  <c r="G173" i="1"/>
  <c r="G181" i="1"/>
  <c r="G189" i="1"/>
  <c r="F3" i="1"/>
  <c r="B2" i="13" s="1"/>
  <c r="G3" i="1"/>
  <c r="C2" i="13" s="1"/>
  <c r="G25" i="1"/>
  <c r="G57" i="1"/>
  <c r="G97" i="1"/>
  <c r="G129" i="1"/>
  <c r="G161" i="1"/>
  <c r="G185" i="1"/>
  <c r="G9" i="1"/>
  <c r="G33" i="1"/>
  <c r="G73" i="1"/>
  <c r="G105" i="1"/>
  <c r="G153" i="1"/>
  <c r="G41" i="1"/>
  <c r="G65" i="1"/>
  <c r="G81" i="1"/>
  <c r="G113" i="1"/>
  <c r="G137" i="1"/>
  <c r="G169" i="1"/>
  <c r="G11" i="1"/>
  <c r="C10" i="13" s="1"/>
  <c r="G19" i="1"/>
  <c r="G27" i="1"/>
  <c r="G35" i="1"/>
  <c r="G43" i="1"/>
  <c r="G51" i="1"/>
  <c r="G59" i="1"/>
  <c r="C58" i="13" s="1"/>
  <c r="G67" i="1"/>
  <c r="G75" i="1"/>
  <c r="C74" i="13" s="1"/>
  <c r="G83" i="1"/>
  <c r="C82" i="13" s="1"/>
  <c r="G91" i="1"/>
  <c r="G99" i="1"/>
  <c r="G107" i="1"/>
  <c r="G115" i="1"/>
  <c r="C114" i="13" s="1"/>
  <c r="G123" i="1"/>
  <c r="C122" i="13" s="1"/>
  <c r="G131" i="1"/>
  <c r="G139" i="1"/>
  <c r="C138" i="13" s="1"/>
  <c r="G147" i="1"/>
  <c r="G155" i="1"/>
  <c r="G163" i="1"/>
  <c r="C162" i="13" s="1"/>
  <c r="G171" i="1"/>
  <c r="C170" i="13" s="1"/>
  <c r="G179" i="1"/>
  <c r="G187" i="1"/>
  <c r="C186" i="13" s="1"/>
  <c r="G17" i="1"/>
  <c r="G49" i="1"/>
  <c r="G89" i="1"/>
  <c r="G121" i="1"/>
  <c r="G145" i="1"/>
  <c r="G177" i="1"/>
  <c r="G12" i="1"/>
  <c r="C11" i="13" s="1"/>
  <c r="G20" i="1"/>
  <c r="C19" i="13" s="1"/>
  <c r="G28" i="1"/>
  <c r="G36" i="1"/>
  <c r="C35" i="13" s="1"/>
  <c r="G44" i="1"/>
  <c r="G52" i="1"/>
  <c r="C51" i="13" s="1"/>
  <c r="G60" i="1"/>
  <c r="G68" i="1"/>
  <c r="C67" i="13" s="1"/>
  <c r="G76" i="1"/>
  <c r="C75" i="13" s="1"/>
  <c r="G84" i="1"/>
  <c r="C83" i="13" s="1"/>
  <c r="G92" i="1"/>
  <c r="C91" i="13" s="1"/>
  <c r="G100" i="1"/>
  <c r="C99" i="13" s="1"/>
  <c r="G108" i="1"/>
  <c r="G116" i="1"/>
  <c r="C115" i="13" s="1"/>
  <c r="G124" i="1"/>
  <c r="G132" i="1"/>
  <c r="C131" i="13" s="1"/>
  <c r="G140" i="1"/>
  <c r="C139" i="13" s="1"/>
  <c r="G148" i="1"/>
  <c r="G156" i="1"/>
  <c r="C155" i="13" s="1"/>
  <c r="G164" i="1"/>
  <c r="C163" i="13" s="1"/>
  <c r="G172" i="1"/>
  <c r="C171" i="13" s="1"/>
  <c r="G180" i="1"/>
  <c r="G188" i="1"/>
  <c r="C161" i="13"/>
  <c r="C26" i="13"/>
  <c r="C42" i="13"/>
  <c r="C9" i="13"/>
  <c r="C41" i="13"/>
  <c r="C49" i="13"/>
  <c r="C105" i="13"/>
  <c r="C169" i="13"/>
  <c r="C3" i="13"/>
  <c r="C7" i="13"/>
  <c r="C34" i="13"/>
  <c r="C98" i="13"/>
  <c r="C187" i="13"/>
  <c r="C25" i="13"/>
  <c r="C81" i="13"/>
  <c r="C43" i="13"/>
  <c r="C123" i="13"/>
  <c r="C179" i="13"/>
  <c r="C33" i="13"/>
  <c r="C73" i="13"/>
  <c r="C59" i="13"/>
  <c r="C17" i="13"/>
  <c r="C89" i="13"/>
  <c r="C15" i="13"/>
  <c r="C23" i="13"/>
  <c r="C31" i="13"/>
  <c r="C47" i="13"/>
  <c r="C55" i="13"/>
  <c r="C63" i="13"/>
  <c r="C97" i="13"/>
  <c r="C90" i="13"/>
  <c r="C27" i="13"/>
  <c r="C107" i="13"/>
  <c r="C147" i="13"/>
  <c r="C39" i="13"/>
  <c r="J142" i="3"/>
  <c r="E142" i="3"/>
  <c r="E130" i="3"/>
  <c r="J126" i="3"/>
  <c r="E125" i="3"/>
  <c r="J124" i="3"/>
  <c r="E124" i="3"/>
  <c r="J118" i="3"/>
  <c r="J115" i="3"/>
  <c r="E115" i="3"/>
  <c r="J107" i="3"/>
  <c r="J102" i="3"/>
  <c r="E102" i="3"/>
  <c r="J98" i="3"/>
  <c r="E98" i="3"/>
  <c r="J97" i="3"/>
  <c r="E97" i="3"/>
  <c r="J89" i="3"/>
  <c r="E89" i="3"/>
  <c r="J85" i="3"/>
  <c r="E85" i="3"/>
  <c r="J78" i="3"/>
  <c r="J74" i="3"/>
  <c r="E74" i="3"/>
  <c r="J72" i="3"/>
  <c r="E72" i="3"/>
  <c r="J68" i="3"/>
  <c r="E68" i="3"/>
  <c r="J60" i="3"/>
  <c r="E60" i="3"/>
  <c r="J58" i="3"/>
  <c r="E58" i="3"/>
  <c r="J56" i="3"/>
  <c r="E56" i="3"/>
  <c r="J45" i="3"/>
  <c r="E45" i="3"/>
  <c r="J44" i="3"/>
  <c r="E44" i="3"/>
  <c r="J13" i="3"/>
  <c r="E13" i="3"/>
  <c r="J9" i="3"/>
  <c r="E9" i="3"/>
  <c r="C153" i="13" l="1"/>
  <c r="C121" i="13"/>
  <c r="C130" i="13"/>
  <c r="C177" i="13"/>
  <c r="C137" i="13"/>
  <c r="C178" i="13"/>
  <c r="C129" i="13"/>
  <c r="C145" i="13"/>
  <c r="C66" i="13"/>
  <c r="C50" i="13"/>
  <c r="C57" i="13"/>
  <c r="C146" i="13"/>
  <c r="C154" i="13"/>
  <c r="C185" i="13"/>
  <c r="C106" i="13"/>
  <c r="C113" i="13"/>
  <c r="C18" i="13"/>
  <c r="C65" i="13"/>
  <c r="C6" i="13"/>
  <c r="C13" i="13"/>
  <c r="C4" i="13"/>
  <c r="C5" i="13"/>
  <c r="C12" i="13"/>
  <c r="C8" i="13"/>
  <c r="C70" i="13"/>
  <c r="C80" i="13"/>
  <c r="C29" i="13"/>
  <c r="C175" i="13"/>
  <c r="C181" i="13"/>
  <c r="C164" i="13"/>
  <c r="C117" i="13"/>
  <c r="C54" i="13"/>
  <c r="C173" i="13"/>
  <c r="C103" i="13"/>
  <c r="C136" i="13"/>
  <c r="C112" i="13"/>
  <c r="C28" i="13"/>
  <c r="C159" i="13"/>
  <c r="C174" i="13"/>
  <c r="C110" i="13"/>
  <c r="C46" i="13"/>
  <c r="C128" i="13"/>
  <c r="C32" i="13"/>
  <c r="C144" i="13"/>
  <c r="C148" i="13"/>
  <c r="C84" i="13"/>
  <c r="C20" i="13"/>
  <c r="C165" i="13"/>
  <c r="C93" i="13"/>
  <c r="C152" i="13"/>
  <c r="C151" i="13"/>
  <c r="C87" i="13"/>
  <c r="C134" i="13"/>
  <c r="C172" i="13"/>
  <c r="C125" i="13"/>
  <c r="C126" i="13"/>
  <c r="C36" i="13"/>
  <c r="C182" i="13"/>
  <c r="C156" i="13"/>
  <c r="C109" i="13"/>
  <c r="C166" i="13"/>
  <c r="C96" i="13"/>
  <c r="C64" i="13"/>
  <c r="C140" i="13"/>
  <c r="C76" i="13"/>
  <c r="C176" i="13"/>
  <c r="C157" i="13"/>
  <c r="C85" i="13"/>
  <c r="C120" i="13"/>
  <c r="C143" i="13"/>
  <c r="C79" i="13"/>
  <c r="C77" i="13"/>
  <c r="C56" i="13"/>
  <c r="C135" i="13"/>
  <c r="C71" i="13"/>
  <c r="C168" i="13"/>
  <c r="C44" i="13"/>
  <c r="C111" i="13"/>
  <c r="C62" i="13"/>
  <c r="C88" i="13"/>
  <c r="C100" i="13"/>
  <c r="C167" i="13"/>
  <c r="C118" i="13"/>
  <c r="C92" i="13"/>
  <c r="C95" i="13"/>
  <c r="C38" i="13"/>
  <c r="C94" i="13"/>
  <c r="C40" i="13"/>
  <c r="C101" i="13"/>
  <c r="C72" i="13"/>
  <c r="C124" i="13"/>
  <c r="C69" i="13"/>
  <c r="C24" i="13"/>
  <c r="C108" i="13"/>
  <c r="C37" i="13"/>
  <c r="C160" i="13"/>
  <c r="C21" i="13"/>
  <c r="C104" i="13"/>
  <c r="C102" i="13"/>
  <c r="C158" i="13"/>
  <c r="C30" i="13"/>
  <c r="C184" i="13"/>
  <c r="C132" i="13"/>
  <c r="C68" i="13"/>
  <c r="C149" i="13"/>
  <c r="C150" i="13"/>
  <c r="C86" i="13"/>
  <c r="C22" i="13"/>
  <c r="C16" i="13"/>
  <c r="C188" i="13"/>
  <c r="C60" i="13"/>
  <c r="C141" i="13"/>
  <c r="C61" i="13"/>
  <c r="C127" i="13"/>
  <c r="C142" i="13"/>
  <c r="C78" i="13"/>
  <c r="C14" i="13"/>
  <c r="C48" i="13"/>
  <c r="C180" i="13"/>
  <c r="C116" i="13"/>
  <c r="C52" i="13"/>
  <c r="C45" i="13"/>
  <c r="C133" i="13"/>
  <c r="C53" i="13"/>
  <c r="C183" i="13"/>
  <c r="C119" i="13"/>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sharedStrings.xml><?xml version="1.0" encoding="utf-8"?>
<sst xmlns="http://schemas.openxmlformats.org/spreadsheetml/2006/main" count="2414" uniqueCount="1463">
  <si>
    <t>TYPE OF EVENT</t>
  </si>
  <si>
    <t xml:space="preserve">BANKING CRISES </t>
  </si>
  <si>
    <t xml:space="preserve">CURRENCY (BOP) CRISES </t>
  </si>
  <si>
    <t xml:space="preserve">DEBT CRISES </t>
  </si>
  <si>
    <t>all</t>
  </si>
  <si>
    <t>1970 - I.</t>
  </si>
  <si>
    <t>1970 - II.</t>
  </si>
  <si>
    <t>1970 - III.</t>
  </si>
  <si>
    <t>1970 - IV.</t>
  </si>
  <si>
    <t>1971 - I.</t>
  </si>
  <si>
    <t>1971 - II.</t>
  </si>
  <si>
    <t>1971 - III.</t>
  </si>
  <si>
    <t>1971 - IV.</t>
  </si>
  <si>
    <t>1972 - I.</t>
  </si>
  <si>
    <t>1972 - II.</t>
  </si>
  <si>
    <t>1972 - III.</t>
  </si>
  <si>
    <t>1972 - IV.</t>
  </si>
  <si>
    <t>1973 - I.</t>
  </si>
  <si>
    <t>1973 - II.</t>
  </si>
  <si>
    <t>1973 - III.</t>
  </si>
  <si>
    <t>1973 - IV.</t>
  </si>
  <si>
    <t>1974 - I.</t>
  </si>
  <si>
    <t>1974 - II.</t>
  </si>
  <si>
    <t>1974 - III.</t>
  </si>
  <si>
    <t>1974 - IV.</t>
  </si>
  <si>
    <t>1975 - I.</t>
  </si>
  <si>
    <t>1975 - II.</t>
  </si>
  <si>
    <t>1975 - III.</t>
  </si>
  <si>
    <t>1975 - IV.</t>
  </si>
  <si>
    <t>1976 - I.</t>
  </si>
  <si>
    <t>1976 - II.</t>
  </si>
  <si>
    <t>1976 - III.</t>
  </si>
  <si>
    <t>1976 - IV.</t>
  </si>
  <si>
    <t>1977 - I.</t>
  </si>
  <si>
    <t>1977 - II.</t>
  </si>
  <si>
    <t>1977 - III.</t>
  </si>
  <si>
    <t>1977 - IV.</t>
  </si>
  <si>
    <t>1978 - I.</t>
  </si>
  <si>
    <t>1978 - II.</t>
  </si>
  <si>
    <t>1978 - III.</t>
  </si>
  <si>
    <t>1978 - IV.</t>
  </si>
  <si>
    <t>1979 - I.</t>
  </si>
  <si>
    <t>1979 - II.</t>
  </si>
  <si>
    <t>1979 - III.</t>
  </si>
  <si>
    <t>1979 - IV.</t>
  </si>
  <si>
    <t>1980 - I.</t>
  </si>
  <si>
    <t>1980 - II.</t>
  </si>
  <si>
    <t>1980 - III.</t>
  </si>
  <si>
    <t>1980 - IV.</t>
  </si>
  <si>
    <t>1981 - I.</t>
  </si>
  <si>
    <t>1981 - II.</t>
  </si>
  <si>
    <t>1981 - III.</t>
  </si>
  <si>
    <t>1981 - IV.</t>
  </si>
  <si>
    <t>1982 - I.</t>
  </si>
  <si>
    <t>1982 - II.</t>
  </si>
  <si>
    <t>1982 - III.</t>
  </si>
  <si>
    <t>1982 - IV.</t>
  </si>
  <si>
    <t>1983 - I.</t>
  </si>
  <si>
    <t>1983 - II.</t>
  </si>
  <si>
    <t>1983 - III.</t>
  </si>
  <si>
    <t>1983 - IV.</t>
  </si>
  <si>
    <t>1984 - I.</t>
  </si>
  <si>
    <t>1984 - II.</t>
  </si>
  <si>
    <t>1984 - III.</t>
  </si>
  <si>
    <t>1984 - IV.</t>
  </si>
  <si>
    <t>1985 - I.</t>
  </si>
  <si>
    <t>1985 - II.</t>
  </si>
  <si>
    <t>1985 - III.</t>
  </si>
  <si>
    <t>1985 - IV.</t>
  </si>
  <si>
    <t>1986 - I.</t>
  </si>
  <si>
    <t>1986 - II.</t>
  </si>
  <si>
    <t>1986 - III.</t>
  </si>
  <si>
    <t>1986 - IV.</t>
  </si>
  <si>
    <t>1987 - I.</t>
  </si>
  <si>
    <t>1987 - II.</t>
  </si>
  <si>
    <t>1987 - III.</t>
  </si>
  <si>
    <t>1987 - IV.</t>
  </si>
  <si>
    <t>1988 - I.</t>
  </si>
  <si>
    <t>1988 - II.</t>
  </si>
  <si>
    <t>1988 - III.</t>
  </si>
  <si>
    <t>1988 - IV.</t>
  </si>
  <si>
    <t>1989 - I.</t>
  </si>
  <si>
    <t>1989 - II.</t>
  </si>
  <si>
    <t>1989 - III.</t>
  </si>
  <si>
    <t>1989 - IV.</t>
  </si>
  <si>
    <t>1990 - I.</t>
  </si>
  <si>
    <t>1990 - II.</t>
  </si>
  <si>
    <t>1990 - III.</t>
  </si>
  <si>
    <t>1990 - IV.</t>
  </si>
  <si>
    <t>1991 - I.</t>
  </si>
  <si>
    <t>1991 - II.</t>
  </si>
  <si>
    <t>1991 - III.</t>
  </si>
  <si>
    <t>1991 - IV.</t>
  </si>
  <si>
    <t>1992 - I.</t>
  </si>
  <si>
    <t>1992 - II.</t>
  </si>
  <si>
    <t>1992 - III.</t>
  </si>
  <si>
    <t>1992 - IV.</t>
  </si>
  <si>
    <t>1993 - I.</t>
  </si>
  <si>
    <t>1993 - II.</t>
  </si>
  <si>
    <t>1993 - III.</t>
  </si>
  <si>
    <t>1993 - IV.</t>
  </si>
  <si>
    <t>1994 - I.</t>
  </si>
  <si>
    <t>1994 - II.</t>
  </si>
  <si>
    <t>1994 - III.</t>
  </si>
  <si>
    <t>1994 - IV.</t>
  </si>
  <si>
    <t>1995 - I.</t>
  </si>
  <si>
    <t>1995 - II.</t>
  </si>
  <si>
    <t>1995 - III.</t>
  </si>
  <si>
    <t>1995 - IV.</t>
  </si>
  <si>
    <t>1996 - I.</t>
  </si>
  <si>
    <t>1996 - II.</t>
  </si>
  <si>
    <t>1996 - III.</t>
  </si>
  <si>
    <t>1996 - IV.</t>
  </si>
  <si>
    <t>1997 - I.</t>
  </si>
  <si>
    <t>1997 - II.</t>
  </si>
  <si>
    <t>1997 - III.</t>
  </si>
  <si>
    <t>1997 - IV.</t>
  </si>
  <si>
    <t>1998 - I.</t>
  </si>
  <si>
    <t>1998 - II.</t>
  </si>
  <si>
    <t>1998 - III.</t>
  </si>
  <si>
    <t>1998 - IV.</t>
  </si>
  <si>
    <t>1999 - I.</t>
  </si>
  <si>
    <t>1999 - II.</t>
  </si>
  <si>
    <t>1999 - III.</t>
  </si>
  <si>
    <t>1999 - IV.</t>
  </si>
  <si>
    <t>2000 - I.</t>
  </si>
  <si>
    <t>2000 - II.</t>
  </si>
  <si>
    <t>2000 - III.</t>
  </si>
  <si>
    <t>2000 - IV.</t>
  </si>
  <si>
    <t>2001 - I.</t>
  </si>
  <si>
    <t>2001 - II.</t>
  </si>
  <si>
    <t>2001 - III.</t>
  </si>
  <si>
    <t>2001 - IV.</t>
  </si>
  <si>
    <t>2002 - I.</t>
  </si>
  <si>
    <t>2002 - II.</t>
  </si>
  <si>
    <t>2002 - III.</t>
  </si>
  <si>
    <t>2002 - IV.</t>
  </si>
  <si>
    <t>2003 - I.</t>
  </si>
  <si>
    <t>2003 - II.</t>
  </si>
  <si>
    <t>2003 - III.</t>
  </si>
  <si>
    <t>2003 - IV.</t>
  </si>
  <si>
    <t>2004 - I.</t>
  </si>
  <si>
    <t>2004 - II.</t>
  </si>
  <si>
    <t>2004 - III.</t>
  </si>
  <si>
    <t>2004 - IV.</t>
  </si>
  <si>
    <t>2005 - I.</t>
  </si>
  <si>
    <t>2005 - II.</t>
  </si>
  <si>
    <t>2005 - III.</t>
  </si>
  <si>
    <t>2005 - IV.</t>
  </si>
  <si>
    <t>2006 - I.</t>
  </si>
  <si>
    <t>2006 - II.</t>
  </si>
  <si>
    <t>2006 - III.</t>
  </si>
  <si>
    <t>2006 - IV.</t>
  </si>
  <si>
    <t>2007 - I.</t>
  </si>
  <si>
    <t>2007 - II.</t>
  </si>
  <si>
    <t>2007 - III.</t>
  </si>
  <si>
    <t>2007 - IV.</t>
  </si>
  <si>
    <t>2008 - I.</t>
  </si>
  <si>
    <t>2008 - II.</t>
  </si>
  <si>
    <t>2008 - III.</t>
  </si>
  <si>
    <t>2008 - IV.</t>
  </si>
  <si>
    <t>2009 - I.</t>
  </si>
  <si>
    <t>2009 - II.</t>
  </si>
  <si>
    <t>2009 - III.</t>
  </si>
  <si>
    <t>2009 - IV.</t>
  </si>
  <si>
    <t>2010 - I.</t>
  </si>
  <si>
    <t>2010 - II.</t>
  </si>
  <si>
    <t>2010 - III.</t>
  </si>
  <si>
    <t>2010 - IV.</t>
  </si>
  <si>
    <t>Country</t>
  </si>
  <si>
    <t>Start</t>
  </si>
  <si>
    <t>End</t>
  </si>
  <si>
    <r>
      <t>Output loss</t>
    </r>
    <r>
      <rPr>
        <b/>
        <vertAlign val="superscript"/>
        <sz val="9"/>
        <rFont val="Times New Roman"/>
        <family val="1"/>
      </rPr>
      <t xml:space="preserve"> 1/</t>
    </r>
  </si>
  <si>
    <r>
      <t>Fiscal Costs</t>
    </r>
    <r>
      <rPr>
        <b/>
        <vertAlign val="superscript"/>
        <sz val="9"/>
        <rFont val="Times New Roman"/>
        <family val="1"/>
      </rPr>
      <t xml:space="preserve"> 2/
</t>
    </r>
    <r>
      <rPr>
        <b/>
        <sz val="9"/>
        <rFont val="Times New Roman"/>
        <family val="1"/>
      </rPr>
      <t>(% of GDP)</t>
    </r>
  </si>
  <si>
    <r>
      <t>Fiscal Costs, net</t>
    </r>
    <r>
      <rPr>
        <b/>
        <vertAlign val="superscript"/>
        <sz val="9"/>
        <rFont val="Times New Roman"/>
        <family val="1"/>
      </rPr>
      <t xml:space="preserve"> 2/
</t>
    </r>
    <r>
      <rPr>
        <b/>
        <sz val="9"/>
        <rFont val="Times New Roman"/>
        <family val="1"/>
      </rPr>
      <t>(% of GDP)</t>
    </r>
  </si>
  <si>
    <t>Fiscal cost
(% of financial sector assets)</t>
  </si>
  <si>
    <r>
      <t>Peak liquidity</t>
    </r>
    <r>
      <rPr>
        <b/>
        <vertAlign val="superscript"/>
        <sz val="9"/>
        <rFont val="Times New Roman"/>
        <family val="1"/>
      </rPr>
      <t xml:space="preserve"> 3/</t>
    </r>
  </si>
  <si>
    <r>
      <t>Liquidity support</t>
    </r>
    <r>
      <rPr>
        <b/>
        <vertAlign val="superscript"/>
        <sz val="9"/>
        <rFont val="Times New Roman"/>
        <family val="1"/>
      </rPr>
      <t xml:space="preserve"> 3/</t>
    </r>
  </si>
  <si>
    <r>
      <t>Peak NPLs</t>
    </r>
    <r>
      <rPr>
        <b/>
        <vertAlign val="superscript"/>
        <sz val="9"/>
        <rFont val="Times New Roman"/>
        <family val="1"/>
      </rPr>
      <t xml:space="preserve"> 4/</t>
    </r>
  </si>
  <si>
    <r>
      <t>Increase in public debt</t>
    </r>
    <r>
      <rPr>
        <b/>
        <vertAlign val="superscript"/>
        <sz val="9"/>
        <rFont val="Times New Roman"/>
        <family val="1"/>
      </rPr>
      <t xml:space="preserve"> 5/</t>
    </r>
  </si>
  <si>
    <t>Albania</t>
  </si>
  <si>
    <t>…</t>
  </si>
  <si>
    <t>...</t>
  </si>
  <si>
    <t>Algeria</t>
  </si>
  <si>
    <t>1994 7/</t>
  </si>
  <si>
    <t>Argentina</t>
  </si>
  <si>
    <t>1982 6/</t>
  </si>
  <si>
    <t>Argentina 8/</t>
  </si>
  <si>
    <t>Armenia 4/</t>
  </si>
  <si>
    <t>1994 6/</t>
  </si>
  <si>
    <t>Austria</t>
  </si>
  <si>
    <t>2012 7/</t>
  </si>
  <si>
    <t xml:space="preserve">Azerbaijan </t>
  </si>
  <si>
    <t>1995 6/</t>
  </si>
  <si>
    <t>Bangladesh</t>
  </si>
  <si>
    <t xml:space="preserve">Belarus </t>
  </si>
  <si>
    <t>Belgium</t>
  </si>
  <si>
    <t>Benin</t>
  </si>
  <si>
    <t>1992 7/</t>
  </si>
  <si>
    <t>Bolivia</t>
  </si>
  <si>
    <t xml:space="preserve">Bosnia and Herzegovina </t>
  </si>
  <si>
    <t>1996 7/</t>
  </si>
  <si>
    <t>Brazil 8/</t>
  </si>
  <si>
    <t>Brazil</t>
  </si>
  <si>
    <t>Bulgaria</t>
  </si>
  <si>
    <t>Burkina Faso</t>
  </si>
  <si>
    <t>Burundi</t>
  </si>
  <si>
    <t>1998 7/</t>
  </si>
  <si>
    <t>Cameroon</t>
  </si>
  <si>
    <t>1991 7/</t>
  </si>
  <si>
    <t>Cape Verde</t>
  </si>
  <si>
    <t>Central African Rep</t>
  </si>
  <si>
    <t>Chad</t>
  </si>
  <si>
    <t>Chile</t>
  </si>
  <si>
    <t>1985 7/</t>
  </si>
  <si>
    <t>China, Mainland</t>
  </si>
  <si>
    <t>Colombia</t>
  </si>
  <si>
    <t>Congo, Dem Rep</t>
  </si>
  <si>
    <t>Congo, Rep</t>
  </si>
  <si>
    <t>Costa Rica</t>
  </si>
  <si>
    <t>Cote d'Ivoire</t>
  </si>
  <si>
    <t xml:space="preserve">Croatia </t>
  </si>
  <si>
    <t>Czech Republic 8/</t>
  </si>
  <si>
    <t>2000 7/</t>
  </si>
  <si>
    <t>Cyprus</t>
  </si>
  <si>
    <t>2015 7/</t>
  </si>
  <si>
    <t>Denmark</t>
  </si>
  <si>
    <t>Djibouti</t>
  </si>
  <si>
    <t>1995 7/</t>
  </si>
  <si>
    <t>Dominican Rep</t>
  </si>
  <si>
    <t>Ecuador</t>
  </si>
  <si>
    <t>1986 7/</t>
  </si>
  <si>
    <t>Egypt</t>
  </si>
  <si>
    <t>El Salvador</t>
  </si>
  <si>
    <t>Equatorial Guinea</t>
  </si>
  <si>
    <t>1983 6/</t>
  </si>
  <si>
    <t>Eritrea</t>
  </si>
  <si>
    <t>1993 6/</t>
  </si>
  <si>
    <t xml:space="preserve">Estonia </t>
  </si>
  <si>
    <t>Finland</t>
  </si>
  <si>
    <t>France 8/</t>
  </si>
  <si>
    <t xml:space="preserve">Georgia </t>
  </si>
  <si>
    <t>Germany</t>
  </si>
  <si>
    <t>Ghana</t>
  </si>
  <si>
    <t>Greece</t>
  </si>
  <si>
    <t>Guinea</t>
  </si>
  <si>
    <t>1985 6/</t>
  </si>
  <si>
    <t>Guinea-Bissau</t>
  </si>
  <si>
    <t>ongoing</t>
  </si>
  <si>
    <t>Guyana</t>
  </si>
  <si>
    <t>Haiti</t>
  </si>
  <si>
    <t xml:space="preserve">Hungary </t>
  </si>
  <si>
    <t>Hungary 8/</t>
  </si>
  <si>
    <t>Iceland</t>
  </si>
  <si>
    <t>India</t>
  </si>
  <si>
    <t>Indonesia</t>
  </si>
  <si>
    <t>2001 7/</t>
  </si>
  <si>
    <t>Ireland</t>
  </si>
  <si>
    <t>Israel</t>
  </si>
  <si>
    <t>Italy</t>
  </si>
  <si>
    <t>Jamaica</t>
  </si>
  <si>
    <t>Japan</t>
  </si>
  <si>
    <t>Jordan</t>
  </si>
  <si>
    <t>Kazakhstan 8/</t>
  </si>
  <si>
    <t>Kenya</t>
  </si>
  <si>
    <t>Korea</t>
  </si>
  <si>
    <t>Kuwait</t>
  </si>
  <si>
    <t xml:space="preserve">Kyrgyz Rep </t>
  </si>
  <si>
    <t>1999 7/</t>
  </si>
  <si>
    <t xml:space="preserve">Latvia </t>
  </si>
  <si>
    <t>Latvia</t>
  </si>
  <si>
    <t>Lebanon</t>
  </si>
  <si>
    <t>Liberia</t>
  </si>
  <si>
    <t xml:space="preserve">Lithuania </t>
  </si>
  <si>
    <t>Luxembourg</t>
  </si>
  <si>
    <t xml:space="preserve">Macedonia, FYR </t>
  </si>
  <si>
    <t>Madagascar</t>
  </si>
  <si>
    <t>Malaysia</t>
  </si>
  <si>
    <t>Mali</t>
  </si>
  <si>
    <t>Mauritania</t>
  </si>
  <si>
    <t>Mexico</t>
  </si>
  <si>
    <t>Moldova</t>
  </si>
  <si>
    <t>Mongolia</t>
  </si>
  <si>
    <t>Morocco</t>
  </si>
  <si>
    <t>1984 7/</t>
  </si>
  <si>
    <t>Mozambique</t>
  </si>
  <si>
    <t>Nepal</t>
  </si>
  <si>
    <t>Netherlands</t>
  </si>
  <si>
    <t>Nicaragua</t>
  </si>
  <si>
    <t>Niger</t>
  </si>
  <si>
    <t>Nigeria</t>
  </si>
  <si>
    <t>Norway</t>
  </si>
  <si>
    <t>Panama</t>
  </si>
  <si>
    <t>Paraguay</t>
  </si>
  <si>
    <t>Peru</t>
  </si>
  <si>
    <t>Philippines</t>
  </si>
  <si>
    <t xml:space="preserve">Philippines </t>
  </si>
  <si>
    <t xml:space="preserve">Poland </t>
  </si>
  <si>
    <t xml:space="preserve">Portugal </t>
  </si>
  <si>
    <t xml:space="preserve">Romania </t>
  </si>
  <si>
    <t>1999 6/</t>
  </si>
  <si>
    <t xml:space="preserve">Russia </t>
  </si>
  <si>
    <t>1998 6/</t>
  </si>
  <si>
    <t>Russia 8/</t>
  </si>
  <si>
    <t>São Tomé &amp; Príncipe</t>
  </si>
  <si>
    <t>1992 6/</t>
  </si>
  <si>
    <t>Senegal</t>
  </si>
  <si>
    <t>Sierra Leone</t>
  </si>
  <si>
    <t>Slovak Rep</t>
  </si>
  <si>
    <t>2002 7/</t>
  </si>
  <si>
    <t xml:space="preserve">Slovenia </t>
  </si>
  <si>
    <t>Spain</t>
  </si>
  <si>
    <t>1981 7/</t>
  </si>
  <si>
    <t>Sri Lanka</t>
  </si>
  <si>
    <t>Swaziland</t>
  </si>
  <si>
    <t>Sweden</t>
  </si>
  <si>
    <t>Sweden 8/</t>
  </si>
  <si>
    <t>Switzerland 8/</t>
  </si>
  <si>
    <t>Tanzania</t>
  </si>
  <si>
    <t>Thailand</t>
  </si>
  <si>
    <t>Togo</t>
  </si>
  <si>
    <t>Tunisia</t>
  </si>
  <si>
    <t>Turkey</t>
  </si>
  <si>
    <t>Uganda</t>
  </si>
  <si>
    <t xml:space="preserve">Ukraine </t>
  </si>
  <si>
    <t>Ukraine</t>
  </si>
  <si>
    <t>United Kingdom</t>
  </si>
  <si>
    <t>2011 7/</t>
  </si>
  <si>
    <t>United States 8/</t>
  </si>
  <si>
    <t>United States</t>
  </si>
  <si>
    <t>Uruguay</t>
  </si>
  <si>
    <t>Venezuela</t>
  </si>
  <si>
    <t>Vietnam</t>
  </si>
  <si>
    <t>Yemen</t>
  </si>
  <si>
    <t>Zambia</t>
  </si>
  <si>
    <t>Zimbabwe</t>
  </si>
  <si>
    <t xml:space="preserve">1/ In percent of GDP. Output losses are computed as the cumulative sum of the differences between actual and trend real GDP over the period [T, T+3], expressed in percent of trend real GDP, with T denoting the starting year of the crisis. The trend is computed by applying an HP filter (λ=100) to the GDP series over [T-20, T-1].  No output losses are reported for crises in transition economies that took place during the period of transition to market economies.
2/ Fiscal costs refer to outlays directly related to the restructuring of the financial sector. 
3/ Liquidity is measured as the ratio of central bank claims on deposit money banks (line 12 in IFS) and liquidity support from the Treasury to total deposits and liabilities to non-residents. Total deposits are computed as the sum of demand deposits (line 24), other deposits (line 25), and liabilities to non-residents (line 26).
4/ In percent of total loans.
5/ In percent of GDP. For episodes starting in 2007 and later, the increase in public debt is measured as the change in debt projections, over [T-1, T+3], relative to the pre-crisis debt projections, where T is the starting year of the crisis.
6/ Credit data missing. For these countries, end dates are based on GDP growth only. 
7/ We truncate the duration of crises at 5 years, starting with the first crisis year. 
8/ Borderline cases.
Source: WEO, IFS, IMF Staff reports, IMF Financial Soundness Indicators, Laeven and Valencia (2013), and authors’ calculation.
</t>
  </si>
  <si>
    <t>1)</t>
  </si>
  <si>
    <t>https://www.google.com/url?sa=t&amp;rct=j&amp;q=&amp;esrc=s&amp;source=web&amp;cd=&amp;cad=rja&amp;uact=8&amp;ved=2ahUKEwjckO7um4KMAxWuS0EAHWTSJdEQFnoECBkQAQ&amp;url=https%3A%2F%2Fwww.ecb.europa.eu%2Fpub%2Fpdf%2Fscpops%2Fecb.op194.pt.pdf&amp;usg=AOvVaw2GNoBiPv8DEd_oW1DP2aoP&amp;opi=89978449</t>
  </si>
  <si>
    <t>Babecký ·et al. (2012)</t>
  </si>
  <si>
    <t>EU27 Crises Database created with the help of the ESCB Heads of Research Group</t>
  </si>
  <si>
    <t>Approved in June 2012</t>
  </si>
  <si>
    <t>This dataset has been used for the accompanying ECB working paper:</t>
  </si>
  <si>
    <t xml:space="preserve">Banking, Debt, and Currency Crises: </t>
  </si>
  <si>
    <t>Early Warning Indicators for Developed Countries</t>
  </si>
  <si>
    <t xml:space="preserve">Jan Babecký a, Tomáš Havránek a,b, Jakub Matějů a,c, </t>
  </si>
  <si>
    <t>Marek Rusnák a,b, Kateřina Šmídková a,b, and Bořek Vašíček a</t>
  </si>
  <si>
    <t>2)</t>
  </si>
  <si>
    <t>Systemic Banking Crises Database II</t>
  </si>
  <si>
    <t>Laeven and Valencia (2020)</t>
  </si>
  <si>
    <t>3)</t>
  </si>
  <si>
    <t>CCUSMA02IEQ618N</t>
  </si>
  <si>
    <t>Currency Conversions: US Dollar Exchange Rate: Average of Daily Rates: National Currency: USD for Ireland, Euro, Quarterly, Not Seasonally Adjusted</t>
  </si>
  <si>
    <t>Raw data: https://fred.stlouisfed.org/series/CCUSMA02IEQ618N</t>
  </si>
  <si>
    <t>Date</t>
  </si>
  <si>
    <t>FX</t>
  </si>
  <si>
    <t>hp_trend_FX</t>
  </si>
  <si>
    <t>hp_cycle_FX</t>
  </si>
  <si>
    <t>we detrend the FX (IE/US dollars)</t>
  </si>
  <si>
    <t>Results exported in</t>
  </si>
  <si>
    <t>Babecky ·et al. (2012)</t>
  </si>
  <si>
    <t>We extend the currency crisis period reported in Babecky ·et al. (2012), by taking the period where the FX trend continued decreasing yoy</t>
  </si>
  <si>
    <t>Dummy_currency_crisis</t>
  </si>
  <si>
    <t>4)</t>
  </si>
  <si>
    <t>Raw_sources</t>
  </si>
  <si>
    <t>Baron and Dieckelmann (2022)</t>
  </si>
  <si>
    <t>Farah Mugrabi</t>
  </si>
  <si>
    <t>file:///\\Filescluster\shared\MPS\WORD\MPFS%20DEPT\Farah\Alternative_Gap\New_Model\Ruenstler_and_Vlekke_2018\C_Robustness_Checks\1.Early_warnings\Bank_crisis\Raw_data\Baron_Dieckelmann_Panics_and_bank_failures_database.xlsx</t>
  </si>
  <si>
    <t>Link https://www.quantfinhistory.org/banking-crises-database</t>
  </si>
  <si>
    <t>Baron, M., &amp; Dieckelmann, D. (2022). Historical Banking Crises: A New Database and a Reassessment of their Incidence and Severity. In: Leveraged: The New Economics of Debt and Financial Fragility. University of Chicago Press, forthcoming.</t>
  </si>
  <si>
    <t>The Historical Banking Crises Database</t>
  </si>
  <si>
    <t>42 countries, 1870-2019</t>
  </si>
  <si>
    <t>Banking crisis characteristics</t>
  </si>
  <si>
    <t>Banking panics and bank failures, 1870-2016</t>
  </si>
  <si>
    <t>BVX Year</t>
  </si>
  <si>
    <t>Bank Eq. 30% decline</t>
  </si>
  <si>
    <t xml:space="preserve">Narrative Crisis </t>
  </si>
  <si>
    <t>Panic</t>
  </si>
  <si>
    <t>Panic month</t>
  </si>
  <si>
    <t>Widespread bank failures</t>
  </si>
  <si>
    <t>PANIC BANKING CRISIS</t>
  </si>
  <si>
    <t>BANK EQUITY CRISIS</t>
  </si>
  <si>
    <r>
      <rPr>
        <b/>
        <sz val="11"/>
        <rFont val="Calibri (Body)"/>
      </rPr>
      <t>BVX list:</t>
    </r>
    <r>
      <rPr>
        <b/>
        <sz val="11"/>
        <rFont val="Calibri"/>
        <family val="2"/>
        <scheme val="minor"/>
      </rPr>
      <t xml:space="preserve"> UNION OF TWO TYPES</t>
    </r>
  </si>
  <si>
    <t>Bank failures</t>
  </si>
  <si>
    <t>Sources
Bank failures</t>
  </si>
  <si>
    <t>Documentation of 
Panic indicator &amp; Panic month</t>
  </si>
  <si>
    <t>Other historical background &amp; sources</t>
  </si>
  <si>
    <t>Bordo and Eichengreen (1999) consider this a currency crisis but not a banking crisis. Reinhart &amp; Rogoff (2014) no longer consider this a banking crisis in their 2014 update. There is no evidence of bank runs.</t>
  </si>
  <si>
    <t>Della Paolera &amp; Taylor (2001, pp. 37-64) report that by 1884 banks suspended convertibility of notes for specie. A short period of currency volatility ensued that did not seem to have had substantial real effects.</t>
  </si>
  <si>
    <t>March 1890</t>
  </si>
  <si>
    <t>Banco Nacional, Italian Bank of the River Plate, Banco de la Provincia de BA, Banco Hipotecario Nacional</t>
  </si>
  <si>
    <t>Cachanosky (2012)
Hodge (1970)</t>
  </si>
  <si>
    <t>Triner &amp; Wandschneider (2005, p. 207) say that the panic was in March 1890 when bank runs occured. Cachanosky (2012) report multiple depositor runs and bank failures. Reinhart &amp; Rogoff (2014) date the beginning of the panic to July 1890 (but they seem to have misread Triner &amp; Wandschneider, 2005, which is their source).</t>
  </si>
  <si>
    <t>Della Paolera &amp; Taylor (2001, pp. 37-64) report that in 1890 Argentina was heavily indebted and became unable to roll over existing debt, most of which was repayble in gold only. A severe sovereign debt crisis ensued. In the first quarter of 1890, the Banco de la Provincia and the Banco Nacional were hit by a run that finally triggered the crisis (Cachanosky, 2012). In 1891, the Italian Bank of the River Plate suffered severe runs and later failed. The River Plate Bank also suffered from a run, but received liquidity from Baron Rothschild (Hodge, 1970). Reinhart &amp; Rogoff (2014) date the crisis to July 1890-1891,Della Paolera &amp; Taylor (2001) say that the panic was in March 1891 (which might be a typo of the year). Triner &amp; Wandschneider (2005, p. 207) date the panic to March 1890. Bordo and Eichengreen (1999) date the crisis the 1889-1890.</t>
  </si>
  <si>
    <t>July 1914</t>
  </si>
  <si>
    <t>Banco Frances failed in August 1914, but this seems to be the only outright failure.</t>
  </si>
  <si>
    <t>Lough (1915)</t>
  </si>
  <si>
    <t>The outbreak of the war in the end of July 1914 was accompanied by a dramatic flight to liquidty around the globe. Many Argentine banks faced severe pressures as international depositors demanded liquidity. "Total deposits at Argentine banks fell by nearly 20 percent. The brunt of the hardship fell on the private banks, which lost over 45 percent of their deposits." (Nakamura and Zarazaga, 2001, pp. 25-26).</t>
  </si>
  <si>
    <t>The crisis was precipitated by a land price boom which was fueled by heavy speculation and private indebtedness. Large amounts of credit were extended by European banks. Banco Frances failed in August 1914. (Lough, 1915). In 1912, depositors started to withdraw up to 20% of total deposits from banks in reponse to real economic disturbances (Nakamura and Zarazaga, 2001). Della Paolera and Taylor (2001) name this crisis "the worst recession in Argentine history" (p. 190).</t>
  </si>
  <si>
    <t>April 1931</t>
  </si>
  <si>
    <t>There is no evidence of widespread bank failures</t>
  </si>
  <si>
    <t>Bernanke and James (1991), Bordo and Eichengreen (1999), Bordo et al. (2001), Reinhart and Rogoff (2009, 2014), and Conde (2010) all agree that this was a banking crisis, but we have no information either way whether that means there was a panic. However, we include it as a panic to be conservative (but more research needs to be done). Bernanke and James (1991) date the crisis to April 1931.</t>
  </si>
  <si>
    <t xml:space="preserve">Bernanke and James (1991), Bordo and Eichengreen (1999), Bordo et al. (2001), Reinhart and Rogoff (2009, 2014), and Conde (2010) all agree that this was a banking crisis. Argentina left the gold standard in 1929 but the debt overhang from the 1920s resulted in a build-up of insolvent bank loans. The collapse of commodity prices forced a generalized default of many farmers (Rocha &amp; Solomou, 2015, appendix I). There is no narrative evidence of widespread bank failures (but detailed sources are hard to come by). Bernanke and James (1991) date the crisis to April 1931. </t>
  </si>
  <si>
    <t>September 1934</t>
  </si>
  <si>
    <t>Banco Espanol del Rio de la Plata, Banco el Hogar Argentina, Banco Argentina-Uruguayo, Ernesto Tornquist &amp; Co.</t>
  </si>
  <si>
    <t>Bernanke &amp; James (1991, p.53)</t>
  </si>
  <si>
    <t>Bernanke &amp; James (1991) note that four banks were faced with a government-sponsored merger to resolve their problems. They date the panic to September 1934. Della Paolera &amp; Taylor (2002) estimate that the government bailout included about 32 percent of the loans of the private banking system, suggesting that this was a systemic crisis.</t>
  </si>
  <si>
    <t>Della Paolera and Taylor (2002) write that the Argentine Great Depression was mild and short-lived by international standards (p. 190): Argentina established its central bank in 1935 to deal with the wave of financial distress in the private banking system. Bernanke and James (1991) date the crisis to September 1934. Bernanke and James (1991), Bordo et al. (2001), and Reinhart and Rogoff (2009) list this as a separate crisis from the 1931 event (Rocha &amp; Solomou, 2015)</t>
  </si>
  <si>
    <t>March 1980</t>
  </si>
  <si>
    <t>Banco de Intercambio Regional, Banco de los Andes, Banco Oddone, Banco International, and at least 64 more.</t>
  </si>
  <si>
    <t>Montanaro (1990) says that by 1982 86 financial institutions had failed.
Caprio and Klingebiel (1996) state that more than 70 institutions were liquidated.</t>
  </si>
  <si>
    <t>Montanaro (1990) citing Feldman (1983) says that this financial crisis reached panic proportions in Argentina in March 1980. This is confirmed by Laeven &amp; Valencia (2018).</t>
  </si>
  <si>
    <t>The crisis followed a wave of deregulation in the late 1970’s after a military government seized power in 1976. Other economic problems include high foreign debts and run-away inflation rates. Montanaro (1990) writes: "The financial crisis in Argentina exploded in March 1980 with the failure of the country’s main private bank, the Banco de Intercambio Regional. By the middle of 1982, 86 banks and financial institutions had failed, amongst which were the Banco de los Andes, the Banco Oddone and the Banco International, the third, seventh and ninth banks respectively in the country." The author cites Feldman (1983). Caprio and Klingebiel (1996) state that more than 70 institutions were liquidated. Reinhart &amp; Rogoff (2009), citing Kaminsky and Reinhart (1996), say that failure of the large private bank Banco de Intercambio Regional led to runs on three other banks in March 1980. The month is confirmed by Laeven &amp; Valencia (2018).</t>
  </si>
  <si>
    <t>May 1985</t>
  </si>
  <si>
    <t>Banco de Italia y Rio de la Plata and at least 7 more.</t>
  </si>
  <si>
    <t>Chavez (1985)</t>
  </si>
  <si>
    <t>Hyperinflation caused major banking distress and a run on banks forcing the Argentine central bank to close several banks in May 1985 (Chavez, 1985). The panic month is confirmed by Kaminsky &amp; Reinhart (1999).</t>
  </si>
  <si>
    <t>In the first half of the 1980s there was an inflation and public debt crisis that forced the government in 1985 to take drastic reform measures known as the "Plan Austral". In late 1983, Argentina received IMF loans but these were halted in March 1985 when Argentina was out of compliance with several economic targets (CIA, 1985). The resulting economic turbulence and hyperinflation caused major banking distress and a run on banks forcing the Argentine central bank to close several banks in May 1985. Subsequently, dollar deposits were frozen for 120 days (Chavez, 1985). Reinhart &amp; Rogoff (2014) strangely no longer consider this a banking crisis in their 2014 update. Their original source was Kaminsky &amp; Reinhart (1999), who date the crisis to 1989.</t>
  </si>
  <si>
    <t>April 1989</t>
  </si>
  <si>
    <t>Failed banks held 40 percent of financial system assets.</t>
  </si>
  <si>
    <t>Caprio &amp; Klingebiel (2003, p. 7)</t>
  </si>
  <si>
    <t>Laeven &amp; Valencia (2018) say this was a banking crisis and date the panic to December 1989 when deposits were freezed (though it's probable that this date is too late, as bank runs likely occurred earlier. Kaminsky &amp; Reinhart (1999) date the crisis to April 1989; however, it's not clear whether this date refers to panics, but we assume so to pick the earliest possible date to be conservative (though more research needs to be done).</t>
  </si>
  <si>
    <t>Stabilization policies caused a public debt crisis and hyperinflation that resulted in major bank distress (Beckerman, 1995). As a result, "nonperforming assets accounted for 27 percent of the aggregate portfolio and 37 percent of the portfolios of state banks. Failed banks held 40 percent of financial system assets" (Caprio &amp; Klingebiel, 2003, p. 7). Laeven &amp; Valencia (2018) also say that this is a banking crisis.</t>
  </si>
  <si>
    <t>December 1994</t>
  </si>
  <si>
    <t>At least 40 banks failed (almost one third of total banks).</t>
  </si>
  <si>
    <t>Jacome (2008, p. 27)
Caprio &amp; Klingebiel (2003, p. 7)</t>
  </si>
  <si>
    <t>"The end-1994 Mexican devaluation triggered a wave of uncertainty on the sustainability of the currency board in Argentina, leading to widespread deposit runs and large capital outflows. As a result, from end-December to January 1995, peso deposits fell more than 15 percent." (Jacome, 2008, p. 27). Laeven &amp; Valencia (2018) date the beginning of the panic a little bit later to January 1995.</t>
  </si>
  <si>
    <t>Jacome (2008) continues: "From December 1994 to late 1996, about 40 small and medium-size banks failed or were acquired or merged (almost one third of total banks). To cope with the instability created by the “Tequila” shock, the Argentine government passed a law in May 1995 that allowed the central bank to get involved in the resolution of distressed banks" (p. 27).  Caprio &amp; Klingebiel (2003) say that "eight banks [were] suspended and three banks collapsed. Through the end of 1997, 63 of 205 banking institutions were closed or merged" (p. 7).</t>
  </si>
  <si>
    <t>March 2001</t>
  </si>
  <si>
    <t>Bank resolutions were applied to three foreign banks that exited the market. (Need to find names of failed banks, likely many.)</t>
  </si>
  <si>
    <t>Jacome (2008, p. 42)</t>
  </si>
  <si>
    <t>"12 private and public banks (40% of deposits) received liquidity assistance" (Jacome et al., 2011, p. 27). Laeven &amp; Valencia (2018) report this as a banking crisis with deposit freezes which indicates panic behavior. Caprio &amp; Klingebiel (2003, p. 7) report that the first bank run occured in March 2001.</t>
  </si>
  <si>
    <t>Jacome et al. (2011): "In 2002 the value of the U.S. dollar quadrupled with respect to the peso as the country exited the currency board. Self-fulfilling expectations of a large currency depreciation turned into a speculative attack against the domestic currency and, hence, the central bank was forced to abandon the peg before international reserves were exhausted, thereby triggering a balance of payments crisis." Jacome (2008) report that "12 private and public banks (40% of deposits) received liquidity assistance, and bank resolution was applied to three foreign banks that exited the market." (p. 42). Laeven and Valencia (2018) date the crisis to November 2001 with deposit freezes starting in December 2001.</t>
  </si>
  <si>
    <t xml:space="preserve">Boonman, Jacobs, &amp; Kuper (2011) acknowledge that in 2008 Latin American currencies depreciated sharply versus the US dollar but that this did not cause a banking crisis in Argentina. This is line with the general consensus in the literature that Latin American banks were largely spared from the Global Financial Crisis (e.g. Lane &amp; Milesi-Ferretti, 2011). </t>
  </si>
  <si>
    <t>There is no evidence of a banking panic.</t>
  </si>
  <si>
    <t>There is no inidcation of any distress in the banking system during and around the year of 2011 in Argentina. The bank equity decline is probably related to the public debt restructuring process that started in 2005 and briefly raised concerns again in 2011 and 2012.</t>
  </si>
  <si>
    <t>Australia</t>
  </si>
  <si>
    <t>April 1893</t>
  </si>
  <si>
    <t>"Widespread failures were evident among the land banks and building societies through 1891 and 1892 and intensified the fears of trading bank depositors". "Thirteen of
Australia’s twenty-two trading banks [had] suspended operations" and subsequently restructured. Mercantile Bank of Australia, Federal Bank of Australia, and Queensland National Bank failed.</t>
  </si>
  <si>
    <t>Merrett (2013, p. 410-412); 
Bordo &amp; Eichengreen (1999, p. 40)</t>
  </si>
  <si>
    <t>Fisher &amp; Kent (1999, p. 11) say that "the banking panic started in earnest with the suspension of payment by the Commercial Bank of Australia in April" of 1893. As a source they refer to Merrett (1989).</t>
  </si>
  <si>
    <t>Bordo &amp; Eichengreen (1999) say that "this crisis reflected a domestic lending boom, as a result of which the quality of bank assets deteriorated significantly, and stringency on global credit markets reflecting the fallout from the Baring Crisis" (p. 40). Intermediaries became highly leveraged and commodity prices decreased which in turn lead to borrower defaults. This subsequently led to stress in the banking system. (Merrett, 2013).</t>
  </si>
  <si>
    <t>The (small) Government Savings Bank of New South Wales failed. Fisher and Kent (1999) say that only three banks failed during the 1929-1931 depression, and two banks merged with other banks due to their perilious financial situation, but these were all small banks</t>
  </si>
  <si>
    <t>Sunday Herald (1953), 26 April, p. 10 and Polden (1972).</t>
  </si>
  <si>
    <t>Fitzgibbon and Gizycki (2001, pp. 39-40) say that a balance of payment crisis caused several banks to face deposit runs.</t>
  </si>
  <si>
    <t>Fitzgibbon and Gizycki (2001, pp. 39-40) say that "the depression was ushered in by the drying up of overseas loans to Australia and a sharp fall in export prices. Australia’s terms of trade fell dramatically, causing a balance of payments crisis in 1929." However, the depression was not as severe as the crisis of the 1890’s. Reinhart &amp; Rogoff (2009, 2014) do not consider this a systemic banking crisis in their 2009 version but do so in their 2014 update.</t>
  </si>
  <si>
    <t>Reinhart &amp; Rogoff (2014) record a stock market collapse but no crisis. There is no evidence of a banking panic.</t>
  </si>
  <si>
    <t>Reinhart &amp; Rogoff (2014) record a stock market collapse but no crisis. There is no evidence of a panic among banks.</t>
  </si>
  <si>
    <t>There was a large boom in property lending by banks and, especially, by non-bank property lenders. After interest rates soared, and financial conditions deteriorated, property prices declined and many property lenders faced liquidity problems. Reinhart &amp; Rogoff (2014) record a stock market collapse but not other crises. Although there was stress in the banking system there is no further indication in the literature for a banking crisis (in the strict sense of a "bank") in or around 1974.</t>
  </si>
  <si>
    <t>March 1990</t>
  </si>
  <si>
    <t>State Bank of Victoria, State Bank of South Australia</t>
  </si>
  <si>
    <t xml:space="preserve">Fitzgibbon and Gizycki (2001, pp. 62-66)
</t>
  </si>
  <si>
    <t>"The banking industry experienced its worst losses since the 1890s. [...] The State Bank of Victoria and the State Bank of South Australia suffered large losses, and state governments provided significant capital injections in the resolution of these problems. [..] There were runs [only] on numerous non-bank institutions [...]. Various banks began to suffer large depositor withdrawals, but the Reserve Bank made statements declaring its belief that the banks were generally safe and that it was willing to intervene to provide liquidity" and deposit guarantees, which effectively stopped the runs (Fitzgibbon and Gizycki, 2001, pp. 62-66).</t>
  </si>
  <si>
    <t>Fitzgibbon and Gizycki (2001, pp. 62-66) say that "In 1989, the combination of high interest rates and a softening in the commercial property market brought broadly based credit quality problems to light." Reinhart &amp; Rogoff (2009, 2014) consider this a systemic banking crisis in their 2009 version but a non-systemic crisis in their 2014 update. Jordà, Schularick, &amp; Taylor (2017) consider this a systemic banking crisis.</t>
  </si>
  <si>
    <t>Except for Romer &amp; Romer (2017) who report slightly elevated financial distress there is no evidence for a banking crisis in Australia during the Global Financial Crisis. This is in line with narrative accounts like Kennedy (2009).</t>
  </si>
  <si>
    <t>May 1873</t>
  </si>
  <si>
    <t>"The number of banks and banking firms dropped from 141 in 1873 to 45 in 1878." Depening on the source, up to 100 banks failed or disappeared.</t>
  </si>
  <si>
    <t>Willis &amp; Beckhart (1929, p. 108)
For a comprehensive list of failed banks see Rieder (2017, ch. 1, Table 1.19)</t>
  </si>
  <si>
    <t>This is the well-known Gründerkrach banking crisis. Reinhart &amp; Rogoff (2009) date it to May 1873. Rieder (2017, ch. 1) reports massive depositor withdrawals and bank runs.</t>
  </si>
  <si>
    <t>Allgemeine Depositenbank was liquidated in July 1924. Also, the Austro-Polnische Bank, the Austro-Orientbank, as well as the private Union Bank failed. Later, in 1927, Unionbank and Verkehrsbank failed and were merged with Creditanstalt. Biedermannbank failed in 1927. In 1924 the number of joint stock banks in Vienna dropped from 66 to 36.</t>
  </si>
  <si>
    <t>Bernanke &amp; James (1991, p. 51)
Kindleberger (1984)
Macher (2018) (Schubert, 1992, p. 8)</t>
  </si>
  <si>
    <t>Allgemeine Depositenbank ran into difficulty in May 1924 due to speculation on the French franc, which caused it to go into liquidation after suffering heavy withdrawals. About 40,000 savers lost a part of their deposits. However, this seems to be the only run: all the other banks were either received deposit guarantees or were absorbed. in 1926, two important banks (Centralbank der deutschen Sparkassen and Postal Savings Bank) suffered heavy losses, but the government guaranteed deposits to avoid a panic. Other banks that suffered losses were mostly absorbed by Creditanstalt (Schubert, 1992, p. 8).</t>
  </si>
  <si>
    <t>Reinhart &amp; Rogoff (2009, 2014) report this as a systemic banking crisis. The four major universal banks of Austria came under increasing distress (Macher, 2018). Following the end of the hyperinflation and stabilization of the currency, there was a stock market boom followed then by a stock market crash in 1924 that preceded the banking difficulties. (Schubert, 1992, p. 8).</t>
  </si>
  <si>
    <t>1929, 1931</t>
  </si>
  <si>
    <t>May 1931</t>
  </si>
  <si>
    <t xml:space="preserve">Bodencreditanstalt, the second largest bank, fails in 1929 and is merged with Creditanstalt. The largest bank Creditanstalt failed on May 11, 1931.  </t>
  </si>
  <si>
    <t>Bernanke &amp; James (1991, p. 51)
Macher (2018)</t>
  </si>
  <si>
    <t>Macher (2018) report large-scale deposit withdrawal and financial stress in 1931. The failure of Creditanstalt in May 1931 usheres in a full-blown banking panic.</t>
  </si>
  <si>
    <t>Reinhart &amp; Rogoff (2009, 2014) report 1929 and 1931 as systemic banking crises. Bodencreditanstalt encountered serious liquidity problems in October 1929, but this is not considered a panic because: the bank could "meet these demands by taking (excessive) recourse to the discount window of the Austrian National Bank", and eventually the government arranged a merger with a strong partner, Creditanstalt (Schubert, 1992, p. 8).</t>
  </si>
  <si>
    <t>There is no evidence of a banking panic. Lo Duca et al. (2017) confirm that there was only a limited effect on the Austrian banking system due to an external shock from global monetary policy.</t>
  </si>
  <si>
    <t>September 2008</t>
  </si>
  <si>
    <t>Kommunalkredit Austria was nationalized in 2008. Constantia Privatbank failed in 2008 and was rescued by private banks. Hypo Alpe Adria was nationalized in 2009 and later liquidated. Volksbank receives capital support from the government in 2009 and is later liquidated.</t>
  </si>
  <si>
    <t>Lo Duca et al. (2017)
Die Presse (2008)
Die Presse (2009)
Atkins (2016)</t>
  </si>
  <si>
    <t>Laeven &amp; Valencia (2018), Reinhart &amp; Rogoff (2014), and Romer &amp; Romer (2017) agree that this was a systemic banking crisis. As with many European economies, Laeven &amp; Valencia (2018) date the beginning of the panic to September 2008 when Lehman Brothers collapsed.</t>
  </si>
  <si>
    <t>Volksbank again suffered large losses in 2011, was part-nationalized in 2011 by means of a debt-equity conversion of 250M EUR, and in October 2014, expecting failure of the ECB/EBA stress tests, was split up and restructed. A second bank, Hypo Alpe Adria, was part-nationalized due to European sovereign debt losses and split into a "good bank" and "bad bank" in 2014.  Pfandbriefbank Oesterreich had to be rescued in 2015 by its regional bank owners.</t>
  </si>
  <si>
    <t>Reinhart &amp; Rogoff (2014) report all years from 2008 through 2011 as a systemic bank crisis. Volksbank suffered losses from Greek debt defaults and other sources (Copolla, 2015). Romer &amp; Romer (2017) report elevated stress in the banking system starting in the second half of 2011.</t>
  </si>
  <si>
    <t>July 1870</t>
  </si>
  <si>
    <t>There is no evidence of widespread bank failures.</t>
  </si>
  <si>
    <t xml:space="preserve">The evacuation of gold reserves from the capital sparked a panic in July 1870 and people demanded their notes to be exchanged for coins (Buyst &amp; Maes, 2007, p. 17). Also, Reinhart &amp; Rogoff (2007, 2014) date the beginning of this systemic banking crisis to July 1870. </t>
  </si>
  <si>
    <t>March 1876</t>
  </si>
  <si>
    <t>Major bank Banque de Belgique failed in 1876 and was finally liquidated later in 1885. Banque de Bruxelles and Banque Central Anversoise had to be re-organized.</t>
  </si>
  <si>
    <t>Cameron &amp; Bovykin (1991, p. 121)
Buyst &amp; Maes (2007, p. 24)
Grossman (2010, p. 299)</t>
  </si>
  <si>
    <t>Buyst &amp; Maes (2007, p. 22, 24) consider this a major banking crisis and date its beginning to March 1876 when Banque de Belgique failed. No direct evidence of a panic, but likely, so we mark it to be conservative.</t>
  </si>
  <si>
    <t>Could not be dated</t>
  </si>
  <si>
    <t>Third-largest bank Banque des Travaux Publics failed in 1885. Other smaller banks seemed to have failed, as well.</t>
  </si>
  <si>
    <t>Buyst &amp; Maes (2008b, p. 169-170)</t>
  </si>
  <si>
    <t>Buyst &amp; Maes (2008b, p. 169-170) record 1885-1886 as a separate banking panic with several bank failures. No direct evidence of a panic, but likely, so we mark it to be conservative.</t>
  </si>
  <si>
    <t>Banque de Reports, de Fonds Publiques et de Dépôts d’Anvers were rescued and acquired by Société Générale.</t>
  </si>
  <si>
    <t>Buyst &amp; Maes (2008b, p. 169-171)</t>
  </si>
  <si>
    <t>Reinhart &amp; Rogoff (2009, 2014) date this systemic banking crisis to July 1914 when the war broke out. Panic withdrawals and suspension of bank note convertibility (Grossman, 2010, p. 300).</t>
  </si>
  <si>
    <t>Reinhart &amp; Rogoff (2009, 2014) consider this a systemic banking crisis. After a close reading of their sources, however, no evidence for widespread distress or panic could be found. The authors cite Johnson (1997) who in turn refer to a "funding crisis" in Makinen and Woodward (1990). But "funding crisis" refers to, in the original article, the inability of governments and nonfinancial firms to rollover their debt, not a banking funding crisis.</t>
  </si>
  <si>
    <t>1931, 1934</t>
  </si>
  <si>
    <t>Mid-sized Banque Chaudoir failed in 1930. Banque Belge de Travail and Algemeene Bankvereeniging failed in 1934.</t>
  </si>
  <si>
    <t>Buyst &amp; Maes (2008a)
Bernanke &amp; James (1991, p. 52</t>
  </si>
  <si>
    <t>Rumors about imminent failure of Banque de Bruxelles (second largest bank) induced withdrawals from all banks, especially from foreign depositors (Bernanke &amp; James, 1991, p. 52). Reinhart &amp; Rogoff (2009) follow Bernanke &amp; James (1991) and date the beginning of the panic to May 1931.</t>
  </si>
  <si>
    <t>December 1939</t>
  </si>
  <si>
    <t>Credit Anversois</t>
  </si>
  <si>
    <t>Buyst &amp; Maes (2008a, p. 19)</t>
  </si>
  <si>
    <t>Large capital outflows in December 1939 from Belgian banks resulted in a banking crisis (Reinhart &amp; Rogoff, 2009, 2014).</t>
  </si>
  <si>
    <t>Three small banks (Banque Copine, Banque Andes and Geoffrey's Bank) failed but there is no further evidence of widespread bank failures.</t>
  </si>
  <si>
    <t>Gup (1998, Table 4.1)</t>
  </si>
  <si>
    <t>Fortis, then the largest financial-services firm, was nationalized. Dexia was rescued by several governments and later liquidated.</t>
  </si>
  <si>
    <t>van der Starre &amp; Louis (2008)
BBC News (2008)</t>
  </si>
  <si>
    <t>Major Franco-Belgian bank Dexia failed and received bail-out funds (again) from three governments in 2011.</t>
  </si>
  <si>
    <t>BBC News (2008)</t>
  </si>
  <si>
    <t>Romer &amp; Romer (2017) report slightly elevated stress in the banking system starting in the second half of 2011. Against the backdrop of the default in Greece, problems in the liquidation of Dexia reemerged.</t>
  </si>
  <si>
    <t>December 1890</t>
  </si>
  <si>
    <t>58 banks failed between 1891 and 1905</t>
  </si>
  <si>
    <t>Triner (2014, p. 158)</t>
  </si>
  <si>
    <t>Infla Briones &amp; Villela (2006), quoting Triner (2000, p. 47) report that inflationary chaos and an exchange-rate collapse caused large-scale bank failures with demand deposits dropping by more than 50%. Reinhart &amp; Rogoff (2009) date the beginning of the panic to December 1890, though Triner (2001) reports February 1891. To be safe, we date the beginning of the panic to November 1890 when the London crisis and the Argentine default occured.</t>
  </si>
  <si>
    <t>Civil war, deflation and currency depreciation, but no evidence of a banking panic (Reinhart &amp; Rogoff, 2009; Triner, 2014; Briones &amp; Villela, 2006).</t>
  </si>
  <si>
    <t>October 1900</t>
  </si>
  <si>
    <t>A second wave of bank failures (after the first one that started in 1891) occurred that resulted in a total of 58 failed banks between 1891 and 1905.</t>
  </si>
  <si>
    <t>Hanley (2005, pp. 172-182) and Reinhart &amp; Rogoff (2009, 2014) both consider this a systemic banking crisis with massive deposit runs. Hanley (2005, p. 179) dates the panic to October 1900.</t>
  </si>
  <si>
    <t>There is no evdience of bank failures.</t>
  </si>
  <si>
    <t>Roberts (2013) and Reinhart &amp; Rogoff (2009, 2014) argue this is a banking crisis. Roberts (2013, p. 215) dates the panic to July 1914 when deposit runs led to the closure of stock exchanges across countries in Latin America.</t>
  </si>
  <si>
    <t>Reinhart &amp; Rogoff (2009) report that the banking system contracted by 20%, citing Triner (2000). Triner (2000, p. 57), however, refers only to deposits and money supply. We cannot find evidence of any bank failures.</t>
  </si>
  <si>
    <t>Triner (2000, p. 57)</t>
  </si>
  <si>
    <t>Bordo et al. (2001) and Reinhart &amp; Rogoff (2009, 2014) classify this as a banking crisis. Reinhart &amp; Rogoff (2009, p. 353-356) report a severe monetary contraction due to Brazil's return to the Gold Standard. However, there is little evidence that there were bank runs or other elements that would qualify it as a panic.</t>
  </si>
  <si>
    <t>Reinhart &amp; Rogoff (2014) refer to this period as a non-systemic banking crisis but do not do so in their 2009 book. Banco de Brasil was affected by deflationary policies (Triner, 2000, p. 59). There is no further evidence indicating a systemic banking crisis or a panic.</t>
  </si>
  <si>
    <t>June 1932</t>
  </si>
  <si>
    <t>Reinhart &amp; Rogoff (2014) refer to this period as a non-systemic banking crisis but do not do so in their 2009 book. Triner (2000, p.59) state that the depression was comparatively mild in Brazil. But by 1932, stress in the banking sector had reached levels that had not been observed since 1891. In June 1932, the government created an emergency fund to meet withdrawals of deposits, suggesting a panic (League of Nations, 1935, p. 163).</t>
  </si>
  <si>
    <t>There is no evidence of a banking panic. Reinhart &amp; Rogoff (2009, 2014) follow Bordo et al. (2001) and report 1963 as a systemic banking crisis. There is, however, to the best of our knowledge, no credible evidence that there was in fact a banking crisis or a panic.</t>
  </si>
  <si>
    <t>September 1985</t>
  </si>
  <si>
    <t>Brazilinvest was closed by the government. Large banks Comind, Maison Nave, and Auxiliar were nationalized. The National Housing Bank went bankrupt in 1986.</t>
  </si>
  <si>
    <t>Reinhart &amp; Rogoff (2009, p. 354)
Chwieroth &amp; Walter (2019, pp. 457-460)</t>
  </si>
  <si>
    <t>Reinhart &amp; Rogoff (2009, 2014) considers this a systemic banking crisis and date the start as September 1985. Kaminsky &amp; Reinhart (1999, p. 478) date the beginning of the panic to September 1985. Chwieroth &amp; Walter (2019) report that first bank failures occurred as early as February 1985.</t>
  </si>
  <si>
    <t>February 1990</t>
  </si>
  <si>
    <t>Reinhart &amp; Rogoff (2009, 2014) report this as a systemic banking crisis. Laeven &amp; Valencia (2018) refer to this as a borderline case. The latter date the start of the crisis to February 1990 and further report deposit freezes in March, likely indicating a panic.</t>
  </si>
  <si>
    <t>July 1994</t>
  </si>
  <si>
    <t>17 small banks were liquidated and the government put 43 financial institutions under adminstration or intervention.</t>
  </si>
  <si>
    <t>Reinhart &amp; Rogoff (2009, p. 354)
Jacome, Sedik &amp; Townsend (2012, p. 27)</t>
  </si>
  <si>
    <t>Jacome (2008, p. 13) report this a systemic banking crisis, and so do Reinhart &amp; Rogoff (2014) and Laeven &amp; Valencia (2018). Reinhart &amp; Rogoff date the beginning of the panic to July 1994, while Laeven &amp; Valencia (2018) and Kaminsky &amp; Reinhart (1999) indicate December.</t>
  </si>
  <si>
    <t xml:space="preserve">Boonman, Jacobs, &amp; Kuper (2011) acknowledge that in 2008 Latin American currencies depreciated sharply versus the US dollar but that this did not cause a banking crisis in Brazil. This is line with the general consensus in the literature that Latin American banks were largely spared from the Global Financial Crisis (e.g. Lane &amp; Milesi-Ferretti, 2011). </t>
  </si>
  <si>
    <t>Canada</t>
  </si>
  <si>
    <t>July 1879</t>
  </si>
  <si>
    <t>Bank of Acadia, Mechanics Bank, Consolidated Bank, Bank of Liverpool, and Banque Sainte Hyacinthe failed in 1873. Several other banks failed in the following years until 1879. This is a fairly large number of failures since there were no more than 36 banks reporting to the government during this period.</t>
  </si>
  <si>
    <t>Kryzanowski &amp; Roberts (1993, p. 364)
Willis and Beckhart (1929, pp. 327, 334-337)</t>
  </si>
  <si>
    <t>"In the strict sense of the word, Canada suffered no panic." (Breckenridge 1910, p. 114) [quoted by Grossman (2010)]. However, Ross (1922) provides evidence of widespread depositor runs: "had a meeting in Montreal with representatives of three Montreal banks, among which were the Bank of Montreal and the Merchants, but apparently nothing could be done to save the tottering institution. On the afternoon of Thursday, July 31, 1879, [Consolidated Bank] suspended payment.  The failure was not a bad one, as it was able to pay its creditors, both noteholders and depositors, in full... On August 6, an uneasy feeling was observable in Hamilton and Sarnia with regard to the position of the Exchange Bank of Canada, the head office of which was in Montreal, and the following morning it suspended. Next day came the suspension of the Banque Ville Marie, 2 and rumours regarding the solvency of the Banque de St. Hyacinthe, the Banque de St. Jean and the Banque d'Hochelaga. To quote Mr. Anderson again: 'On the 9th [August] the run upon the City and District Savings Bank [Montreal] was serious, and the aggregate withdrawals of deposits were estimated at $500,000. There was also a run upon the Molson's Bank in Montreal, the Bank of Hamilton in Hamilton, and the Merchants Bank in Hamilton.' ...On Saturday afternoon the run on the City and District Savings Bank stopped. The Exchange Bank of Canada and the Banque Ville Marie were able to resume payment after the panic had subsided."</t>
  </si>
  <si>
    <t>Reinhart &amp; Rogoff (2009, 2014) flag this as a systemic banking crisis. According to Grossman (2010), "Towards the end of the severe cyclical downturn ushered in by the commercial crisis of 1873, several banks failed or were liquidated… These accounted for about 7.5 per-cent of total bank capital at the time. According to McIvor (1958: 73), although the banks were criticized for reducing outstanding credit during this period, most banks survived by relying on their capital and reserves and by mergers."</t>
  </si>
  <si>
    <t>Ontario Bank failed in 1906.</t>
  </si>
  <si>
    <t>There is no banking panic. According to Carr, Mathewson, &amp; Quigley (1995), "The assets and liabilities of the Ontario Bank were assumed by the Bank of Montreal in October 1906, with the other members of the CBA giving it a guarantee against ultimate loss. On 31 August 1908 the bank was formally placed in liquidation to facilitate the collection of the double liability, which proved more than sufficient to cover the deficiency in the assets."</t>
  </si>
  <si>
    <t>Sovereign Bank failed in 1907-1908. A few other small banks (e.g. St. Jean, St. Hyacinthe) failed or were absorbed, as well.</t>
  </si>
  <si>
    <t>Kryzanowski &amp; Roberts (1993, p. 364)
Carr, Mathewson &amp; Quigley (1995, pp. 1139-1140)</t>
  </si>
  <si>
    <t>There was severe credit crunch in the Western provinces, a shortage of reserves due to the crisis in New York, but the few banks that did fail were all absorbed or assisted by other banks, and the government intervened to ease the credit crunch in the West. Rich (1989) writes this was the first time in Canadian history that the government assumed the role of lender of last resort by providing liquidity to troubled banks (Rich, 1989, p. 136).</t>
  </si>
  <si>
    <t>Reinhart &amp; Rogoff (2014) report 1906 and 1907 as years of systemic banking crisis. Reinhart &amp; Rogoff (2009) report 1908 as a separate banking crisis event, but do not do so anymore in their 2014 update.</t>
  </si>
  <si>
    <t>Bank of Vancouver fails in 1914, but this is the only failure. There were some mergers during this time, but Carr, Mathewson, and Quigley (1995) provide stock price and narrative evidence suggesting these mergers were done for strategic reasons and not because of bank weaknesses.</t>
  </si>
  <si>
    <t>Jamieson (1953, p. 46) writes: "Yet, although there was evidence of alarm here and there, including a few runs on the banks, on the whole reason prevailed, and nowhere in Canada was there anything approaching panic." Run on the Bank of Vancouver in October 1914 (Carr, Mathewson, &amp; Quigley, 1995, pp. 1141-1142). he Bank of Vancouver, suspended payment on December 14, 1914. Jamieson (1954, p. 54) writes: "Though relatively it was a bad failure and depositors got very little, the absolute amounts were unimportant and repercussions purely local."</t>
  </si>
  <si>
    <t>Coincided with the bust of a real estate boom in Vancouver and the Western farm provinces.</t>
  </si>
  <si>
    <t>December 1921</t>
  </si>
  <si>
    <t>Major bank Home Bank of Canada failed in August 1923. Absorption of failing banks, such as Merchants Bank in 1922, Bank of Hamilton in 1923, Sterling Bank and Banque National in 1924, and Molson's Bank and Union Bank in 1925.</t>
  </si>
  <si>
    <t>Kryzanowski &amp; Roberts (1993, p. 364)
Carr, Mathewson &amp; Quigley (1995, pp. 1142-1143)</t>
  </si>
  <si>
    <t xml:space="preserve">The banking system faced large difficulties with the result of sporadic bank runs and that "millions of deposits were withdrawn and it was not until the end of the year [1923] that the situation quietened" (Jamieson, 1953, p. 65). Some solvent banks, such as the Dominion and Imperial, experienced runs in 1924. Run on the small bank La Banque Nationale in December 1921 (Carr, Mathewson, &amp; Quigley, 1995, pp. 1148-1149; Jamieson, 1953, p. 54). </t>
  </si>
  <si>
    <t xml:space="preserve">Reinhart &amp; Rogoff (2009, 2014) consider 1923 a systemic banking crisis. </t>
  </si>
  <si>
    <t>There is no evidence of widespread bank failures during the Great Depression in Canada. Only one small bank Weyburn Bank (an agricultural bank in rural Saskatchewan) was absorbed (by Imperial Bank in 1931) after significant financial difficulties.</t>
  </si>
  <si>
    <t>No evidence of panics, as documented by Kryzanowski &amp; Roberts (1993). The Canadian government provided liquidity assistance to banks during the early 1930s.</t>
  </si>
  <si>
    <t>However, there were still deep losses at the banks. At the Bank of Montreal, over half of loans were non-performing in 1932-1936 (Kryzanowski &amp; Roberts, 1993). Although no banks failed, many small trust companies and nonbank lenders failed (Colonial Investment &amp; Loan Co.) or were absorbed (London Loan &amp; Savings Co., People's Loan &amp; Savings Co., Consolidated Trusts Co., Union Trust Co., Standard Trust Co.).</t>
  </si>
  <si>
    <t>July 1982</t>
  </si>
  <si>
    <t>The Canadian Commercial Bank of Edmonton and the Northland Bank failed in 1985. Over 20 trust companies and mortgage corporations failed, as well. In 1986 the Bank of British Columbia had to be rescued and was bought by HSBC. Continental Bank was also liquidated.</t>
  </si>
  <si>
    <t xml:space="preserve"> Bordo &amp; Klingebiel (2003, p. 15)
Gup (1998, p. 18-22)</t>
  </si>
  <si>
    <t>The failures of the two banks coincided with deposit runs. Mercantile Bank of Canada also suffered bank runs and was taken over National Bank. These were all wholesale funded banks.</t>
  </si>
  <si>
    <t xml:space="preserve">Reinhart &amp; Rogoff (2014) and Bordo &amp; Klingenbiel (2003) consider the years 1983-1985 a non-systemic banking crisis. </t>
  </si>
  <si>
    <t>Canada did not experience a banking crisis during the Global Financial Crisis (Bordo, Redish &amp; Rockoff, 2015).</t>
  </si>
  <si>
    <t>December 1877</t>
  </si>
  <si>
    <t>Banco del Pobre, failed in 1877. Banco Alianza and Banco Consolidado failed in 1879.</t>
  </si>
  <si>
    <t>Briones (2002, Table 2, pp. 10-11)</t>
  </si>
  <si>
    <t>Briones (2002, 2007) call this a liquidity crisis of the banking system. Especially the Bank Nacional de Chile faced massive demand for note conversion to specie. Brock (2016) calls it a banking panic. Briones (2007) proposes that the panic started in December 1877.</t>
  </si>
  <si>
    <t xml:space="preserve">Briones &amp; Villela (2006, p. 340) refer to it as a severe banking crisis. Reinhart &amp; Rogoff (2009, 2014) do not even consider this a non-systemic banking crisis. </t>
  </si>
  <si>
    <t>Reinhart &amp; Rogoff (2014) report 1890 as a systemic banking crisis but do not do so in their 2009 book. There is however, very little evidence that there was, indeed, a systemic banking crisis in or around that year. One of the few sources is Brock (2016) which suggests that this was rather a sudden stop crisis than a banking crisis. Bordo &amp; Eichengreen (1999) call 1887 a currency crisis.</t>
  </si>
  <si>
    <t>July 1898</t>
  </si>
  <si>
    <t>Banco de la Union failed in 1897. The 1880s and 1890s saw four more bank failures.</t>
  </si>
  <si>
    <t>Reinhart &amp; Rogoff (2009) say this was a systemic banking crisis that started with a bank run in Santiago in July 1898.</t>
  </si>
  <si>
    <t xml:space="preserve">Bordo &amp; Eichengreen (1999) call 1898 a twin crisis. </t>
  </si>
  <si>
    <t>October 1907</t>
  </si>
  <si>
    <t>The 7th biggest bank Banco Mobiliario and two other banks failed.</t>
  </si>
  <si>
    <t xml:space="preserve">Briones &amp; Villela (2006, p. 8) </t>
  </si>
  <si>
    <t>Noyes (1909, p. 205) reports bank runs and "complete disorder in business circles", and further dates the outbreak of the panic to October 1907, almost simultaneously to the events in New York City.</t>
  </si>
  <si>
    <t>Reinhart &amp; Rogoff (2009, 2014) say this was a systemic banking crisis. Bordo &amp; Eichengreen (1999) call this only a currency crisis.</t>
  </si>
  <si>
    <t>Evidence of only one bank failing (Banco Italiano). Evidence seems to suggest that it was not a major bank.</t>
  </si>
  <si>
    <t>Roberts (2013, p. 216)</t>
  </si>
  <si>
    <t>Roberts (2013, p. 216-217) writes that "the bank runs were expressions of pure panic".  Roberts (2013, p. 215) dates the panic to July 1914 when deposit runs led to the closure of stock exchanges across countries in Latin America.</t>
  </si>
  <si>
    <t xml:space="preserve">Reinhart &amp; Rogoff (2014) say this was a systemic banking crisis but do not do so in their 2009 book. </t>
  </si>
  <si>
    <t>December 1925</t>
  </si>
  <si>
    <t>Second largest bank Banco Español de Chile failed and was restructured in 1925-1926.</t>
  </si>
  <si>
    <t>Carrasco (2009)</t>
  </si>
  <si>
    <t>The second largest bank Banco Español de Chile was liquidated in December 1925. No evidence either way specifically about panics, but likely that there was a panic based on circumstantial evidence (so we say it's a panic to be conservative).</t>
  </si>
  <si>
    <t xml:space="preserve">Reinhart &amp; Rogoff (2014) say 1926 was a systemic banking crisis. They do not say so in their 2009 book. </t>
  </si>
  <si>
    <t>4 out of 22 banks were forced to close in 1930 and 1931.</t>
  </si>
  <si>
    <t>Brock (1998, p. 15)</t>
  </si>
  <si>
    <t>In June 1932, the goverenment froze deposits and declared a three-day bank holiday, suggesting that there was a panic (Brock, 1998, p. 15).</t>
  </si>
  <si>
    <t xml:space="preserve">Reinhart &amp; Rogoff (2014) consider this a debt, inflation, and currency crisis but not a systemic banking crisis. </t>
  </si>
  <si>
    <t>There is no evidence of a banking panic. Drop in bank stock prices are probably due to a spike in inflation (up to 40%).</t>
  </si>
  <si>
    <t>There is no evidence of a banking panic. The drop in bank stock prices may have to do with Allende's announcement to nationalize banks.</t>
  </si>
  <si>
    <t>June 1975</t>
  </si>
  <si>
    <t>The entire SINAP system failed in 1976. The medium-sized bank Banco Osorno y La Union failed in 1977. A number of other finanical institutions failed, as well.</t>
  </si>
  <si>
    <t>Kaufman (1992, p. 73)</t>
  </si>
  <si>
    <t>In June 1975, after many depositors had fled the SINAP system, its deposits were freezed for 60 days (Kaufman, 1992, p. 76), indicating a panic.</t>
  </si>
  <si>
    <t>Reinhart &amp; Rogoff (2009, 2014) say 1976 was a systemic banking crisis. Laeven &amp; Valencia (2018) concur.</t>
  </si>
  <si>
    <t>September 1981</t>
  </si>
  <si>
    <t xml:space="preserve">Four banks failed in 1981, and seven banks failed in 1983. Those banks were taken over by the supervisory institution. Also, a number of other financial institutions failed. </t>
  </si>
  <si>
    <t>Caprio &amp; Klingebiel (2003, p. 8)
Kaufman (1992, pp. 78-83)</t>
  </si>
  <si>
    <t xml:space="preserve">Laeven &amp; Valencia (2018) date the panic to November 1981. Kaminsky &amp; Reinhart (1999) say it already started in September. </t>
  </si>
  <si>
    <t>Reinhart &amp; Rogoff (2014) say 1981-1984 was a systemic banking crisis. Caprio &amp; Klingebiel (2003, p. 8) report that "In 1981 the authorities intervened in four banks and four nonbank financial institutions accounting for 33 percent of outstanding loans. In 1983 the authorities intervened in seven banks and one financiera accounting for 45 percent of financial system assets. By the end of 1983, 19 percent of loans were nonperforming."</t>
  </si>
  <si>
    <t>June 1929</t>
  </si>
  <si>
    <t>According to White (1997), only one bank failed, but 23 branches and agencies of banks and the Caja de Credito Agrario were closed.</t>
  </si>
  <si>
    <t>Bank deposits fell by more than 50% during 1929-1931, indicating a panic (Drake, 1989, p. 62). However, this seems to be mostly foreign outflows, as White (1997) reports that local depositor confidence was generally maintained.</t>
  </si>
  <si>
    <t>Reinhart &amp; Rogoff (2009, 2014) do not report any banking crisis event. White (1997) reports that problems started after the coffee price boom ended in late 1928; although the system was technically solvent, enormous bank losses in 1931-33 were followed by a deep credit crunch. The period saw very high financial stress among banks, in addition to non-bank runs. The domestic banking system survived through a combination of forbearance, policy intervention, and prudent bank management. The consolidation of the banking sector in the first half of the 1920s had left it in a much stronger position when the Great Depression arrived in Colombia (White, 1998).</t>
  </si>
  <si>
    <t>Corporacion Financiera Cofinatura failed in 1980, and in 1982 three finance companies, the Fondo Ganadero de la Guajira, and four securities firms were taken over by the government. Many more banks were taken over through 1987. (White, 1997)</t>
  </si>
  <si>
    <t>Caprio &amp; Klingebiel (2003, p. 8)</t>
  </si>
  <si>
    <t>There were no panics, as the Colombian government intervened in all failing companies, including extraordinary intervention to save the large and extremely illiquid Banco del Estado, to avert a panic (White, 1997).</t>
  </si>
  <si>
    <t>Reinhart &amp; Rogoff (2009, 2014) and Laeven &amp; Valencia (2018) say this was a systemic bank crisis. However, bank losses were extremely severe, with bad loans representing 12 of assets and 343 percent of capital by 1985 (White, 1997).</t>
  </si>
  <si>
    <t>June 1998</t>
  </si>
  <si>
    <t>12 bank failures occured between June 1998 and December 2001, representing a failure rate of 31 percent.</t>
  </si>
  <si>
    <t>Gomez-Gonzalez &amp; Kiefer (2009, p. 19).</t>
  </si>
  <si>
    <t>Laeven &amp; Valencia (2018) date the panic to June 1998. This is confirmed by Gomez-Gonzalez &amp; Kiefer (2009, p. 18). Reinhart &amp; Rogoff (2009) report severe liquidity problems in the banking sector.</t>
  </si>
  <si>
    <t>Reinhart &amp; Rogoff (2009, 2014) and Laeven &amp; Valencia (2018) say this was a systemic bank crisis.</t>
  </si>
  <si>
    <t xml:space="preserve">Boonman, Jacobs, &amp; Kuper (2011) acknowledge that in 2008 Latin American currencies depreciated sharply versus the US dollar but that this did not cause a banking crisis in Colombia. This is line with the general consensus in the literature that Latin American banks were largely spared from the Global Financial Crisis (e.g. Lane &amp; Milesi-Ferretti, 2011). </t>
  </si>
  <si>
    <t>Czech Republic</t>
  </si>
  <si>
    <t>May 1923</t>
  </si>
  <si>
    <t xml:space="preserve">Moravsko Sleska Banka, the Bohemian Foreign Banking Corporation, and the Pozemkova Bank failed. </t>
  </si>
  <si>
    <t>Federal Reserve (1923, p. 920)</t>
  </si>
  <si>
    <t>The bank failures resulted in widespread deposit withdrawals from smaller banks across the country, indicating a panic (Federal Reserve, 1923). Federal Reserve (1923, p. 920) state that the financial difficulties of the three banks became public in May 1923, which serves as our start date of the panic.</t>
  </si>
  <si>
    <t>Bernanke &amp; James (1991) report that their were some deposit withdrawals but no panic.</t>
  </si>
  <si>
    <t>Reinhart &amp; Rogoff (2009) consider this a systemic bank crisis but dropped the country from their 2014 update.</t>
  </si>
  <si>
    <t>April 1994</t>
  </si>
  <si>
    <t>More than 20, mostly small banks failed. Banka Bohemia was the first to fail in 1994.</t>
  </si>
  <si>
    <t>Dubska (2013)</t>
  </si>
  <si>
    <t>The panic can be dated to April 1994 when Banka Bohemia faced a depositor run. Other bank runs ensued.</t>
  </si>
  <si>
    <t>Caprio &amp; Klingebiel (2003) are the only source that date the beginning of the banking crisis of the 1990s to 1991. Lo Duca et al. (2017) and Laeven &amp; Valencia (2018) record no crisis in or around this year.</t>
  </si>
  <si>
    <t>June 2000</t>
  </si>
  <si>
    <t>In 2000, the third-largest bank Investiční a Poštovní banka failed.</t>
  </si>
  <si>
    <t>Caprio &amp; Klingebiel (2003)
Dubska (2013)</t>
  </si>
  <si>
    <t>Run on the third-largest bank Investiční a Poštovní Banka in 2000.</t>
  </si>
  <si>
    <t>Laeven &amp; Valencia (2018) report this as a systemic banking crises. In 1994–1995, 38 percent of the banking system loans were nonperforming (Caprio &amp; Klingebiel, 2003). Lo Duca et al. (2017) date the beginning of the crisis to May 1997.</t>
  </si>
  <si>
    <t>Several savings banks and a few commercial banks (Den vestsjællandske Folkebank, Fyens Folkebank) were liquidated.</t>
  </si>
  <si>
    <t>Abildgren (2014, p. 23)
Sumner et al. (1896, p. 386)</t>
  </si>
  <si>
    <t>Reinhart &amp; Rogoff (2009, 2014) say this was a systemic banking crisis. Sumner et al. (1896, p. 386) provides evidence that there was severe stress in the banking system but no information on the exact dating of a panic could be found.</t>
  </si>
  <si>
    <t>September 1885</t>
  </si>
  <si>
    <t>Varde bank failed in 1885 largely due to fraud, and Handels- og Landmandsbanken, Nyborg was liquidated the same year.</t>
  </si>
  <si>
    <t>Abildgren (2014, p. 23)
Frifelt (1947)</t>
  </si>
  <si>
    <t>Reinhart &amp; Rogoff (2009, 2014) say this was a systemic banking crisis and that the National Bank intervened to provide support for banks, indicating a panic. Bankruptcies among non-financial firms caused the banking sector's liquidity to come under pressure (Abildgren, 2014, p. 23).</t>
  </si>
  <si>
    <t>Reinhart &amp; Rogoff (2009, 2014) say this was a systemic banking crisis. However, on close inspection of the sources provided (Conant, 1915, p. 300) and of other sources, one cannot find any substantial evidence, that there was a separate crisis event in 1902. The events described in Reinhart &amp; Rogoff (2009, p. 359) can most likely be attributed to the crisis of 1907. The described failure of Freeholder's bank actually occured in 1908.</t>
  </si>
  <si>
    <t>February 1908</t>
  </si>
  <si>
    <t>Grundejerbank failed in 1908. The Detailhandler Bank's imminent failure prompted a bankout orchestrated by the Nationalbank.</t>
  </si>
  <si>
    <t>Conant (1915, p. 300)</t>
  </si>
  <si>
    <t>Reinhart &amp; Rogoff (2009, 2014) and Bordo &amp; Eichengreen (2009) say this was a systemic banking crisis. The failure of Grundejerbank (Freeholder's bank) in February 1908 was followed by a bank run on several institutions (Conant, 1915, p. 300).</t>
  </si>
  <si>
    <t>Several large commercial banks, including Scandinavia's largest bank – Landmandsbanken – received capital and/or liquidity support from the government and the Nationalbank. No failures were reported, however.</t>
  </si>
  <si>
    <t>Abildgren (2014, p. 23)</t>
  </si>
  <si>
    <t>The stock exchange closed to avert a panic and payment in specie was suspended when the war broke out in July 1914. Roberts (2013, p. 206), however, reports that, unlike many other countries in July 1914, there was "no kind of panic, in spite of the grave disturbance in banking" .</t>
  </si>
  <si>
    <t>September 1922</t>
  </si>
  <si>
    <t xml:space="preserve">In 1922 a total of 23 banks had to be acquired, reconstructed, or liquidated. The largest bank, Landmandsbanken, was the most spectacular failure in September 1922, the fourth and fifth largest banks failed in 1924 and 1925, respectively, and in 1928 the third largest, Privatbanken, had to be rescued by private investors. In total, </t>
  </si>
  <si>
    <t>Hansen (2012, p. 679-680)</t>
  </si>
  <si>
    <t>The collapse of major bank Landmandsbanken in September 1922 triggered a panic and bank runs (Hansen, 2012).</t>
  </si>
  <si>
    <t>Reinhart &amp; Rogoff (2009, 2014) say 1921 was a systemic banking crisis. It was caused by reckless lending during the war and a deflationary spiral in the early 20s, and lasted many years.</t>
  </si>
  <si>
    <t>Reinhart &amp; Rogoff (2009, 2014) say this was a systemic banking crisis. There is, however, no evidence of bank failures.</t>
  </si>
  <si>
    <t>Hansen (1995) report that central bank intervention prevented panics despite the liquidity problems in the banking sector.</t>
  </si>
  <si>
    <t>There is no evidence of a banking panic. Lo Duca et al. (2017) confirm that the financial system remained resilient to external stress factors.</t>
  </si>
  <si>
    <t>9th largest bank Varde Bank had to be bailed-out in 1992-1993. Major bank failures include Krone Banken (1984), 6. Juli Bank and C&amp;G Bank (1987), and Unibank (1992), and Baltica Bank and Himmerlandsbanken (1993). Overall, 52 mostly small and medium sized banks closed due to financial difficulties.</t>
  </si>
  <si>
    <t>Abildgren &amp; Thomsen (2011, p. 127), (Abildgren, Monetary
History of Denmark: 1980-1995)</t>
  </si>
  <si>
    <t>There is no narrative evidence of panics. The government and the Nationalbank were succesful in providing support to distressed banks (Lo Duca et al., 2017). The closest thing to a runs was, "on Friday June 19, 1992, several branches reported a large number of clients had withdrawn there money. However, Nationalbanken stepped in to provide liquidity guarantees to Unibank a through a stand-by liquidity facility. On Monday June 22, 1992 when Unibank branches it was clear an all-out bank run had been prevented, as the liquidity guarantee was credible. Therefore, a large scale run had been prevented." (Source: Ole Mikkelsen’s 2011 biography of Peter Straarup, former CEO of Danske Bank).</t>
  </si>
  <si>
    <t>Reinhart &amp; Rogoff (2014) say that this was a non-systemic banking crisis which lasted from March 1987 to 1992. Lo Duca et al. (2017) date the beginning of the crisis to March 1987, as well. Laeven &amp; Valencia (2018) do not consider this a systemic banking crisis.</t>
  </si>
  <si>
    <t>Between 2008 and 2013 around one-third of all banks in Denmark failed or ceased to exist. 11 banks dissappeared in 2008 and 8 in 2009.</t>
  </si>
  <si>
    <t>Abildgren (2014, p. 23)
Rangvid et al. (2013, ch. 11, pp. 249-297)</t>
  </si>
  <si>
    <t>Laeven &amp; Valencia (2018) date the beginning of the panic to September 2008. Denmark did not bail out most banks but instead followed a bail-in approach resulting in the disappearance of about on third of all banks in the country (Rangvid et al. 2013, ch. 11).</t>
  </si>
  <si>
    <t>Laeven &amp; Valencia (2018), Reinhart &amp; Rogoff (2014), and Lo Duca et al. (2017) say this was a systemic banking crisis.</t>
  </si>
  <si>
    <t>11 banks dissappeared in 2010, 10 in 2011, 17 in 2012, and another 5 in 2013.</t>
  </si>
  <si>
    <t>Rangvid et al. (2013, ch. 11, pp. 249-297)</t>
  </si>
  <si>
    <t>Romer &amp; Romer (2017) report elevated financial stress. There is no evidence of renewed panic.</t>
  </si>
  <si>
    <t>Reinhart &amp; Rogoff (2014) attribute 2011 still to the previous crisis event, and so do Lo Duca et al. (2017).</t>
  </si>
  <si>
    <t>May 1907</t>
  </si>
  <si>
    <t>One important bank failed (Noyes 1909, p. 203), and Commercial, Industrial, &amp; Land Co. of Egypt and Société immobilière d'Égypte also failed. Credit Franco-Egyptien was absorbed. Credit Foncier Egyptien failed and required a gold infusion from the Bank of England.</t>
  </si>
  <si>
    <t xml:space="preserve"> Noyes (1909, p. 203)</t>
  </si>
  <si>
    <t xml:space="preserve">According to Noyes (1909, pp. 202-203) there was a depositor run in May 1907 that triggered a panic. </t>
  </si>
  <si>
    <t xml:space="preserve">Reinhart &amp; Rogoff (2009, 2014) report this as a systemic banking crisis. </t>
  </si>
  <si>
    <t>There is no evidence of bank failures.</t>
  </si>
  <si>
    <t>Rifaat (1935, pp. 88-95) report none in his account of Egypt's monetary history.</t>
  </si>
  <si>
    <t>Reinhart &amp; Rogoff (2009, 2014) do not consider this a banking crisis. However, Roberts (2013, pp. 214-215) report that there was a panic caused by depositor runs shortly after stock exchanges closed after the brake out of the war in July 1914. The Egyptian administration further suspended convertibility.</t>
  </si>
  <si>
    <t>July 1931</t>
  </si>
  <si>
    <t>The land mortgage banks suffered heavy losses and their debts had to be reorganized by the government after Egypt left the gold standard. They were in continual decline in the 1930s, with Land Mortgage Company of Egypt and Agricultural Bank of Egypt liquidating in 1936/7.</t>
  </si>
  <si>
    <t>Tignor, "State, Private Enterprise, and Economic Change in Egypt, 1918-1952" (2017)</t>
  </si>
  <si>
    <t>Reinhart &amp; Rogoff (2009, 2014) report this as a systemic banking crisis and date the panic to July 1931 when "there was a run on the Cairo and Alexandria branches of German banks" (p. 361).</t>
  </si>
  <si>
    <t>The government closed several large investment companies, but no evidence that commercial banks failed.</t>
  </si>
  <si>
    <t>Caprio &amp; Klingebiel (2003, p. 10)</t>
  </si>
  <si>
    <t>No information could be found about any panics (or lack thereof), but the close relationship between the banks and the government suggests there was probably no panic.</t>
  </si>
  <si>
    <t>Reinhart &amp; Rogoff (2014) consider the period of 1981 to 1983 a systemic banking crisis. Laeven &amp; Valencia (2018) consider 1980 a systemic banking crisis.</t>
  </si>
  <si>
    <t>Four public banks were given capital assistance.</t>
  </si>
  <si>
    <t>Caprio &amp; Klingebiel (2003, p. 16)</t>
  </si>
  <si>
    <t>Reinhart &amp; Rogoff (2014) consider 1990 to 1995 a non-systemic banking crisis.</t>
  </si>
  <si>
    <t>Major bank Pohjoismaiden Osakepankki came under severe stress and the government stepped in to provide liquidity. Herrala (1999, p. 13) says no banks failed, however.</t>
  </si>
  <si>
    <t>Herrala (1999, p. 13)</t>
  </si>
  <si>
    <t>Seems like the government acted to prevent a panic (but not sure): Losses of the bank were covered by writing down the value of the bank’s share capital (bail-in), cap was placed on the bank’s dividend distribution; to ease the crisis, state approved loans to the banks in order to  alleviate their liquidity problems.</t>
  </si>
  <si>
    <t>Reinhart &amp; Rogoff (2009, 2014) do not consider this a banking crisis. However, Jonung &amp; Hagberg (2005, pp. 10-11) report that a financial crisis developed after a speculative boom in the forest industry collapsed. Jordà, Schularick &amp; Taylor (2017) also consider this a crisis.</t>
  </si>
  <si>
    <t>November 1900</t>
  </si>
  <si>
    <t>Maanviljelyspankki failed in 1900.</t>
  </si>
  <si>
    <t>Herrala (1999, p. 10-11)</t>
  </si>
  <si>
    <t>Bank run on Maanviljelyspankki in November 1900 (Herrala, 1999). Bordo &amp; Eichengreen (1999, p. 26) report that Bank of Finland intervened in the panic to ease the liquidity problems of the other banks.</t>
  </si>
  <si>
    <t xml:space="preserve">Reinhart &amp; Rogoff (2009, 2014) say this was a banking crisis. </t>
  </si>
  <si>
    <t>Helsingin Diskonttopankki failed. In two further cases, failing banks were merged with larger banks: Suomen Teollisuuspankki and Privatbanken.</t>
  </si>
  <si>
    <t>Herrala (1999, p. 11)</t>
  </si>
  <si>
    <t>According to Herrala (1999), no evidence for a panic.</t>
  </si>
  <si>
    <t xml:space="preserve">Reinhart &amp; Rogoff (2009, 2014) say this was a systemic banking crisis. </t>
  </si>
  <si>
    <t>October 1931</t>
  </si>
  <si>
    <t>Suomen Vientipankki and Etela-Pohjanmaan pankki failed. Turunmaan pankki and Svenska Finlands Landtmannabank went bankrupt, too. Many smaller commercial banks merged with larger banks.</t>
  </si>
  <si>
    <t>Herrala (1999, p. 12)
Kuusterä (1994, pp. 140-142)</t>
  </si>
  <si>
    <t xml:space="preserve">According to the Bank of Finland 1931 Yearbook: "On the suspension of the gold standard last October, a panic occurred, which was soon allayed, it is true, but which nevertheless caused some deposits to be withdrawn from the banks, partly for fear of the value of the Finnish mark falling catastrophically, and partly for want of confidence in the banks. In addition, many firms hastened to employ their bank balances for paying off their foreign indebtedness." They also report that the Suomen Vientipankki and Etela-Pohjanmaan pankki "were obliged to stop payment". </t>
  </si>
  <si>
    <t>According to several sources, bank weakness started in 1928 due to the collapse of commodities prices. Reinhart &amp; Rogoff (2009, 2014) say this was a systemic banking crisis. This is confirmed by Herrala (1999). Bank of Finland provided support for troubled banks.</t>
  </si>
  <si>
    <t>Herrala (1999) reports that bank run at the onset of the Winter War threatened to snowball into a banking panic. Bank of Finland (1940) reports that the right of withdrawal from deposit accounts was restricted more than usual.</t>
  </si>
  <si>
    <t>There is no evidence of a banking panic. This is confirmed by Lo Duca et al. (2017).</t>
  </si>
  <si>
    <t>September 1991</t>
  </si>
  <si>
    <t>In September 1991, problems at the country's central savings bank Skopbank became so large that the Bank of Finland stepped in and nationalized the entire insitution to save it from bankruptcy.</t>
  </si>
  <si>
    <t>"On several occasions during 1990, SKOP could not raise sufficient funds from the interbank market and had to resort to overnight debt from the Bank of Finland to cover its liquidity position.
SKOP's liquidity position finally collapsed on September 19, 1991, when other banks would not buy its money market debt papers
at all. The Bank of Finland took over the control of SKOP and bought the majority of its shares."</t>
  </si>
  <si>
    <t>Laeven &amp; Valencia (2018), Lo Duca et al. (2017), and Reinhart &amp; Rogoff (2014) unanimously call this a systemic banking crisis.</t>
  </si>
  <si>
    <t>There is no evidence of a banking panic. This is confirmed by Laeven &amp; Valencia (2018), Lo Duca et al. (2017), and Reinhart &amp; Rogoff (2014). Moody's July 2009 Banking System Outlook confirmed that Finnish banks did not have extensive liquidity problems in the previous year.</t>
  </si>
  <si>
    <t>France</t>
  </si>
  <si>
    <t>Plessis (1994, p. 190) reports massive withdrawals during war time indicating a panic. Tournie (2013, p. 69) reports that the government reacted with a moratorium.</t>
  </si>
  <si>
    <t>January 1882</t>
  </si>
  <si>
    <t>Major bank Union Générale failed in 1882.</t>
  </si>
  <si>
    <t>Conant (1915, p. 661)</t>
  </si>
  <si>
    <t>Conant (1915) writes that the panic ensued in January when systemic runs occurred after the collapse of Union Generale. However, "panic" seems to refer to a stock market crash. This crisis was mainly the result of a stock-market speculation-driven credit boom and seems to have been mainly a stock market crisis. However, White writes, "When the Marseilles branch of the bank experienced a run in October 1881, Henri Germain, the head of the bank, ordered a reduction of reports on the Lyon and Paris exchanges, though they were allowed to finance the bank’s own stock (Bouvier, 1968)", so there did seem to be some elements of a banking crisis also.</t>
  </si>
  <si>
    <t>March 1889</t>
  </si>
  <si>
    <t>Comptoir d'Escompte failed in 1889.</t>
  </si>
  <si>
    <t>Hautcoeur, River, White (2014) report a large-scale run on the Comptoir d’Escompte (CdE), one of the largest banks in France. The Banque de France quickly intervened to stop the panic.</t>
  </si>
  <si>
    <t>Reinhart &amp; Rogoff (2009, 2014) say this was a systemic banking crisis.</t>
  </si>
  <si>
    <t>There is no evidence of a banking panic. Reinhart &amp; Rogoff (2009) said so, but do not so in their 2014 update anymore.</t>
  </si>
  <si>
    <t>Reinhart &amp; Rogoff (2009, 2014) say this was a systemic banking crisis. However, there is little evidence in the literature that would support that view. They base their view and Bordo &amp; Eichengreen (1999) who in turn refer to Conant (1915). When one reads Conant (1915, pp. 72-77) and other sources closely it becomes apparent that this crisis dating may have been a mistake. See also, Noyes (1909, p. 207): "[...]France, which at no time during 1907 suffered from actual financial panic."</t>
  </si>
  <si>
    <t>The outbreak of the war in July 1914 triggered bank runs and the closing of stock exchanges in Paris (Roberts, 2013, p. 198-199; Tournie, 2013). In August, the government heavily restricted banks from granting credit and suspended conversion of specie. During 1914-1915 bank lending collapsed almost completely (p. 199).</t>
  </si>
  <si>
    <t>October 1930</t>
  </si>
  <si>
    <t>Smaller bank Banque Adam, Oustric Group, Banque Renauld, Charpenay, Veuve Guerin, and Banque d’Alsace-Lorraine failed in 1930. Banque National de Credit and other banks failed in 1931. Banque de l’Union Parisienne fails in 1932.</t>
  </si>
  <si>
    <t>Grossman (2010, p. 314)</t>
  </si>
  <si>
    <t>Reinhart &amp; Rogoff (2009, 2014) say this was a systemic banking crisis. Runs on provincial banks in October 1930 marked the beginning of the panic (Baubeau et al., 2018, p. 6).</t>
  </si>
  <si>
    <t>September 1938</t>
  </si>
  <si>
    <t>The government intervened and banking failures were prevented (Tournie, 2013).</t>
  </si>
  <si>
    <t>Tournie (2013, p. 9) report a large number of runs on saving banks in September 1938 due to expectations of war in Europe. Evidence points toward severe deposit withdrawals of around 4 billion franc in the month of September alone.</t>
  </si>
  <si>
    <t>Reinhart &amp; Rogoff (2010) report a banking crisis but do not do so in their 2009 book or in their 2014 update. Presumably it is an error. There is no convincing evidence of a banking panic.</t>
  </si>
  <si>
    <t>There is no evidence of a banking panic</t>
  </si>
  <si>
    <t>A number of small banks with close ties to the Middle East failed.</t>
  </si>
  <si>
    <t>Gup (1998, pp. 23-25)</t>
  </si>
  <si>
    <t>The country's largest bank Credit Lyonnais came into severe financial troubles in 1992-1993. It had to be rescued several times by the government during the 1990s. Credit Industriel et Commercial and Credit Foncier de France failed in 1996.</t>
  </si>
  <si>
    <t>Gup (1998, pp. 25-27)</t>
  </si>
  <si>
    <t>No evidence of panics. CL, CIC, and CF were quickly assisted by the government.</t>
  </si>
  <si>
    <t>Reinhart &amp; Rogoff (2014) say this was a non-systemic banking crisis from 1994-1995. Lo Duca et al. (2017) confirm this finding but give a start date in 1991. Laeven &amp; Valencia (2018) do not report this event. The fact that it was the country's largest bank that faced severe finanical distress and had to be rescued by the government (Gup, 1998, pp. 25-27), qualifies this episode as a banking crisis.</t>
  </si>
  <si>
    <t xml:space="preserve">No banks failed in France. (Except for Dexia, but that was Franco-Belgian.) Banque Populaire and Caisse d'Epargne merged at the height of the crisis but cannot be accounted for as failed banks. </t>
  </si>
  <si>
    <t xml:space="preserve">
Lo Duca et al. (2017)
</t>
  </si>
  <si>
    <t>Reinhart &amp; Rogoff (2014) and Lo Duca et al. (2017) say this was a systemic banking crisis. Laeven &amp; Valencia (2018) agree but call it a borderline case. They date the panic to September 2008. The bank system was recapitalized by the government (Lo Duca et al., 2017)</t>
  </si>
  <si>
    <t>Major Franco-Belgian bank Dexia failed (again) and received bail-out funds from three governments in 2011. But no other bank failures.</t>
  </si>
  <si>
    <t>October 1873</t>
  </si>
  <si>
    <t>Quistorpsche Vereinsbank failed in 1873. Allgemeine Depositenbank, Elberfelder Disconto- und Wechselbank, Unionbank, Dresdner Handelsbank, Sächsischer Bankverein, Sächsische Kreditgesellschaft, Thüringische Bank, and Stuttgarter Bank were liquidated between 1873-1876. Berliner Bankverein, Berliner Wechslerbank, Frankfurter Bankverein, and the Niederlausitzer Bank liquidated between 1876 and the 1880s. Oftentimes these smaller banks were bought by larger banks to save them from failure.</t>
  </si>
  <si>
    <t>Baltzer (2008, p. 35)
Riesser (1911, pp. 636-637)</t>
  </si>
  <si>
    <t>The collapse of Quistorpsche Vereinsbank triggered a panic in October 1873 (Baltzer, 2008, p. 35).</t>
  </si>
  <si>
    <t>Reinhart &amp; Rogoff (2009, 2014) do not report this event. There is, however, ample evidence that German experienced a systemic banking crisis. Jordà, Schularick &amp; Taylor (2017) report the event as a systemic banking crisis. Grossman (2010, p. 307) confirms this.</t>
  </si>
  <si>
    <t>Reinhart &amp; Rogoff (2014) report this as a systemic banking crisis. There is, however, no evidence in the literature that there was, indeed, a banking crisis during this time. This may likely have been an error. Accordingly, Jordà, Schularick &amp; Taylor (2017), choose not to report this event.</t>
  </si>
  <si>
    <t>September 1891</t>
  </si>
  <si>
    <t>Berlin banks C. W. Schnöckel, Hirschfeld &amp; Anton Wolf, Hermann Friedländer &amp; Sommerfeld, and Eduard Maass failed in 1891.</t>
  </si>
  <si>
    <t>Biggeleben (2006, p. 239)
Verlag der Frankfurter Zeitung (1906, pp. 615-616)</t>
  </si>
  <si>
    <t>Reinhart &amp; Rogoff (2009, 2014) do not report this event. However, there is evidence that there was at least a minor banking crisis. Jordà, Schularick &amp; Taylor (2017) report the event as a systemic banking crisis. Grossman (2019, p. 307) confirms this finding. The failure of C.W. Schnöckel bank in September 1891 triggered a wave of bank failures and deposit runs in Berlin (Verlag der Frankfurter Zeitung, 1906, pp. 615-616).</t>
  </si>
  <si>
    <t>This was a regional crisis of the banking industry, probably not quite so relevant for the entire country. But apparently important for the development of regulation.</t>
  </si>
  <si>
    <t>June 1901</t>
  </si>
  <si>
    <t>Two mortgage banks failed in the autumn of 1900. Pommersche Hypotheken Bank, Mortgage Bank of Mechlenberg-Strelitz failed and were saved by discount banks in 1901. Preussische Hypothekenaktienbank, Deutsche Grundschuldbank, Dresdner Creditanstalt and Leipziger Bank failed in 1901, as well, followed by some other smaller banks.</t>
  </si>
  <si>
    <t>Conant (1915, p. 705)
Riesser (1911, p. 639)</t>
  </si>
  <si>
    <t>The sudden failure of the Leipziger Bank in June 1901 caused a serious deposit run at the banks of Saxony (Conant, 1915, p. 705; Riesser, 1911, p. 639).</t>
  </si>
  <si>
    <t>Reinhart &amp; Rogoff (2009, 2014), Bordo &amp; Eichengreen (1999), and Jordà, Schularick &amp; Taylor (2017) report this as a systemic banking crisis.</t>
  </si>
  <si>
    <t>Haller, Soehler &amp; Co. failed in October 1907.</t>
  </si>
  <si>
    <t>Noyes (1909, pp. 203-204)</t>
  </si>
  <si>
    <t>Hamburg bank Haller, Soehler &amp; Co failed in October 1907 (Noyes, 1909, pp. 203-204) and there were heavy gold outflows from the Reichsbank, but there is no evidence of further bank failures or widespread distress in the banking system.</t>
  </si>
  <si>
    <t xml:space="preserve">Jordà, Schularick &amp; Taylor (2017) report this as a systemic banking crisis, citing Neal &amp; Weidenmier (2003). The information provided there is, however, minimal and insufficient to justify a banking crisis.  </t>
  </si>
  <si>
    <t>Accordig to our reading of the literature, there was a panic but no banking failures or long-term problems followed (Kindleberger, 1983, p. 284). Roberts (2013, p. 202) reports severe bank runs in July 1914 after the outbreak of the war. The Reichsbank and private banks suspended gold convertibility, subsequently. This is confirmed by Holtfrerich (1980, pp. 61-62).</t>
  </si>
  <si>
    <t>Despite the hyperinflation that rattled the Weimar Republic, there is no evidence of a banking crisis.</t>
  </si>
  <si>
    <t>Kindleberger (1984, p. 343) claims (probably erroneously) that Deutsche Länderbank failed in 1924, but there's no evidence of that (or any other bank failures), and it indeed it continued to exist until 1985. He also writes that "Many large banks in Germany suffered losses from speculation on the French Franc" without attribution. He is likely confusing this episode with Austria's bank failures in the same year.</t>
  </si>
  <si>
    <t>Darmstädter Bank, Landesbank der Rheinprovinz, and Danatbank failed in 1931. Dresdener Bank also failed in 1931 but was rescued by a group of private banks.</t>
  </si>
  <si>
    <t>Bernanke &amp; James (1991, p. 51-52)
Kindleberger (1984, pp. 361-365)</t>
  </si>
  <si>
    <t>Bernanke &amp; James (1991, p. 51) report first bank runs and failures of smaller banks in August 1929. In April 1931, a full-fledged panic started to set in that culminated in July and resulted bank in failures and a bank holiday (Bernanke &amp; James, 1991, p. 52; Kindleberger, 1984, pp. 361-365).</t>
  </si>
  <si>
    <t xml:space="preserve">Reinhart &amp; Rogoff (2009, 2014) and Jordà, Schularick &amp; Taylor (2017) report this as a systemic banking crisis. </t>
  </si>
  <si>
    <t>Large FX dealer Bankhaus Herstatt failed in 1974. In 1974, bankruptcy of Helaba was avoided by government intervention. Nord-LB was in financial difficulties and received heped from saving banks.</t>
  </si>
  <si>
    <t>Gup (1998, pp. 28-29) Die Zeit (1974)
Der Spiegel (1973)</t>
  </si>
  <si>
    <t>Lo Duca et al. (2017) report a financial crisis event in 1974-1975 but not a "banking crisis".</t>
  </si>
  <si>
    <t>Reinhart &amp; Rogoff (2009, 2014) erroneously report 1977-1979 as a non-systemic banking crisis affecting only Giro institutions, in turn citing Caprio &amp; Klingebiel (2003). It is likely that the authors mean the Landesbanken by the term Giro institutions. The sources do not elaborate or cite further. After a thorough investigation of the German literature, we can report that there was, indeed, financial distress for two Landesbanken happened in 1974, not 1977, and probably does not constitute a banking crisis event.</t>
  </si>
  <si>
    <t>There is no evidence of a banking panic. This is confirmed by Laeven &amp; Valencia (2018) and Lo Duca et al. (2017).</t>
  </si>
  <si>
    <t>Three out of four large German private commercial banks suffered major losses in 2002 and a number of small and medium sized institutions had to be merged, closed by the regulator or had to be rescued […].</t>
  </si>
  <si>
    <t>Schaeck &amp; Wolfe (2005, pp. 4-5)</t>
  </si>
  <si>
    <t>Lo Duca et al. (2017) report a financial crisis event for 2001-2003. There is no evidence of a widespread banking panic.</t>
  </si>
  <si>
    <t>Sachsen LB failed and was bought by LBBW which itself faced financial distress afterwards. Hypo Real Estate failed in 2008 and later liquidated. WestLB failed in 2009 and was later liquidated. BayernLB received substanial capital injections from the government in 2009. IKB announced heavy losses and had to be bailed out by the private banking sector in 2007. Dresdener Bank was bought by Commerzbank in 2009. In the same year, Commerzbank was partly nationalized by the government.</t>
  </si>
  <si>
    <t>Lienemeyer &amp; Magnus (2011)
Scharff (2009)</t>
  </si>
  <si>
    <t>Laeven &amp; Valencia (2018) date the beginning of the panic to September 2008.</t>
  </si>
  <si>
    <t>September 1931</t>
  </si>
  <si>
    <t>17 of the smaller banks failed or closed but the larger banks survived.</t>
  </si>
  <si>
    <t>Feinstein (1995, p. 465)</t>
  </si>
  <si>
    <t>September 1931 saw the first deposit run (Feinstein, 1995, p. 466). League of Nations (1934, p. 129) reports that the first quarter of 1932 saw massive withdrawals of Drachma deposits from banks.</t>
  </si>
  <si>
    <t>Reinhart &amp; Rogoff (2009, 2014) and Jordà, Schularick &amp; Taylor (2017) report this as a systemic banking crisis.</t>
  </si>
  <si>
    <t xml:space="preserve">There is no evidence of a banking panic. This is in line with Dritsas (1994). </t>
  </si>
  <si>
    <t>Hard to find information on any bank failures</t>
  </si>
  <si>
    <t>Eichengreen &amp; Gibson (2001) report slightly elevated stress in the financial system for this period, but no panics. There were a lot of industrial bankruptcies, however, and Antoniades and Kouzionis (1990) report that this has resulted in a large losses at the state-controlled commercial banks.</t>
  </si>
  <si>
    <t xml:space="preserve">Reinhart &amp; Rogoff (2009, 2014) call this a non-systemic banking crisis. Lo Duca et al. (2017) and Laeven &amp; Valencia (2018) do not report this period as banking crisis. </t>
  </si>
  <si>
    <t>Bank failures did not happen until a few years later as a result of the ensuing European debt crisis.</t>
  </si>
  <si>
    <t xml:space="preserve">Laeven &amp; Valencia (2018) date the beginning of the panic to September 2008. </t>
  </si>
  <si>
    <t>Laeven &amp; Valencia (2018), Lo Duca et al. (2017), and Reinhart &amp; Rogoff (2014) unanimously call this a systemic banking crisis. However, Pagoulatos &amp; Quaglia (2013) point out that there was not really a banking crisis in 2008. It resulted from the public debt crisis in 2010. Lo Duca et al. (2017) confirm exactly this and date the crisis to May 2010 and not at all to 2008/2009.</t>
  </si>
  <si>
    <t>August 2011</t>
  </si>
  <si>
    <t>In 2012, the four largest banks in Greece National Bank, Alpha , Eurobank and Piraeus Bank received funding from governments to prevent their failures. Hellenic Postbank failed in 2012. The number of domestic credit institutions was drastically reduced since 2009 from 35 to 17, many by mergers.</t>
  </si>
  <si>
    <t>Dabilis (2012)
The Globe and Mail (2012)
European Banking Federation (2018)</t>
  </si>
  <si>
    <t>Laeven &amp; Valencia (2018), Lo Duca et al. (2017), and Reinhart &amp; Rogoff (2014) count this a systemic banking crisis, too, but the latter attribute it to the previous event. The August 2011 date refers to the ECB announcement that a number of Greek banks had been cut off from its refinancing operations, leading to an acceleration in capital flight from Greek banks.</t>
  </si>
  <si>
    <t>Hong Kong</t>
  </si>
  <si>
    <t>March 1892</t>
  </si>
  <si>
    <t>New Oriental Bank Corporation, one of the largest banks, failed in June 1982.</t>
  </si>
  <si>
    <t>Muirhead &amp; Green (2016, pp. 239-243)</t>
  </si>
  <si>
    <t>According to Muirhead &amp; Green (2016, p. 239-243) there was a systemic banking panic. There was a bank run in March 1892 on New Oriental Bank corporation which failed three months later, triggering a second wave of bank runs on other banks.</t>
  </si>
  <si>
    <t>February 1965</t>
  </si>
  <si>
    <t>Chiu Tai Bank failed in 1963. Ming Tak, Canton Trust and Savings, and the second-largest bank Hang Seng failed in 1965. An additional four local banks were rescued by the government.</t>
  </si>
  <si>
    <t>Goodstadt (2007, p. 148)</t>
  </si>
  <si>
    <t>A panic ensued when in February 1965 Canton Trust &amp; Commercial Bank faced a deposit run Goodstadt (2007, esp. pp. 148-150).</t>
  </si>
  <si>
    <t xml:space="preserve">Reinhart &amp; Rogoff (2014) report a stock market crash but no banking crisis. Goodstadt (2007, esp. pp. 148-150), on the other hand, provides convincing evidence that there was a major banking crisis. </t>
  </si>
  <si>
    <t>1982, 1983</t>
  </si>
  <si>
    <t>September 1983</t>
  </si>
  <si>
    <t>Nine deposit-taking institutions failed in 1982. Between 1983 and 1986, seven banks, among them the third-largest local bank Overseas Trust Bank, were liquidated or taken over.</t>
  </si>
  <si>
    <t>Reinhart &amp; Rogoff (2009, p. 367)
Caprio &amp; Klingebiel (2003, p. 14)
Li (1999, pp. 131-132)</t>
  </si>
  <si>
    <t>Li (1999) dates the peak of the panic to September 1983 (p. 131).</t>
  </si>
  <si>
    <t>Reinhart &amp; Rogoff (2009, 1914) say this was a systemic banking crisis. This is in line with Li (1999) who reports systemic distress in the banking sector and a major banking crisis between 1893-1986.</t>
  </si>
  <si>
    <t>1991</t>
  </si>
  <si>
    <t>July 1991</t>
  </si>
  <si>
    <t>The Hong Kong subsidiary of Bank of Credit and Commerce International (BCCI) failed and was not rescued by the governemnt, and thus went into liquidation, but this was the only bank failure.</t>
  </si>
  <si>
    <t>Li (1999, p. 133) reports that the failure of the BCCI Group subsidiary in Hong Kong led to several bank runs (Standard Chartered Bank, Dao Heng Bank, International Bank of Asia, First Pacific Bank, and Citibank Hong Kong [Goodhart, 1995, p. 389; Basler, 1991]) and protests by depositors (no deposit insurance scheme). These runs subsided after several days.</t>
  </si>
  <si>
    <t>January 1998</t>
  </si>
  <si>
    <t>Asia's largest investment bank outside Japan, Peregrine Investment Holdings, failed in January 1998.</t>
  </si>
  <si>
    <t>Reinhart &amp; Rogoff (2009, p. 367)
Caprio &amp; Klingebiel (2003, p. 14)
Gargan (1998)</t>
  </si>
  <si>
    <t>Run on Peregrine Investment Holdings in January 1998. According to the Hong Kong Deposit Protection Board's website, "The spread of rumours triggered by the Asian financial crisis in 1997 adversely affected confidence in individual banks and the system as a whole, resulting in a short and temporary run on a local bank." Also, large spikes in the HIBOR spread due to selling pressure on HK dollar.</t>
  </si>
  <si>
    <t>Reinhart &amp; Rogoff (2009, 2014) say this was a systemic banking crisis. It was caused by spillovers from the Asian finanical crisis in South-East Asia.</t>
  </si>
  <si>
    <t>There is no evidence of a banking panic. (There was a classic depositor run on a single bank, Bank of East Asia, in September 2008, but the HKMA quickly stepped in.)</t>
  </si>
  <si>
    <t>Hungary</t>
  </si>
  <si>
    <t>July 1873</t>
  </si>
  <si>
    <t>13 Budapest banks failed and four were merged between 1873-1878.</t>
  </si>
  <si>
    <t>Rieder (2017, p. 50 &amp; T. 1.9)</t>
  </si>
  <si>
    <t>This is the well-known Gründerkrach banking crisis. Reinhart &amp; Rogoff (2009) date it to May 1873. Rieder (2017, ch. 1) reports massive depositor withdrawals and bank runs. The first bank failed in Hungary in July 1873.</t>
  </si>
  <si>
    <t>Between 1926 and 1930, 380 banks failed or dissapeared, and between 1930 and 1933 an additional 87 banks failed or dissapeared all across Hungary.</t>
  </si>
  <si>
    <t>Macher (2019, pp. 13-14)</t>
  </si>
  <si>
    <t>Reinhart &amp; Rogoff (2009, 2014) say this was a systemic banking crisis, citing Bernanke &amp; James (1991) who date the panic to July 1931 when banks in Budapest faced runs and a bank holiday was announced. However, Pogány (2014) reports that there was an earlier smaller bank run already in October 1930. But its size seem to have been large enough to consider it as the start of the panic. Macher (2019) and others report that it is too easy to say that it was Creditanstalt who triggered the crisis. There were massive bank failures much earlier.</t>
  </si>
  <si>
    <t>Six banks failed in 1992.</t>
  </si>
  <si>
    <t>Begg et al. (1998, p. 235)</t>
  </si>
  <si>
    <t>Lo Duca et al. (2017), Laeven &amp; Valencia (2018), and Reinhart &amp; Rogoff (2014) all count the episode of 1991-1995 as a systemic banking crisis. The newly developed banking system was undercapitalized and faced financial stress. The government had to intervene repeatedly. There is no evidence of a specific panic episode.</t>
  </si>
  <si>
    <t>February 1997</t>
  </si>
  <si>
    <t>Second-largest retail bank Postabank failed and was re-nationalized in 1997.</t>
  </si>
  <si>
    <t>Barisitz (2007, Table 4.5)
Tamás, E. (2017)</t>
  </si>
  <si>
    <t>Evidence of a banking crisis relates to the episode of 1991-1995. In February 1997, a deposit run on major bank Postabank occurred.</t>
  </si>
  <si>
    <t>No banks seemed to fail. The largest banks may have received equity assistance from the government from an IMF loan, and other programs such as a mortgage modification scheme seems to have prevented failures.</t>
  </si>
  <si>
    <t>Lo Duca et al. (2017) and Reinhart &amp; Rogoff (2014) report a systemic banking crisis. Laeven &amp; Valencia (2018) report the event, too, but call it a borderline case. They date the panic to September 2008. The banking sector suffered severe from stress from high rates of non-performing loans (Lo Duca et al., 2017).</t>
  </si>
  <si>
    <t>Late 1920</t>
  </si>
  <si>
    <t>Major banks Íslandsbanki and Landsbanki failed and were bailed out by the government.</t>
  </si>
  <si>
    <t>Einarsson et al. (2015, p. 21-24)</t>
  </si>
  <si>
    <t xml:space="preserve">Einarsson et al. (2015) report a systemic banking crisis from 1920-1921. In late 1920, Íslandsbanki faced major payment problems due to exposure in Copenhagen, Landsbanki followed soon after. Both were bailed out by the government (Jónsson, 2009, p. 63). Hard to tell there was a panic. </t>
  </si>
  <si>
    <t>February 1930</t>
  </si>
  <si>
    <t>Major bank Íslandsbanki failed and went into bankruptcy in February 1930.</t>
  </si>
  <si>
    <t>Einarsson et al. (2015) report a systemic banking crisis from 1930-1931. As a government response, the banking system became completely state-controlled. Hard to tell whether there was a panic.</t>
  </si>
  <si>
    <t>Útvegsbanki with a market-share of 7% of total loans failed in 1985.</t>
  </si>
  <si>
    <t>Reinhart &amp; Rogoff (2009, 2014) and Einarsson et al. (2015) report a non-systemic banking crisis. There is no evidence of panic.</t>
  </si>
  <si>
    <t>Landsbanki with a market-share of 17% of total loans was in need of major capital injection in 1993.</t>
  </si>
  <si>
    <t>Einarsson et al. (2015) report a non-systemic banking crisis while Reinhart &amp; Rogoff (2014) changed their opinion in comparision to their 2009 book and no not report any incident anymore. There is no evidence of panic.</t>
  </si>
  <si>
    <t>The three largest banks Glitnir, Kaupthing, and Landsbanki all failed in October 2008.</t>
  </si>
  <si>
    <t>Flannery (2009)</t>
  </si>
  <si>
    <t>Reinhart &amp; Rogoff (2014), Laeven &amp; Valencia (2018), and Einarsson et al. (2015) and report a major systemic banking crisis. Benediktsdottir et al. (2018) write: "As the liquidity crisis struck in 2007, it became harder for the banks and other Icelandic firms to secure foreign funding, and the Icelandic króna started to give way. In about the middle of September 2008, after many months of trying to find foreign funding, it became clear that Glitnir would not be able to pay off a large loan maturing in October... A full fledged capital flight from Iceland ensued. ... margin calls were coming in for collateralized borrowing, liquidity lines turned out to be not liquid at all, and a run on foreign deposit accounts was growing increasingly intense. The banks were fast becoming illiquid in foreign currencies (SIC, chaps. 4 and 20)."</t>
  </si>
  <si>
    <t>Reinhart &amp; Rogoff (2009, 2014) say this was a systemic banking crisis. However, Doraiswami (1915, p. 29-30) points more towards a currency crisis. Upon investigation, however, it become clear that Reinhart &amp; Rogoff's (2009, 2014) original source Conant (1915, pp. 583-585) does not mention problems in the banking sector but rather refers to issues in India's currency system. We, thus, do not count this as a banking crisis.</t>
  </si>
  <si>
    <t>November 1913</t>
  </si>
  <si>
    <t>Major banks Indian Specie Bank of Bombay and People's Bank of Lahore failed in 1913. 54 banks failed during 1913-1914.</t>
  </si>
  <si>
    <t xml:space="preserve">Doraiswami (1915, p. 117)
Agrawal (2018)
</t>
  </si>
  <si>
    <t>Reinhart &amp; Rogoff (2014) date a systemic banking crisis to 1914-1916. The failure of People's Bank of Lahore in November 1913 triggered a wave of deposit runs and bank closures (Doraiswami, 1915, p. 117).</t>
  </si>
  <si>
    <t>The large Alliance Bank of Simla failed in 1923. Chandavarkar (1983, p. 780) reports that a large number of banks failed with the onset of the post-war slump: see Muranjan (1952, p. 293 onward) for a long list of them and their causes.</t>
  </si>
  <si>
    <t>Chandavarkar (1983, p. 780)</t>
  </si>
  <si>
    <t>According to the list of causes of individual bank failres in Muranjan (1952, p. 293 onward), we cannot find signs of a panic.</t>
  </si>
  <si>
    <t>Reinhart &amp; Rogoff (2014) date a systemic banking crisis to 1921-1922. Muranjan (1952, p. 289) says this was not a "banking crisis". Something similar can be derived from Chandavarkar (1983, p. 780). Their view, which may or may not be correct, is the banking sector was doing well despite high rates of failures up until 1930.</t>
  </si>
  <si>
    <t>Reinhart &amp; Rogoff (2014) date a systemic banking crisis to 1929-1931. Chandavarkar (1983) and Muranjan (1952, ch. IX) show that although some banks failed this is well below the mean number of banks failing in the 1920s. In light of this data and after inspecting narrative of individual banks in these accounts it would be difficult to argue that there was evidence of a systemic banking crisis.</t>
  </si>
  <si>
    <t>Reinhart &amp; Rogoff (2014) date a systemic banking crisis to 1947-1948. There is, however little evidence in the literature that there was, indeed, a banking crisis. This event is most likely related to the Sterling crisis of 1947 and the India's independence.</t>
  </si>
  <si>
    <t>There do not seem to be any bank failures, since most of the banks were government owned. The number of nationalized banks remained constant at 19, SBI banks at 8, regional rural banks at 196, etc. (Shirai, 2002).</t>
  </si>
  <si>
    <t>No evidence of a panic. Banks were mostly government owned.</t>
  </si>
  <si>
    <t>Reinhart &amp; Rogoff (2014) date a non-systemic banking crisis to 1993-1998. Laeven &amp; Valencia (2018) report a systemic banking crisis in 1993.  Caprio &amp; Klingebiel (2003, p. 17) report "Nonperforming assets of the 27 public banks estimated at 20 percent in 1995. Nonperforming assets reached 11 percent in 1993–94. At the end of 1998 nonperforming loans estimated at 16 percent", clearly indicating significant losses in the banking system. Govt did major equity recapitalizations and banking reforms.</t>
  </si>
  <si>
    <t>No evidence of a crisis. India was relatively unaffected with the East Asian crisis.</t>
  </si>
  <si>
    <t>1992, 1994</t>
  </si>
  <si>
    <t>November 1992</t>
  </si>
  <si>
    <t>Large Bank Summa failed.</t>
  </si>
  <si>
    <t>Reinhart &amp; Rogoff (2014, p. 368)</t>
  </si>
  <si>
    <t>The collapse of Bank Summa triggered bank runs on three smaller banks. Kaminsky &amp; Reinhart (1999) date the beginning of the panic to November 1992.</t>
  </si>
  <si>
    <t>Reinhart &amp; Rogoff (2009, 2014) report a non-systemic banking crisis event in 1992 and 1994, respectively.</t>
  </si>
  <si>
    <t>From 1997 to 2002, 83 banks failed or were nationalized.</t>
  </si>
  <si>
    <t>Caprio &amp; Klingebiel (2003, p. 2)</t>
  </si>
  <si>
    <t>Indonesia was hit hard by the Asian financial crisis, resulting in system-wide bank runs and a free-fall of the currency. Laeven &amp; Valencia (2018) report that the true meltdown happened in January 1998.</t>
  </si>
  <si>
    <t>Reinhart &amp; Rogoff (2009, 2014) and Laeven &amp; Valencia (2018) agree that this was a systemic banking crisis.</t>
  </si>
  <si>
    <t xml:space="preserve">Anglo Irish Bank failed and was nationalized in 2009. </t>
  </si>
  <si>
    <t>Lo Duca et al. (2017)</t>
  </si>
  <si>
    <t>Laeven &amp; Valencia (2018) and Lo Duca et al. (2017) report a major systemic banking crisis. Both date the beginning of the panic to September 2008.</t>
  </si>
  <si>
    <t>November 2010</t>
  </si>
  <si>
    <t>Bank of Ireland was bailed out in 2010. EBS Building Society was nationalized in 2010.</t>
  </si>
  <si>
    <t>Ahmed &amp; Wilson (2010)
Wilson (2010)</t>
  </si>
  <si>
    <t>Both Laeven &amp; Valencia (2018) and Lo Duca et al. (2017) attribute this event to the above crisis event. There is convincing evidence, however, that in 2010 Ireland began to suffer from a massive but rather silent bank run that was not only due to the situation of its banks but also related to the European debt crisis (Whelan, 2014).</t>
  </si>
  <si>
    <t>Reinhart &amp; Rogoff (2009), citing Caprio &amp; Klingebiel (2003), report a systemic banking crisis for the years of 1977-1983 separatedly from the event beginning in 1983. There were, indeed, liquidty problems and elevated levels of stress in the banking sector (Plessner, 2012, p. 222). These were related, among others, to the adoption of a free floating exchange rate regime in 1977 and potentially exacerbated by the ensuing very high levels of inflation. There is, however, little evidence of a actual banking crisis or panic. No banks failed, either.</t>
  </si>
  <si>
    <t>The five largest banks were nationalized in 1983: Bank Leumi, Bank Hapoalim, Discount Bank, Bank HaMizrahi, and Bank Clali.</t>
  </si>
  <si>
    <t xml:space="preserve"> Blass &amp; Grossman (1996)</t>
  </si>
  <si>
    <t>Reinhart &amp; Rogoff (2009) and Laeven &amp; Valencia (2018) report a systemic banking crisis. Blass &amp; Grossman (1996) report that almost the entire banking system came into crisis as a result of reckless stock buy-backs and fraud. The government closed the stock exchange and nationalized the banks to prevent a panic in October 1983.</t>
  </si>
  <si>
    <t>There is no evidence of a banking panic. Bank of Israel (2004) reports that there was stress in the banking system and some liquidity problems at particular banks, but no banking crisis occurred.</t>
  </si>
  <si>
    <t>There is no evidence of a banking panic. This is confirmed by Dieckelmann (2019) and by narrative accounts. Accordingly, Laeven &amp; Valencia (2018) do not report it.</t>
  </si>
  <si>
    <t>After a boom in new bank foundations, several new banks went bankrupt. Banca Italo-Germanica failed in 1874.</t>
  </si>
  <si>
    <t>Zamagni (1993, p. 141)
Kindleberger (1984, p. 142)</t>
  </si>
  <si>
    <t>Difficult to find evidence either way of a panic.</t>
  </si>
  <si>
    <t>Jordà, Schularick &amp; Taylor (2017), citing Gigliobianco &amp; Giordano (2010), report a systemic banking crisis while Reinhart &amp; Rogoff (2009, 2014) do not. A more recent study by Bartoletto et al. (2019) confirms the view that there was, indeed, a banking crisis. The authors report that the effect on GDP was only limited and that the distress did not spread much to the real economy.</t>
  </si>
  <si>
    <t>August 1889</t>
  </si>
  <si>
    <r>
      <t>Banca Tiberin</t>
    </r>
    <r>
      <rPr>
        <sz val="11"/>
        <rFont val="Calibri"/>
        <family val="2"/>
        <scheme val="minor"/>
      </rPr>
      <t>a failed in August 1889</t>
    </r>
    <r>
      <rPr>
        <sz val="11"/>
        <color theme="1"/>
        <rFont val="Calibri"/>
        <family val="2"/>
        <scheme val="minor"/>
      </rPr>
      <t xml:space="preserve"> and Banco di Sconto e Sete was saved by a massive liquidity injection.</t>
    </r>
  </si>
  <si>
    <t>Kindleberger (1984, pp. 142-143)</t>
  </si>
  <si>
    <t>Reinhart &amp; Rogoff (2014) say there was a systemic banking crisis in 1889. In their 2009 book, the authors had reported the year of 1887. Jordà, Schularick &amp; Taylor (2017) report 1887 as the year of banking crisis. Bartoletto et al. (2019) date one major banking crisis to the period of 1887-1893, while Pani (2017) report 1889-1892. All sources report a credit and real estate boom preceding the crisis.</t>
  </si>
  <si>
    <t>1891, 1893</t>
  </si>
  <si>
    <t>November 1893</t>
  </si>
  <si>
    <t>Major bank Banca Romana failed in December 1892 and was later put into liquidation. Banca Generale and Credito Mobiliare failed in 1893.</t>
  </si>
  <si>
    <t>Pani (2017, p. 35) 
Willis &amp; Beckhart (1929, pp. 765-815)</t>
  </si>
  <si>
    <t>Pani (2017) claims the Banca Romana's failure "was not, however, caused by a funding crisis or “bank run,” but by the insolvency caused by the erosion of its capital. In the midst of the crisis, a last-minute attempt to merge Banca Romana with three other issuing banks failed as it became evident that the bank was insolvent, leaving the government with no other option but to liquidate the bank." However, there were massive runs on the Banca Generale and Credito Mobiliare (starting in November 1893), which triggered runs on at least 10 other local banks (Gigliobianco &amp; Giordano, 2010).</t>
  </si>
  <si>
    <t>Reinhart &amp; Rogoff (2009, 2014) say 1891 and 1893 were both systemic banking crises. Bartoletto et al. (2019) date one major banking crisis to the period of 1887-1893, while Pani (2017) reports 1889-1892. Bordo &amp; Eichengreen (1999) date it to 1891-1894. Jordà, Schularick &amp; Taylor (2017) date it to 1893. Bartoletto et al. (2019) report 1891 and 1893 separatedly. The failure and political scandal around Banca Romana became public in January 1893.</t>
  </si>
  <si>
    <t>September 1907</t>
  </si>
  <si>
    <t>The third-largest universal bank Società Bancaria Italiana failed in 1907.</t>
  </si>
  <si>
    <t>Gigliobianco &amp; Giordano (2010)</t>
  </si>
  <si>
    <t>Gigliobianco &amp; Giordano (2010, p. 26) report a deposit run by corporate clients and the general public on the large banks in the country in September 1907.</t>
  </si>
  <si>
    <t xml:space="preserve">Reinhart &amp; Rogoff (2009, 2014) and Jordà, Schularick &amp; Taylor (2017) say this was a systemic banking crisis. This is confirmed by Grossman (2010, p. 307). Kindleberger (1984, pp. 144-145) report widespread stress in the entire banking sector. </t>
  </si>
  <si>
    <t>A number of banks failed and large banks received emergency funds from the government.</t>
  </si>
  <si>
    <t>Gigliobianco &amp; Giordano (2010, p. 40-41).</t>
  </si>
  <si>
    <t>There was stress in the banking sector previously due to end of a boom period, but the outbreak of WWI in July 1914 immediately triggered widespread bank runs and a severe banking crisis (Gigliobianco &amp; Giordano, 2010, p. 40-41).</t>
  </si>
  <si>
    <t xml:space="preserve">Reinhart &amp; Rogoff (2009, 2014) say this was a systemic banking crisis. Bartoletto et al. (2019) confirm this finding. Jordà, Schularick &amp; Taylor (2017) do not report this event. </t>
  </si>
  <si>
    <t>November 1921</t>
  </si>
  <si>
    <t>Banca Italiana di Sconto failed in 1921. Banco di Roma was recapitalized in 1922.</t>
  </si>
  <si>
    <t>Bartoletto et al. (2019, p. 42)</t>
  </si>
  <si>
    <t>Local runs on Banca di Sconto started in January and February 1921, accelerated into a "general panic" in November and December 1921, during which point up to two-thirds of local deposits were withdrawn. (Economic Journal 1922, "The Bank Crisis in Italy", p. 185)</t>
  </si>
  <si>
    <t>Reinhart &amp; Rogoff (2009, 2014), Bartoletto et al. (2019), Jordà, Schularick &amp; Taylor (2017) and Grossman (2010) say this was a systemic banking crisis mainly caused by liquidity issues due to the end of the war and the related industrial contraction. In November 1921, a large-scale rescue attempt was underway to stabilize the banking system, lead mainly by the Bank of Italy (Kindleberger, 1984, pp. 349-350).</t>
  </si>
  <si>
    <t>December 1930</t>
  </si>
  <si>
    <t>Credito Italiano, Banca Commerciale and Banco di Roma failed and were nationalized under the fascist government. Many smaller banks closed and the banking system was reorganized.</t>
  </si>
  <si>
    <t>Bartoletto et al. (2019, pp. 43-44)
Kindleberger (1984, p. 360)</t>
  </si>
  <si>
    <t>Bernanke &amp; James (1990, p. 51) report that in December 1930 "withdrawals from three largest banks begin. A panic ensues in April 1931, followed by a government reorganization [...]."</t>
  </si>
  <si>
    <t>Reinhart &amp; Rogoff (2009, 2014), Bartoletto et al. (2019), and Jordà, Schularick &amp; Taylor (2017) say this was a systemic banking crisis. Kindleberger (1984, p. 360) points out that the banking problems were largely uknnown and that the bail-out happened in secret.</t>
  </si>
  <si>
    <t>Likely a mistake in Reinhart &amp; Rogoff (2009, 2014), following Bernanke &amp; James (1990). Only one bank finally closed, after long having been taken over by the government, and that was leftover from the crisis that began 1930.</t>
  </si>
  <si>
    <t>Banca Steinhauslin failed in 1981. Banco Ambrosiano and the Vatican Bank failed in 1982. All were very small banks.</t>
  </si>
  <si>
    <t>Gup (1998, pp. 30-34)</t>
  </si>
  <si>
    <t>There was a prominent bank scandal in Italy but there is no evidence of a banking panic (Gup 1998, pp. 31-32).</t>
  </si>
  <si>
    <t>Public banks Sicilcassa and Banco di Napoli failed, and were restructured and privatized.</t>
  </si>
  <si>
    <t>Reinhart &amp; Rogoff (2009, 2014) say the period of 1990-1995 was a non-systemic banking crisis. Bartoletto et al. (2019) agree on the period. Laeven &amp; Valencia (2018) do not report this crisis. Lo Duca et al. (2017) say this was a banking crisis and date it to September 1991-1997. They further report that this crisis affected mainly smaller banks and that total government expenditures remained relatively small. The literature gives is no indication of a panic.</t>
  </si>
  <si>
    <t>Widespread bank failures only started to appear a few years later as a result of the ensuing European debt crisis.</t>
  </si>
  <si>
    <t>Reinhart &amp; Rogoff (2009, 2014) and Laeven &amp; Valencia (2018) The latter date the panic to September 2008. Lo Duca et al. (2017) and Bartoletto et al. (2019) date the beginning of the banking crisis to 2011 (see next event). Laeven &amp; Valencia (2008) date the panic to September 2008 when extensive liquidity support was granted by authorities.</t>
  </si>
  <si>
    <r>
      <t xml:space="preserve">Banca di Credito Cooperativo San Vincenzo La Costa, Mantovabanca, Banca MB Milano, Banca UBAE Roma, Banca di Credito Cooperativo della Sibaritide, Banca di Credito dei Farmacisti, Banca di Cosenza, Banca di Credito Cooperativo di Altavilla, Banca Network Investimenti Silentina e Calabritto failed in 2011 or were put under temporary government administration.  Banca Network Investimenti and Banca di Credito Cooperativo Tarsia followed in 2012. </t>
    </r>
    <r>
      <rPr>
        <sz val="11"/>
        <rFont val="Calibri"/>
        <family val="2"/>
        <scheme val="minor"/>
      </rPr>
      <t xml:space="preserve">Banca Monte dei Paschi was bailed-out by the Bank of Italy in 2013.
</t>
    </r>
  </si>
  <si>
    <t>Lo Duca et al. (2017)
Gazzetta Ufficiale della Repubblica Italiana (2011a, 2011b, 2011c, 2011d, 2011e, 2011f, 2011g, 2012a, 2012b, 2012c)
Squires (2013)</t>
  </si>
  <si>
    <t>Reinhart &amp; Rogoff (2009, 2014) say this was a year of systemic banking crisis but attribute it to the previous event. Lo Duca et al. (2017), on the other hand, count this as a separate event. We follow this judgement. There was severe stress in the banking sector largely due to the Euro crisis that did not produce a panic but involved massive government intervention.</t>
  </si>
  <si>
    <t>Veneto Banca and Banca Popolare di Vicenza failed in 2017 and were liquidated. Banca Carige was put under control of the ECB in 2019.</t>
  </si>
  <si>
    <t>Brunsden &amp; James (2017)
Ewing (2019)</t>
  </si>
  <si>
    <t>Bartoletto et al. (2019) count 2013-2016 as a separate banking crisis from the 2011 event. High stress in the Italian banking sector continues at the time of writing.</t>
  </si>
  <si>
    <t>August 1871</t>
  </si>
  <si>
    <t>"Failure of nine of the ten exchange companies, precursors to banks that were established to provide banking services." Shizume and Tsurumi (2016) write, "the kawase-gaisha were to be engaged in the usual banking activities such as accepting deposits from and extending credit to customers, and transferring funds over long distances. They were also authorized to issue banknotes. But almost all kawase-gaisha soon suffered from bank runs and failed (only the one in Yokohama survived)."</t>
  </si>
  <si>
    <t>Grossman (2010, p. 308)
Tamaki (1995, pp. 25-27)</t>
  </si>
  <si>
    <t>See evidence of bank runs in the box to the left.</t>
  </si>
  <si>
    <t>Reinhart &amp; Rogoff (2009, 2014), Grossman (2010), and Jordà, Schularick &amp; Taylor (2017) say this was a systemic banking crisis if one is willing to widen the definition of banks to the historical exchange companies active in Japan at the time. Tamaki (1995, pp. 26) report that the abolishment of the trade board system and the completion of the Restoration in August 1871 marked the beginning of the definite end of the exchange companies. They ceased to operate de facto by the end of 1871 (p. 27).</t>
  </si>
  <si>
    <t xml:space="preserve">19 national banks failed, of which ten were consolidated. Sumner et al. (1896, vol IV, p. 427) writes, "Even first-rate national banks had to take measures of precaution, the weaker ones had to lessen their capital to make good their losses; four national banks became bankrupt, five others being temporarily suspended during a short interval between 1882 and 1883, and ten banks being consolidated with more powerful banks between 1880 and 1885. But in 1886 redemption in specie commenced, and things became more settled, trade began to revive, and railway and other companies sprang into existence."
</t>
  </si>
  <si>
    <t>Hard to tell if there were panics, but seems likely, based on evidence in the box to the left.</t>
  </si>
  <si>
    <t>Reinhart &amp; Rogoff (2009, 2014) report a systemic banking crisis while Grossman (2010) and Jordà, Schularick &amp; Taylor (2017) do not. Sumner et al. (1896, vol IV, p. 427), however, confirm Reinhart &amp; Rogoff's (2009, 2014) reading. Tamaki (1995), however, does not report this event.</t>
  </si>
  <si>
    <t>There is evidence of widespread bank failure but no detailed information.</t>
  </si>
  <si>
    <t>Nakabayashi (2017, p. 234)</t>
  </si>
  <si>
    <t>Tamaki (1995, pp. 66-67) report that the combination of highly leveraged companies and a bad harvest plunged the whole financial system and its banks into an unprecedented crisis. Also, the Bank of Japan had to step in, suggesting that a panic was probably taking place. The reading that this event was a panic banking crisis is further suggested by a recent study by Nakabayashi (2017).</t>
  </si>
  <si>
    <t xml:space="preserve">Jordà, Schularick &amp; Taylor (2017), citing Tamaki (1995, p. 66), report this event as a systemic panic crisis, while Reinhart &amp; Rogoff (2009, 2014) and Grossman (2010) do not. </t>
  </si>
  <si>
    <t>April 1901</t>
  </si>
  <si>
    <t>The number of private banks in Japan declined from 1,867 in 1901 to 1,670 in 1906. Suspension of Seventy-Ninth Bank in Osaka and 29 other banks throughout Japan.</t>
  </si>
  <si>
    <t>Tamaki (1995, p. 228)
Yabushita &amp; Inoue (1993, p. 395)</t>
  </si>
  <si>
    <t>Reinhart &amp; Rogoff (2009, 2014) say this was a systemic banking crisis, citing Bordo &amp; Eichengreen (1999, p. 53). Jordà, Schularick &amp; Taylor (2017) and Grossman (2010) do not report this event. Goulburn Evening Penny Post (1914) reports a banking panic and the closure of 20 banks in April 1901. This is confirmed by Yabushita &amp; Inoue (1993).</t>
  </si>
  <si>
    <t>May have been only a minor banking crisis. Seems to have been more of a currency/BoP crisis. The small number of bank failures is not convinving, given that there were about 1,600 banks in Japan at the time (Tamaki, 1995, p. 104). The dissapearance of ~20 small one in Osaka could probably not be counted as a systemic banking crisis. The big banks apparently weren't affected.</t>
  </si>
  <si>
    <t>February 1907</t>
  </si>
  <si>
    <t>Nagoya Bank and Fukui Bank failed. Several banks were rescued by the Bank of Japan while some others were allowed to fail.</t>
  </si>
  <si>
    <t>Yabushita &amp; Inoue (1993, p. 395)
Reinhart &amp; Rogoff (2009, p. 370)</t>
  </si>
  <si>
    <t>A bank run on Nagoya Bank in February 1907 triggered a panic and a wave of subsequent banks runs and bank failures (Yabushita &amp; Inoue, 1993)</t>
  </si>
  <si>
    <t xml:space="preserve">Reinhart &amp; Rogoff (2009, 2014), Jordà, Schularick &amp; Taylor (2017), and Grossman (2010) all agree that this was a systemic banking crisis. </t>
  </si>
  <si>
    <t>Kitajima Bank of Osaka fails in 1914.</t>
  </si>
  <si>
    <t>Yabushita &amp; Inoue (1993, p. 395)</t>
  </si>
  <si>
    <t>There are a few individual small bank runs and one failure but no evidence of a banking panic or crisis (Yabushita &amp; Inoue, 1993, p. 395).</t>
  </si>
  <si>
    <t>While Jordà, Schularick &amp; Taylor (2017) and Grossman (2010) are silent about this event, Reinhart &amp; Rogoff (2009, 2014) report it. There is, however, only very weak evidence that there was, indeed, a systemic banking crisis in this year. The very detailed account of the time by Yabushita &amp; Inoue (1993) does not mention it all, for example.</t>
  </si>
  <si>
    <t>April 1920</t>
  </si>
  <si>
    <t>Masuda Bill Broker Bank in Osaka failed in April 1920. 21 other banks failed until July.</t>
  </si>
  <si>
    <t>Shizume (2012, p. 212)</t>
  </si>
  <si>
    <t>Jordà, Schularick &amp; Taylor (2017) and Grossman (2010) report a systemic banking crisis starting in 1920. After a stock market crash in March in April 1920, Masuda Bill Broker Bank in Osaka failed and triggered a bank run in several regions throughout Japan (Shizume, 2012, p. 212)</t>
  </si>
  <si>
    <t>February 1922</t>
  </si>
  <si>
    <t>Kochi Commercial Bank fails in March 1922. During the remainder of the year, 17 other banks fail as well.</t>
  </si>
  <si>
    <t>1922 saw several periods of bank runs. The failure of Ishii Corporation in February 1922 triggered the first of several banks runs in this year (Shizume, 2012, pp. 212-213).</t>
  </si>
  <si>
    <t>September 1923</t>
  </si>
  <si>
    <t>Nippon Commerce and Industrial Bank, Nippon Sekizen Bank, and Kyushu Bank failed in 1923.</t>
  </si>
  <si>
    <t>Yabushita &amp; Inoue (1993, p. 395)
Shizume (2012, pp. 212-213)</t>
  </si>
  <si>
    <t>The Great Kanto earthquake of September 01, 1923 caused damage to banks' financial and physical assets. Led to widespread runs outside banks. The destruction of bank records and buildings effectively barred depositors from withdrawing their funds (Tamaki, 1995, pp. 147-159).</t>
  </si>
  <si>
    <t>Reinhart &amp; Rogoff (2009, 2014) report a systemic banking crisis.</t>
  </si>
  <si>
    <t>March 1927</t>
  </si>
  <si>
    <t>Tokyo Watanabe Bank, Omi Bank, Fifteenth Bank, and 29 other banks failed in 1927.</t>
  </si>
  <si>
    <t>Yabushita &amp; Inoue (1993, p. 396)</t>
  </si>
  <si>
    <t>The first bank runs actually occurred in March (Grossman, 2010, p. 308) and were followed by many more waves of deposit runs and bankruptcies. The government was largely unwilling to bail out banks (Shizume, 2012, pp. 214-215).</t>
  </si>
  <si>
    <t>Reinhart &amp; Rogoff (2009, 2014), Grossman (2010), and Jordà, Schularick &amp; Taylor (2017) all agree that this was a systemic banking crisis.</t>
  </si>
  <si>
    <t>Sanwa Shinkin and Toho Sogo Bank failed in 1991. Toyo Shinkin Bank failed in 1992. Kamaishi Shinkin failed in 1993. Credit cooperatives Tokyo Kyowa and Anzen failed in 1994. Cosmo Credit Cooperative, Hyogo Bank, Kizu Credit Cooperative, Jusen, and Tokyo Kyoudou Bank failed in 1995. Hanwa, Kii, and Taiheiyo banks failed in 1996.</t>
  </si>
  <si>
    <t>Westernhagen et al. (2004)
Gup (1998, pp. 62-63)</t>
  </si>
  <si>
    <t>No runs or panics until 1997 due perceived implicit guarantees from the BoJ and MOF.</t>
  </si>
  <si>
    <t xml:space="preserve">Reinhart &amp; Rogoff (2009, 2014) date the beginning of the major systemic banking crisis of the 1990s to 1992 when prices of an enormous stock market and real estate bubble had reversed. Caprio &amp; Klingebiel (2003, p. 6) date it to 1991. </t>
  </si>
  <si>
    <t>November 1997</t>
  </si>
  <si>
    <t>Major banks Nippon Credit Bank, Hokkaido Bank, Tokuyo City Bank, and Hokkaido Takushoku Bank failed in 1997. Also Yamaichi Securities. Kokumin Bank, Kofuku Bank, Tokyo Sowa Bank, Namihaya Bank, and Niigata Chuo Bank failed in 1999.</t>
  </si>
  <si>
    <t>Gup (1998, pp. 62-63)
Nakaso (2001, p. 8)</t>
  </si>
  <si>
    <t>In 1997, the banking crisis of the 1990s took a new spin, when major banks became threatened. Nakaso (2001, p. 8) report that the panic began in October 1997 when authorities stepped in to rescue smaller banks. The panic unfolded when in November 1997 when several major finanical institutions collapsed. The Japan interbank spread spiked.</t>
  </si>
  <si>
    <t>Jordà, Schularick &amp; Taylor (2017) date the beginning of the major systemic banking crisis of the 1990s to 1997. Laeven &amp; Valencia (2018) follow this approach and date the beginning of the panic to November 1997.</t>
  </si>
  <si>
    <t>Resona Bank and Ashikaga Bank were effectively insolvent and had to be nationalized.</t>
  </si>
  <si>
    <t>Reinhart &amp; Rogoff (2009, 2014) and Laeven &amp; Valencia (2018) attribute this year to the one banking crisis period of the 1990s.</t>
  </si>
  <si>
    <t>No evidence of panics, as banks were mostly government owned during this period.</t>
  </si>
  <si>
    <t>Reinhart &amp; Rogoff (2009, 2014) report a systemic banking crisis from 1985-1988, while Laeven &amp; Valencia (2018) do not. High rates of NPLs. (Huh, C., &amp; Kim, S. B. (1994). Financial regulation and banking sector performance: a comparison of bad loan problems in Japan and Korea. Economic Review-Federal Reserve Bank of San Francisco, (2), 18.)</t>
  </si>
  <si>
    <t>October 1997</t>
  </si>
  <si>
    <t>In 1997, major commercial banks Korea First Bank and Seoul Bank failed and were taken over by the government. 14 merchant banks were suspended.</t>
  </si>
  <si>
    <t>Teo et al. (2000, pp. 72-75)</t>
  </si>
  <si>
    <t xml:space="preserve">The panic commenced in October 1997 when the crash of the Hong Kong stock market led to a funding crisis in Korea (Teo et al., 2000, p. 70; Kihwan, 2006, p. 9). </t>
  </si>
  <si>
    <t>Both Reinhart &amp; Rogoff (2009, 2014) and Laeven &amp; Valencia (2018) say this was a systemic banking crisis. While the former date its beginning to July 1997, the latter date the beginning of the crisis to August 1997.</t>
  </si>
  <si>
    <t xml:space="preserve">There is some evidence by Lehners (1994, p. 677) that the banking sector experienced difficulties after WWI because of its high exposure to Germany that was suffering from hyperinflation. </t>
  </si>
  <si>
    <t>There is no evidence of a banking panic. Lehners (1994, p. 677) reports that banks in Luxembourg were largely unaffected by the global crisis of the late 1920s and 1930s.</t>
  </si>
  <si>
    <t>Dutch-Belgian-Luxembourgian bank Fortis failed and was nationalized in 2008.</t>
  </si>
  <si>
    <t>Laeven &amp; Valencia (2018) and Lo Duca et al. (2017) report a major systemic banking crisis. Both date the beginning of the systemic panic to September 2008.</t>
  </si>
  <si>
    <t>Major Franco-Belgian-Luxembourgian bank Dexia failed and received bail-out funds (again) from three governments in 2011.</t>
  </si>
  <si>
    <t>This event is most likely related to the abolishment of the currency union with Singapore and Brunei. There is, however, no evidence of a banking panic.</t>
  </si>
  <si>
    <t>July 1985</t>
  </si>
  <si>
    <t>Insolvent institutions account for 3% of financial system deposits. Marginally capitalized institutions accounted for another 4%.</t>
  </si>
  <si>
    <t>Reinhart &amp; Rogoff (2009, p. 373)</t>
  </si>
  <si>
    <t>Reinhart &amp; Rogoff (2009, 2014) report this event as a systemic banking crisis with bank runs on some branches of larger domestic banks with exposure to Hong Kong. The authors date the beginning of the panic to July 1985.</t>
  </si>
  <si>
    <t>August 1997</t>
  </si>
  <si>
    <t>29 finance companies ceased to exists, largely due to mergers.</t>
  </si>
  <si>
    <t>Reinhart &amp; Rogoff (2009, 2014) and Laeven &amp; Valencia (2018) report a systemic banking crisis. The former date the beginning of the crisis to September 1997. We date the beginning of the panic to August 1997, when according to the latter, liquidity support became extensive.</t>
  </si>
  <si>
    <t>There is no evidence of a banking panic. This is confirmed by Khoon &amp; Mah-Hui (2010, pp. 31-35).</t>
  </si>
  <si>
    <t>March 1883</t>
  </si>
  <si>
    <t>Banco Nacional Mexicano failed and had to be rescued in 1883. Bank Ponte de Piedad failed in 1884.</t>
  </si>
  <si>
    <t>McCaleb (1920, p. 20-23)</t>
  </si>
  <si>
    <t>Reinhart &amp; Rogoff (2009, 2014) say this was a systemic banking crisis. McCaleb (1920, p. 20-23) reports a bank run on Banco Nacional Mexicano in March 1883 amid mounting pressures in the finanical system that marks the beginning of the panic.</t>
  </si>
  <si>
    <t>Mexican Mercantile Bank was absorbed by the National Bank.</t>
  </si>
  <si>
    <t>Conant (1915, p. 481)</t>
  </si>
  <si>
    <t>Reinhart &amp; Rogoff (2009, 2014) say this was a systemic banking crisis, citing Conant (1915, pp. 480-484). Bortz &amp; Haber (2002, pp. 110-111) report that the government faced severe problems to place international bonds to finance public expenditures. de Cantú (2004, pp. 506-507) reports that there was a general economic crisis. McCaleb (1920, pp. 78-79) report stress in the banking system in 1892 and 1893.</t>
  </si>
  <si>
    <t>There is evidence saying that Mexican Mercantile Bank already merged with the Naitonal Bank in 1884, so Conant (1915) may have had wrong information. Bortz &amp; Haber (2002) do not mention any banking crisis either. There was an economic crisis between 1891-1894. A few sources mention a financial panic but without any details. Best soruce is probably McCaleb, who reports a panic.</t>
  </si>
  <si>
    <t>Banco Yucateco and Banco Mercantil had to be absorbed by Banco Peninsular Mexicano to avoid failure, with the help of a 10 million peso loan from Banco Nacional de Mexico.</t>
  </si>
  <si>
    <t>Conant (1910, p. 91),  Wells &amp; Joseph (1996, p. 109)</t>
  </si>
  <si>
    <t>Conant (1910, pp. 91-99) explicitly states that there was no widespread panic.</t>
  </si>
  <si>
    <t>Reinhart &amp; Rogoff (2009, 2014) say this was a systemic banking crisis ultimately caused by the panic in the United States which resulted in a severe credit shortage and financial stress in Mexico. The government put several restrictions in place. This is confirmed by (Conant, 1915).</t>
  </si>
  <si>
    <t>The most important bank of issue, Banamex, went bankrupt in October 1917. The government seized control of banks by force if they refused to support war finance unconditionally. The entire financial system had been shut down by 1917.</t>
  </si>
  <si>
    <t>Gómez-Galvarriato (2014, pp. 10-11)</t>
  </si>
  <si>
    <t>Gómez-Galvarriato (2014) reports that the banking system did not survive the turbulences of the civil war that broke out in Mexico in early 1913. A forced war tax on deposits lead to massive bank runs and a general rush for specie. Banks were further hit hard since they were the principal creditor of the federal government which default on its debt in 1913. The panic was well underway when in November 1913 convertibility for specie was suspended (Gómez-Galvarriato, 2014, p. 8).</t>
  </si>
  <si>
    <t>December 1920</t>
  </si>
  <si>
    <t>Compañía Bancaria de París y México and Mercantile Banking Co. failed in January 1921. Banque Francais du Mexique failed in November 1922. In total, 6 banks closed due to insolvency during this crisis period.</t>
  </si>
  <si>
    <t>Gómez-Galvarriato (2014, p. 24)
Turrent (2007, p. 5)
Gómez-Galvarriato (2014, p. 26).</t>
  </si>
  <si>
    <t>Reinhart &amp; Rogoff (2014) say this was a systemic banking crisis. A first panic occurred in December 1920 when Compañía Bancaria de París y México faced a massive deposit drain. A second round of panic and bank runs was triggered when Banque Française du Mexique collapsed in November 1922 (Gómez-Galvarriato, 2014, pp. 22-27).</t>
  </si>
  <si>
    <t>In August 1931, Banco Credito Espanol failed.</t>
  </si>
  <si>
    <t>The New York Times (1931)</t>
  </si>
  <si>
    <t>Reinhart &amp; Rogoff (2014) say this was a non-systemic banking crisis. Citing Bernanke &amp; James (1991), they report that payments were suspended after a deposit run on the major banks. A panic can be dated to July 1931 when Credito Espanolde Mexico and Banco Nacional de Mexico faced deposit runs (Bernanke &amp; James, 1990, p. 52).</t>
  </si>
  <si>
    <t>1981, 1982</t>
  </si>
  <si>
    <t>September 1982</t>
  </si>
  <si>
    <t>The whole Mexican banking system was threatened with collapse. It was completely nationalized in September 1982.</t>
  </si>
  <si>
    <t>Alvarez (2014)</t>
  </si>
  <si>
    <t>Reinhart &amp; Rogoff (2009, 2014) and Laeven &amp; Valencia (2018) report a systemic banking crisis. The former date the beginning of the panic to September 1982, citing Kaminsky &amp; Reinhart (1999, p. 478). Turrent (2007, pp. 14-21) report that the entire banking sector was nationalized.</t>
  </si>
  <si>
    <t>The government intervened in a total of 15 banks to prevent them from collapse during this crisis period.</t>
  </si>
  <si>
    <t>Laeven &amp; Valencia (2018, Appendix)</t>
  </si>
  <si>
    <t>Reinhart &amp; Rogoff (2009, 2014) and Laeven &amp; Valencia (2018) report a systemic banking crisis. The latter date the beginning of the panic to December 1994. Large foreign currency withdrawals. "In early 1995, banks found it increasingly difficult to rollover their
debt with international banks... A special dollar credit window at the central bank was therefore established. Loans were advanced to 17 commercial banks, and the outstanding amount peaked at $4 billion in April 1995." (Graf, 1999).</t>
  </si>
  <si>
    <t>Massive government intervention and social and political unrest (Musacchio, 2012).</t>
  </si>
  <si>
    <t>Jordà, Schularick &amp; Taylor (2017) report this a a systemic banking crisis. However, in their financial history of the Netherlands, 't Hart, Jonker, &amp; van Zanden (1997) provide no evidence that there was any banking crisis, though there were monetary gold outflows from the central bank.</t>
  </si>
  <si>
    <t>Reinhart &amp; Rogoff (2009, 2014) report a systemic banking crisis. Jordà, Schularick &amp; Taylor (2017) and Grossman (2010) do not report this event. Again, 't Hart, Jonker, &amp; van Zanden (1997) provide no evidence that there was a banking crisis.</t>
  </si>
  <si>
    <t>November 1907</t>
  </si>
  <si>
    <t>The authors that "no less than 15 firms and other institutions formerly in the habit of carrying on discount and loan transactions with the Bank suspended their payment."</t>
  </si>
  <si>
    <t>Payne &amp; Rodgers (2015)</t>
  </si>
  <si>
    <t>Noyes (1909, p. 205) provides evidence for both bank failures and panic in the Netherlands at the time. Payne &amp; Rodgers (2015) cite Noyes (1909) and date the beginning of the banking panic in Amsterdam to November 1907.</t>
  </si>
  <si>
    <t xml:space="preserve">Jordà, Schularick &amp; Taylor (2017) report this as a systemic banking crisis. Reinhart &amp; Rogoff (2009, 2014) and Grossman (2010) do not report this event. </t>
  </si>
  <si>
    <t>No bank failures.</t>
  </si>
  <si>
    <t>Prast and van Lelyveld (2004)</t>
  </si>
  <si>
    <t>Roberts (2013, pp. 207-208) dates the beginning of the panic to July 28, 1914 when bank runs occurred. Short-term credit market collapsed and the central bank reduced the legal gold coverage ratio to free up funds. There was no moratorium, but extension to debtors were granted.</t>
  </si>
  <si>
    <t xml:space="preserve">Reinhart &amp; Rogoff (2009, 2014) say this was a systemic banking crisis. Grossman (2010) and Jordà, Schularick &amp; Taylor (2017) do not report this event. Mitchell (1960, pp. 539-540) and Roberts (2013, pp. 207-208) clearly report a banking crisis. </t>
  </si>
  <si>
    <t>A large number of middenstandsbanken, inlcuding its Centrale, failed between 1921 and 1925. Mid-sized Bank-Associatie and Marx &amp; Co. failed in 1922. Major bank Rotterdamsche Bankvereeniging (Robaver) was saved from failure in 1924 by central bank and government intervention. Other bank failures include:
1922 Zuidhollandsche Credietvereeniging NV
1923 Credietvereeniging de Hanzebank
1924 Industrie- en Landbouwbank
1924 Maas &amp; Waalsche Bank Kneppers &amp; Cie
1925 Firma P van Gastel &amp; Zoon
1926 Bank voor Nederland en de Koloniën
1926 Merwedebank Dordrecht</t>
  </si>
  <si>
    <t>'t Hart, Jonker &amp; van Zanden (1997, p. 128; pp. 143-145)
Grossman (2010, pp. 308-309), Prast and van Lelyveld (2004)</t>
  </si>
  <si>
    <t>t Hart, Jonker &amp; van Zanden (1997, pp. 143-145) report bank runs on a few small banks in 1921 and fears of a large-scale bank run in 1922, but  forceful government intervention prevented any actual large-scale bank runs.</t>
  </si>
  <si>
    <t>Grossman (2010), Jordà, Schularick &amp; Taylor (2017), and Reinhart &amp; Rogoff (2009, 2014) all agree that this was a systemic banking crisis.</t>
  </si>
  <si>
    <t>Major bank Nederlandsche Handel-Maatschappij Bank was reorganzed in 1934 due to major losses from Indonesia. Cooperative banks banded together to prevent failures of their weakest members. Other bank failures include:
1930 Centrale Middenstandscredietbank in het Bisdom Haarlem (Hanzebank)
1932 Mendelssohn &amp; Co
1932 CV van Heel &amp; Co
1932 Firma Scheurleer &amp; Zoonen
1935 Zaanlandsche Bank</t>
  </si>
  <si>
    <t>de Vries (1994, pp. 727-728; 784), van Zanden (1997), Prast and van Lelyveld (2004)</t>
  </si>
  <si>
    <t>de Vries (1994, pp. 727-728; 784), on the other hand, provide evidence for high levels of stress in the banking sector. No panic due to massive efforts by the cooperative banks and the government intervening with rescue funds.</t>
  </si>
  <si>
    <t>Jordà, Schularick &amp; Taylor (2017) do not report this as a systemic banking crisis. Reinhart &amp; Rogoff (2009, 2014) only report this event as a stock market crash but not as a banking crisis. Bernanke &amp; James (1991) do not report it, either. Grossman (2019, p. 316) explicitly states that Netherlands did not experince a banking crisis during the Great Depression, although there were, however, "Substantial write-downs of bank capital."</t>
  </si>
  <si>
    <t>Jordà, Schularick &amp; Taylor (2017) and Reinhart &amp; Rogoff (2009, 2014), both citing Bordo et al. (2001), report this as a systemic banking crisis. Upon close inspection of the original source and the literature, however, we were unable to find sufficient evidence of a banking crisis during this period.</t>
  </si>
  <si>
    <t>A few minor banks failed in the early 1980s.</t>
  </si>
  <si>
    <t>Gup (1998, pp. 43-44)</t>
  </si>
  <si>
    <t>"There was a Dutch housing market crisis in the early 1980s. This crisis led to the demise of the independent Dutch mortgage banks, but did not spread to general banks that also focused on providing business loans or attracting consumer savings. For a detailed account, see Koelewijn (1987), De achtergronden van het verdwijnen van de zelfstandige hypotheekbanken in de jaren tachtig, Research memorandum" ("Perspective on the structure of the Dutch banking sector" published by De Nederlandsche Bank, no year given)</t>
  </si>
  <si>
    <t>Fortis Bank failed in 2008. Fortis Bank and its recently acquired bank ABN AMRO were nationalized in 2008. DSB Bank failed in October 2009.</t>
  </si>
  <si>
    <t>Lo Duca et al. (2017)
de Rechtspraak (2009)</t>
  </si>
  <si>
    <t>Laeven &amp; Valencia (2018), Lo Duca et al. (2017), Jordà, Schularick &amp; Taylor (2017), and Reinhart &amp; Rogoff (2014) unanimously call this a systemic banking crisis.</t>
  </si>
  <si>
    <t>New Zealand</t>
  </si>
  <si>
    <t>January 1893</t>
  </si>
  <si>
    <t>Largest bank Bank of New Zealand announced that it would fail without government intervention in 1894 and was recapitalized by the government in 1895. Colonial Bank was taken over by Bank of New Zealand. 54 non-bank financial institutions failed during 1891 and 1893.</t>
  </si>
  <si>
    <t>Sinclair &amp; Mandle (1961, pp. 98-116)Matthews (2003, p. 49)
Hunt (2009)</t>
  </si>
  <si>
    <t>Despite heavy bank losses in the late-1880s, no panic until 1893. In 1893, 13 of the 23 trading banks suspended deposit payments for the first 5 months of the year, indicating that the panic started in January 1893. There was also a minor bank run on Auckland Savings Bank (Hunt, 2009, p. 30).</t>
  </si>
  <si>
    <t xml:space="preserve">Reinhart &amp; Rogoff (2014) date 1893 as a systemic banking crisis but do not do so in their 2009 book. Hunt (2009) reports the period of 1888-1895 as one systemic banking crisis. In 1888, the largest bank Bank of New Zealand announced massive losses due to operations in Australia to its shareholders and wrote off 30% of its paid-in capital (Hunt, 2009, p. 30). National Bank of New Zealand also wrote off capital in both 1885 and 1891. </t>
  </si>
  <si>
    <t>There is no evidence of a banking panic. Laeven &amp; Valencia (2018) and Reinhart &amp; Rogoff (2014) just report a currency crisis.</t>
  </si>
  <si>
    <t>August 1988</t>
  </si>
  <si>
    <t>Bank of New Zealand was recapitalized by the private sector under the government's leadership in 1989. 7th-largest bank Development Finance Corporation failed in 1989, as well. Minor NZI bank was recapitalized by its owners. Post Bank was absorbed by ANZ before it could collapse. Many investment companies and real estate developers failed.</t>
  </si>
  <si>
    <t>Hunt (2009, pp. 34-35)</t>
  </si>
  <si>
    <t>Hunt (2009) reports that the banking sector and especially Bank of New Zealand was experiencing severe stress after a stock market and commercial real estate bubble burst in 1987. On October 1987, the stock market crashed and in August 1988 a major bank run on United Building Society occured (James, 2015, p. 171).</t>
  </si>
  <si>
    <t xml:space="preserve">Reinhart &amp; Rogoff (2009, 2014) report the period of 1987-1990 as a non-systemic banking crisis. Laeven &amp; Valencia (2018) do not report this event. </t>
  </si>
  <si>
    <t>There were widespread failures in the non-bank finance company sector but no banks failed.</t>
  </si>
  <si>
    <t>Hunt (2009, pp. 26-27)</t>
  </si>
  <si>
    <t>There is no evidence of a banking panic. This is confirmed by Laeven &amp; Valencia (2018) and narrative accounts</t>
  </si>
  <si>
    <t>June 1899</t>
  </si>
  <si>
    <t>Discontobanken failed in June 1899. Den Nordiske Bank failed in July 1899. Aktiebanken received support from Norges Bank.</t>
  </si>
  <si>
    <t>Eitrheim, Klovland &amp; Øksendal (2016, pp. 243-244)</t>
  </si>
  <si>
    <t>Eitrheim, Klovland &amp; Øksendal (2016, pp. 243-244) report that on June 11, 1899 a panic was triggered by the bankruptcy of the Christophersen pulp firm that brought down Discontobanken.</t>
  </si>
  <si>
    <t xml:space="preserve">Schularick &amp; Taylor (2017) and Grossman (2010) report a systemic banking crisis and date its beginning to 1899. This is confirmed by Grytten &amp; Hunnes (2014). </t>
  </si>
  <si>
    <t>Roberts (2013) counts Norway to the set of countries that experienced a banking crisis in 1914. Eitrheim, Klovland &amp; Øksendal (2016, p. 270) report that a panic ensued in the end of July 1914 when withdrawals from Christiana Sparebank truned into a bank run. Earlier, on July 27, the stock exchange in Christiania (Oslo) had closed.</t>
  </si>
  <si>
    <t>April 1923</t>
  </si>
  <si>
    <t>There were widespread bank failures throughout the period. They reached 7 percent of GDP in 1923 and 1925, by far the highest losses ever in Norway. There were more than a hundred small bank failures after 1924.</t>
  </si>
  <si>
    <t>Grytten &amp; Hunnes (2014, p. 40-41)</t>
  </si>
  <si>
    <t>Den norske Handelsbank had to suspend payments in 1923. This was followed by Foreningsbanken to do the same in April 1923 due to the "continuous withdrawal of deposits. The withdrawal of deposits was accelerated by the law of March 24, since it induced many depositors to withdraw funds from the banks which did not appear safe enough and to deposit them in banks under public administration or to place them in banks abroad. The situation became still more complicated by the fact that large amounts of time deposits, notice of withdrawal of which had been given in October, 1922, fell due. Since the Bank of Norway was unable to furnish additional rediscount credits, the officers of the bank recommended that the independent activity of the bank be discontinued, that the bank suspend payments and apply for public
administration, a proposal which took effect on April 24, 1923." (Federal Reserve Bulletin, August 1923, p. 918)</t>
  </si>
  <si>
    <t>Reinhart &amp; Rogoff (2009, 2014), Jordà, Schularick &amp; Taylor (2017), Grossman (2010), and Grytten &amp; Hunnes (2014) all report this as a systemic banking crisis. Grytten &amp; Hunnes (2014) date its beginning to 1920, Reinhart &amp; Rogoff (2009, 2014) to 1921, and Jordà, Schularick &amp; Taylor (2017), Grossman (2010) date it to 1922. Grytten &amp; Hunnes (2014, p. 41) report the period of 1924-1927 as a financial crisis that featured currency instability and a credit crunch. The resulting economic contraction caused many banks to fail.</t>
  </si>
  <si>
    <t>Reinhart &amp; Rogoff (2009) call this a non-systemic crisis, but it is probably a mistake, as it is not a new crisis or phase of a crisis but just the tail end of the 1921-1927 crisis</t>
  </si>
  <si>
    <t>December 1931</t>
  </si>
  <si>
    <t>Bergens Privatbank and Den norske Creditbank, two of the country’s largest banks, were saved with considerable liqudity support and would have otherwise failed.</t>
  </si>
  <si>
    <t>Eitrheim, Klovland &amp; Øksendal (2016, p. 326)</t>
  </si>
  <si>
    <t>When the central bank stepped in to rescue and assume substantial control over major banks Bergens Privatbank and Den norske Creditbank in December 1931, a three-month moratorium on payments was established (Eitrheim, Klovland &amp; Øksendal, 2016, p. 362-363).</t>
  </si>
  <si>
    <t xml:space="preserve">Reinhart &amp; Rogoff (2009) report this as a non-systemic banking crisis but do not so in their 2014 update anymore. Grytten &amp; Hunnes (2014, pp. 41-42), however, report 1930-1933 as a period of banking crisis, even though the authors say that "the banking system in Norway survived the crisis better than that in almost every other capitalist country" (p. 42). </t>
  </si>
  <si>
    <t>Reinhart &amp; Rogoff (2014) report this as a non-systemic banking crisis. There were, indeed, some bank withdrawals due to legislation introducing a tax on deposits (Bernanke &amp; James, 1990) but nothing that would constitute a banking crisis.</t>
  </si>
  <si>
    <t>October 1991</t>
  </si>
  <si>
    <t>Sunnmorsbanken failed in 1988. Norion Bank failed in 1989. 3rd-largest bank Fokus Bank failed in 1990. 2nd-largest bank Christiania Bank, largest bank Den Norske Bank, and Realkreditt bank failed in 1991.</t>
  </si>
  <si>
    <t>Goodhart (1995, pp. 395-399)</t>
  </si>
  <si>
    <t>Laeven &amp; Valencia (2018) report the first panic to October 1991 when the crisis turned from smaller banks to the second and fourth largest banks that had lost a considerable amount of equity.</t>
  </si>
  <si>
    <t xml:space="preserve">Reinhart &amp; Rogoff (2009, 2014), Jordà, Schularick &amp; Taylor (2017), Lo Duca et al. (2017), Laeven &amp; Valencia (2018), and Grytten &amp; Hunnes (2014) all report this as a systemic banking crisis. Reinhart &amp; Rogoff (2009, 2014) date its beginning to 1987, while Jordà, Schularick &amp; Taylor (2017) and Grytten &amp; Hunnes (2014) report 1988. </t>
  </si>
  <si>
    <t>Lo Duca et al. (2017) report a financial crisis with market liquidity problems but no credit losses or failures at Norwegian banks. Lo Duca et al. (2017) further report that the Norwegian interbank market collapsed in September 2008 justifying the classification of a panic. The Norwegian central bank provided capital support for troubled banks.</t>
  </si>
  <si>
    <t xml:space="preserve">Jordà, Schularick &amp; Taylor (2017), Laeven &amp; Valencia (2018) and Reinhart &amp; Rogoff (2014) do not report this event as a banking crisis. </t>
  </si>
  <si>
    <t>August 1875</t>
  </si>
  <si>
    <t>Banco Anglo Peruano failed in 1876. Banco de Lima failed in 1878. Banco de la Providencia, Banco del Peru, Banco Nacional del Peru, and Banco Mercantil del Peru in 1880.</t>
  </si>
  <si>
    <t>Zegarra, L. F. (2013, p. 195)</t>
  </si>
  <si>
    <t>Zegarra (2013) dates the beginning of the panic to August 1875 when the stress in the banking secor became systemic which later forced the government to suspend payment of specie (p. 212).</t>
  </si>
  <si>
    <t>Reinhart &amp; Rogoff (2014) report a systemic banking crisis from 1872-1876 citing Conant (1915, probably pp. 520-521). Gilbert (2017, p. 103) reports that the banking system collapsed.</t>
  </si>
  <si>
    <t>Hard to find evidence of bank failures. They seem to have been saved by the moratorium.</t>
  </si>
  <si>
    <t>Roberts (2013, p. 217)</t>
  </si>
  <si>
    <t xml:space="preserve">Roberts (2013. p. 217) reports that Peru was facing a banking panic on July 31 and August 01, 1914 when bank runs on Banco del Peru y Londres and the German Bank occurred. The government announced moratorium and further remedies in response that saved the banks from bankruptcy (see also Lough, 1915, pp. 35-38). </t>
  </si>
  <si>
    <t>Reinhart &amp; Rogoff (2009, 2014) do not report this event.</t>
  </si>
  <si>
    <t>Banco del Peru y Londres failed in October 1930. The number of (reporting) banks was reduced to nine due to failures and mergers.</t>
  </si>
  <si>
    <t>League of Nations (1934, p. 300)</t>
  </si>
  <si>
    <t>Reinhart &amp; Rogoff (2009, 2014) do not report this event. League of Nations (1934, p. 300) report "in October 1930, the Banco del Peril y Londres suspended payments, and there was a banking moratorium until the end of the year," indicating a panic.</t>
  </si>
  <si>
    <t>Two large banks failed between 1983 and 1990.</t>
  </si>
  <si>
    <t>Caprio &amp; Klingebiel (2003, p. 9)</t>
  </si>
  <si>
    <t>Reinhart &amp; Rogoff (2014) date a systemic banking crisis to the period of 1983-1990. Laeven &amp; Valencia (2018) report 1983 as the starting year of a systemic banking crisis. There is no evidence of a banking panic.</t>
  </si>
  <si>
    <t>From 1984 to 1990 Peru was isolated from international financial markets as it had failed to meet its foreign debt commitments.</t>
  </si>
  <si>
    <t>Reinhart &amp; Rogoff (2014) date a systemic banking crisis to the period of 1983-1990. This event is related to the previous event. In 1987, the banking system was nationalized. There is no evidence of a banking panic.</t>
  </si>
  <si>
    <t>"Capital outflows triggered a domestic credit
crunch, which unveiled solvency problems in a
number of banks, including Banco Wiese, Banco Latino (15.1% and 3.2% market share,
respectively), and other smaller financial
institutions. Bank resolution was applied these two banks. Instability also affected another 6 small banks (6.5% of deposits)."</t>
  </si>
  <si>
    <t>Jacome (2008, p. 45-46)</t>
  </si>
  <si>
    <t>Reinhart &amp; Rogoff (2014) date a systemic banking crisis to 1999. Laeven &amp; Valencia (2018) do not report a banking crisis but they date a sovereign debt crisis to 1996. There is no evidence of a banking panic.</t>
  </si>
  <si>
    <t>June 1974</t>
  </si>
  <si>
    <t>Continental Bank failed in 1974 and the General Bank and Trust Company failed in 1976.</t>
  </si>
  <si>
    <t>Hutchcroft (1998, pp. 125-130)</t>
  </si>
  <si>
    <t>In June 1974, it became public that Continental Bank was in severe difficulties. This triggered a major bank run. A full-fledged banking crisis, however, was averted. Only one other financial institution failed during this period (Hutchcroft, 1998, pp. 125-130)</t>
  </si>
  <si>
    <t>January 1981</t>
  </si>
  <si>
    <t>16 commercial banks, 12 investment houses and 17 other financial institutions failed during the crisis.</t>
  </si>
  <si>
    <t>Hutchcroft (1998, p. 150)</t>
  </si>
  <si>
    <t>Reinhart &amp; Rogoff (2009, p. 378) report the collapse of the commerical paper market that resulted in bank runs and the failure of numerous non-banks and thrift banks.</t>
  </si>
  <si>
    <t xml:space="preserve">Reinhart &amp; Rogoff (2009, 2014) report a systemic banking crisis from 1981 to 1987 and date its beginning to January 1981, citing Kaminsky &amp; Reinhart (1999, p. 478). Laeven &amp; Valencia (2018) date the crisis to 1983-1986. </t>
  </si>
  <si>
    <t>A few banks failed and major bank Philippine National Bank was partly nationalized. However, no public funds were used in the restructuring, except for the liquidity support.</t>
  </si>
  <si>
    <t>Reinhart &amp; Rogoff (2009, 2014) report a systemic banking crisis from July 1997 to 1998. Laeven &amp; Valencia (2018) date report a banking crisis, too. They date it to 1997 and report a relatively mild outcome in comparison to other Asian economies without any bank runs. A few banks failed.</t>
  </si>
  <si>
    <t>There is no evidence of a banking panic. This is confirmed by Guinigundo (2010).</t>
  </si>
  <si>
    <t>Portugal</t>
  </si>
  <si>
    <t>August 1876</t>
  </si>
  <si>
    <t>Three banks suspended payments between August 10-16. Banco Lusitano de Lisboa followed on August 18.</t>
  </si>
  <si>
    <t>Costa, Lains, &amp; Miranda (2016, p. 278)</t>
  </si>
  <si>
    <t>Reinhart &amp; Rogoff (2009, 2014) do not report this event as a banking crisis. The Banker's Magazine (1877, p. 275-278), however, very convincingly reports a banking crisis that reached its climax in August, 1876 when bank runs occurred and banks suspended payments as a result. The government reacted by establishing a moratorium.</t>
  </si>
  <si>
    <t>May 1891</t>
  </si>
  <si>
    <t>Between 1891 and 1914, 12 banks failed. Among the failed banks was Banco Lusitano, one of the largest banks in Lisbon.</t>
  </si>
  <si>
    <t>Reis (1994, p. 823)
Branco &amp; Sousa (2011, p. 7)</t>
  </si>
  <si>
    <t>Reinhart &amp; Rogoff (2009, 2014) report this as a systemic banking crisis. Branco &amp; Sousa (2011, p. 6) report that by May 1891, the entire banking system was facing a bank run.</t>
  </si>
  <si>
    <t>Between 1918-1923, 4 banks failed. Banco Totta e Acores was saved from failure in 1920.</t>
  </si>
  <si>
    <t>Reis (1995, pp. 480-484)
Reis (1994, p. 823; p. 860)</t>
  </si>
  <si>
    <t>Reinhart &amp; Rogoff (2009, 2014) report this as a systemic banking crisis. This is confirmed by Reis (1995) who dates distinct banking panics to 1920, 1923, and 1925. All these events featured full-fledged bank runs.</t>
  </si>
  <si>
    <t>Between 1924-1925, 12 banks failed. Among them was Banco Economia Portuguesa which failed in 1925.</t>
  </si>
  <si>
    <t>Reis (1995, pp. 480-484)
Reis (1994, p. 823)</t>
  </si>
  <si>
    <t>Reinhart &amp; Rogoff (2009, 2014) report this as a systemic banking crisis, separately from the previous event. This is confirmed by Reis (1995) who dates distinct banking panics to 1920, 1923, and 1925. All these events featured full-fledged bank runs.</t>
  </si>
  <si>
    <t>There was also the Portuguese Bank Note scam that was revealed in December 1925. See Reis (1995).</t>
  </si>
  <si>
    <t>November 1930</t>
  </si>
  <si>
    <t>During the Great Depression, Banco Nacional Ultramarino received government assistance, was restructured and largely nationalized. Banco Sardinha failed in 1931. Banco da Madeira failed in 1932. Between 1931 and 1940, a total of 15 banks closed.</t>
  </si>
  <si>
    <t>Reis (1994, p. 855)
de Faria &amp; Mendes (2013)</t>
  </si>
  <si>
    <t>de Faria &amp; Mendes (2013, p. 386), translated by Google: "The banking house of Henrique Figueira da Silva , financier of many trading companies and industrial companies on the island [Madeira], suspended payments in November 1930, creating a climate of alarm and making depositors race to banks to carry out their respective withdrawals. As a result of this financial crisis, many bank houses did not survive. The lack of liquidity forced state entities to suspend [Banco Sardinha's] activities."</t>
  </si>
  <si>
    <t>There is no evidence of a banking panic. Laeven &amp; Valencia (2018) and Lo Duca et al. (2017) confirm this as they mention a currency crisis and/or public debt crisis but not a banking panic.</t>
  </si>
  <si>
    <t>Banco Português de Negócios was nationalized in 2008. Banco Privado Português failed in 2010.</t>
  </si>
  <si>
    <t>Lo Duca et al. (2017)
European Comissioin (2010)</t>
  </si>
  <si>
    <t>Laeven &amp; Valencia (2018), Lo Duca et al. (2017), and Reinhart &amp; Rogoff (2014) all agree that this was a systemic banking crisis.</t>
  </si>
  <si>
    <t>Several banks received state aid and a number failed later.</t>
  </si>
  <si>
    <t>Laeven &amp; Valencia (2018), Lo Duca et al. (2017), and Reinhart &amp; Rogoff (2014) do not report any panic beyond the events in 2008.</t>
  </si>
  <si>
    <t xml:space="preserve">2nd-largest and oldest bank Banco Espírito Santo failed in 2014. Minor bank Banif failed and was sold off in 2015. Caixa Geral de Depósitos is bailed out by the government in 2016. </t>
  </si>
  <si>
    <t>Engrácia Antunes (2018)
Kowsmann (2015)
Arnold &amp; Wise (2016)</t>
  </si>
  <si>
    <t>There is no evidence of a separate banking panic.</t>
  </si>
  <si>
    <t>Russia</t>
  </si>
  <si>
    <t>October 1875</t>
  </si>
  <si>
    <r>
      <t xml:space="preserve">Moscow Commercial Loan Bank failed in </t>
    </r>
    <r>
      <rPr>
        <sz val="11"/>
        <rFont val="Calibri"/>
        <family val="2"/>
        <scheme val="minor"/>
      </rPr>
      <t>1875</t>
    </r>
    <r>
      <rPr>
        <sz val="11"/>
        <color theme="1"/>
        <rFont val="Calibri"/>
        <family val="2"/>
        <scheme val="minor"/>
      </rPr>
      <t>. Merchant Bank and Mutual Credit Society were rescued by the government. Volga-Kama Bank would have failed if the State Bank had not intervened in 1876.</t>
    </r>
  </si>
  <si>
    <t>Owen (2005, pp. 118-120)</t>
  </si>
  <si>
    <t>Reinhart &amp; Rogoff (2009, 2014) say this was a systemic banking crisis. Owen (2005, pp. 118-120) reports that the panic began on October 08, 1875 when Commercial Loan Bank announced that it had suffered severe losses from a railroad-related bankruptcy in Germany. This event triggered a chain of bank runs at many other banks.</t>
  </si>
  <si>
    <t>August 1899</t>
  </si>
  <si>
    <t>Petersburg International Bank was rescued by the State Bank. Petersburg Private Commercial Bank failed and was restructured by a consortium of foreign banks. Russian Trade and Industrial Bank faced a dramatic bank run and had to be rescued by the State Bank in 1899. Petersburg-Azov Bank collapsed in 1902 and Petersburg-Moscow Bank failed in 1904. Moscow International Trade Bank, Orel Commercial Bank, and South Russian Industrial Bank were deemed too important too fail and were put under control of the State Bank.</t>
  </si>
  <si>
    <t>Salomatina (2014, pp. 14-17)</t>
  </si>
  <si>
    <t>Reinhart &amp; Rogoff (2009, 2014) report 1896 as a systemic banking crisis but not 1900. Salomatina (2014) dates the crisis from 1899 to 1903, Lychakov (2018) from 1899 to 1902. In summer 1899, Russian Trade and Industrial Bank faced a dramatic bank run that triggered the panic (Salomatina, 2014, pp. 14-17). Milward &amp; Saul (1977, p. 413) speak of late summer.</t>
  </si>
  <si>
    <t>August 1995</t>
  </si>
  <si>
    <t>65 banks were closed in 1994, and an additional 71 during the first six months of 1995.</t>
  </si>
  <si>
    <t>Jaffree &amp; Levonian (1995)</t>
  </si>
  <si>
    <t>Reinhart &amp; Rogoff (2009, 2014) say this was a systemic banking crisis. Caprio &amp; Klingebiel (2003, p. 5) report that in August 1995 the entire interbank market stopped working, clearly indicating a panic. Laeven &amp; Valencia (2018) do not report this event.</t>
  </si>
  <si>
    <t>August 1998</t>
  </si>
  <si>
    <t>Nearly 720 banks, around 50% of the banks in the country, were deemed insolvent.</t>
  </si>
  <si>
    <t>Caprio &amp; Klingebiel (2003, p. 5)</t>
  </si>
  <si>
    <t>Reinhart &amp; Rogoff (2009, 2014) and Laeven &amp; Valencia (2018) say this was a systemic banking crisis. The latter report that on August 17, 1998 a unilateral default on ruble-denominated debt occurred that plunged the entire economy banking sector into deep crisis.</t>
  </si>
  <si>
    <t>At least 9 banks failed in 2008.</t>
  </si>
  <si>
    <t>Reuters (2008)</t>
  </si>
  <si>
    <t>Reinhart &amp; Rogoff (2014) and Laeven &amp; Valencia (2018) say this was a systemic banking crisis. The latter date the beginning of the panic to September 2008 but also call it a borderline case.</t>
  </si>
  <si>
    <t>Singapore</t>
  </si>
  <si>
    <t>In 1987, the central bank injected capital into the three commercial banks but none failed.</t>
  </si>
  <si>
    <t>Lee (1990a, p. 266)</t>
  </si>
  <si>
    <t>Reinhart &amp; Rogoff (2009, 2014) report a non-systemic banking crisis in 1982, citing Caprio &amp; Klingebiel (2003) who state that "Commercial banks’ nonperforming loans rose to about $200 million, or 0.6 percent of GDP," which, in turn, seems not significant enough to constitute the dating of a banking panic.</t>
  </si>
  <si>
    <t>South Africa</t>
  </si>
  <si>
    <t>Reinhart &amp; Rogoff (2014) say this was a systemic banking crisis. We found little evidence, however, of a panic or widespread bank failures.</t>
  </si>
  <si>
    <t>Conant (1915) says this was a crisis but not much more information or sources could be found.</t>
  </si>
  <si>
    <t>could not be dated</t>
  </si>
  <si>
    <t>Cape Commercial Bank failed in 1881.</t>
  </si>
  <si>
    <t>Amphlett (1914, p. 90)</t>
  </si>
  <si>
    <t xml:space="preserve">Reinhart &amp; Rogoff (2014) say this was a systemic banking crisis. This is confirmed by Arndt &amp; Richards (1929, p. 976). </t>
  </si>
  <si>
    <t>September 1890</t>
  </si>
  <si>
    <t>Cape of Good Hope Bank failed in September 1890. Union Bank and the Paarl Bank failed as well. The Bank of Natal required government assitance after it was hit by a bank run.</t>
  </si>
  <si>
    <t>Kantor (1975)
The Mercury (1890, p. 3)</t>
  </si>
  <si>
    <t>Reinhart &amp; Rogoff (2014) say this was a systemic banking crisis. This is confirmed by Arndt &amp; Richards (1929, p. 976). Cape of Good Hope Bank failed and a bank run on Natal Bank occurred in September 1890 (The Mercury, 1890, p. 3).</t>
  </si>
  <si>
    <t>Reinhart &amp; Rogoff (2014) report a stock market crash and an inflation crisis but no banking panic.</t>
  </si>
  <si>
    <t>Reinhart &amp; Rogoff (2009, 2014) say this was a systemic banking crisis, citing Caprio &amp; Klingebiel (2003) who report that "Trust Bank experienced problems" (p. 18). Laeven &amp; Valencia (2018) do not report this event. We do not find convincing evidence that there was a banking panic.</t>
  </si>
  <si>
    <t>Fourth-largest bank Bankorp was rescued by the central bank.</t>
  </si>
  <si>
    <t>Giliomee (2013)</t>
  </si>
  <si>
    <t>Stals (1996) reports that "in April 1985, Bankorp approached the Reserve Bank with a request to provide financial assistance [...]", but the central bank intervened preemptively.</t>
  </si>
  <si>
    <t xml:space="preserve">Reinhart &amp; Rogoff (2009, 2014) do not report this event. Laeven &amp; Valencia (2018) do not report this as a banking crisis but as a currency crisis. </t>
  </si>
  <si>
    <t>Only a few small banks failed: Alpha Bank failed in 1990 and Cape Investment Bank failed in 1991 due to fraud. Pretoria Bank failed in 1991 due to mismangement and a botched merger.</t>
  </si>
  <si>
    <t>Tjiane (2015, pp. 6-12)</t>
  </si>
  <si>
    <t>Reinhart &amp; Rogoff (2009, 2014) (probably erroneously) say this was a systemic banking crisis, citing Caprio &amp; Klingebiel (2003) who report that "Some banks are experiencing problems" (p. 18). Laeven &amp; Valencia (2018) do not report this event. We do not find convincing evidence of a banking crisis.</t>
  </si>
  <si>
    <t>February 1882</t>
  </si>
  <si>
    <t>Between 1882 and 1884, 20 banks disappeared, most of them from Barcelona</t>
  </si>
  <si>
    <t>Tortella &amp; García Ruiz (2013, p. 82)</t>
  </si>
  <si>
    <t>Shortly after the bourse collapsed in France in Janury, Spain was hit by a panic in February 1882 (Homans, 1883, p. xiv).</t>
  </si>
  <si>
    <t>Jordà, Schularick &amp; Taylor (2017) and Betrán &amp; Pons (2018) report a systemic banking crisis while Reinhart &amp; Rogoff (2009, 2014) do not. Jordà, Schularick &amp; Taylor (2017)  date it to 1883 while Betrán &amp; Pons (2018) date it to 1882.</t>
  </si>
  <si>
    <t>November 1890</t>
  </si>
  <si>
    <t>Two banks failed.</t>
  </si>
  <si>
    <t xml:space="preserve">Betrán &amp; Pons (2013, pp. 19-20; 2018). </t>
  </si>
  <si>
    <t>"The immediate consequences of the Baring crisis produced a fall in Spanish stock prices" (Betrán &amp; Pons, 2013, p. 19) and triggered a panic in Spain in November 1890 when Baring Brothers failed in London.</t>
  </si>
  <si>
    <t xml:space="preserve">Jordà, Schularick &amp; Taylor (2017) and Betrán &amp; Pons (2018) report a systemic banking crisis in 1890 while Reinhart &amp; Rogoff (2009, 2014) do not. </t>
  </si>
  <si>
    <t>December 1913</t>
  </si>
  <si>
    <t>Banco Hispano Americano was rescued by the central bank in January 1914 after it had suspended payments in December 1913. Later in 1914, Crédito de la Unión Minera faced financial difficulties, along with other Barcelona and Vizcaya banks.</t>
  </si>
  <si>
    <t>Tortella &amp; García Ruiz (2013, p. 101)
Betrán, Martín-Aceña &amp; Pons (2012, p. 422) Harrison (1978).</t>
  </si>
  <si>
    <t xml:space="preserve">Martín-Aceña (1995, p. 507) also reports a panic with bank runs at the larger banks after the war began. Harrison (1978) reports that Credito de la Union Minera was forced to suspend payments owing to a panic withdrawal of deposits by the public. Also liquidity problems at banks in Catalonia and Viscaya. The banks were able to satisfy the withdrawals by rediscounting at the central bank and as Spain was neutral in the war confidence soon was restored. </t>
  </si>
  <si>
    <t xml:space="preserve">July 1914 might be considered a separate crisis from December 1913. Jordà, Schularick &amp; Taylor (2017) and Betrán &amp; Pons (2018) report a systemic banking crisis while Reinhart &amp; Rogoff (2009, 2014) do not. </t>
  </si>
  <si>
    <t>November 1920</t>
  </si>
  <si>
    <t>A major bank, Banco de Barcelona, suspended payments in November 1920 and failed in the same year. It received only little aid from the central bank. Banc de Terrassa also failed.</t>
  </si>
  <si>
    <t>Betrán, Martín-Aceña &amp; Pons (2012, p. 422)
Tortella &amp; García Ruiz (2013, p. 101)
Martín-Aceña (1995, p. 509)</t>
  </si>
  <si>
    <t>Banco de Barcelona suspended payments in November 1920 after an announcement of severe losses. Led to depositor runs first at the bank itself but, later, at other banks in Barcelona (Martín-Aceña, 1995, p. 509).</t>
  </si>
  <si>
    <t>Reinhart &amp; Rogoff (2009, 2014), Jordà, Schularick &amp; Taylor (2017), and Betrán &amp; Pons (2018) report a systemic banking crisis.</t>
  </si>
  <si>
    <t>September 1924</t>
  </si>
  <si>
    <t xml:space="preserve">Six banks failed: Banco de Castilla and the Banco Matritense in 1924; Crédito de la Unión Minera, the Banco de Vigo, the Sociedad de Seguros y Crédito La Agrícola, the Banco Agrícola y Comercial, and the Banco Vasco in 1925. Systemically important bank Banco Central was rescued by the central bank while all other banks were not helped. </t>
  </si>
  <si>
    <t>Martín-Aceña (1995, pp. 512-514)</t>
  </si>
  <si>
    <t xml:space="preserve"> Martín-Aceña (1995) report that depositor runs began in summer 1924, became acute in late 1924, and lasted until September 1925 (p. 512). Bernanke &amp; James (1991, p. 51) erroneously report September 1925 as the beginning of the panic.</t>
  </si>
  <si>
    <t>Reinhart &amp; Rogoff (2009, 2014) report this as a systemic banking crisis explicitly seperate from the previous event. Jordà, Schularick &amp; Taylor (2017) and Betrán &amp; Pons (2018) follow in the same vein.</t>
  </si>
  <si>
    <t>Banco de Cataluña, and two of its affiliates, the Banco de Tarrasa and the Banco de Reus, suspended payments in 1931 and failed. No other banks failed.</t>
  </si>
  <si>
    <t>Martín-Aceña (1995, p. 516)</t>
  </si>
  <si>
    <t>The impact of the Great Depression was comparatively mild in Spain but the banking sector experienced massive deposit runs between April and June 1931 that forced the central Bank to intervene. For the first time in history, the Banco de España assumed its role as a full-fledged lender of last resort and was able to prevent widespread bank collapses (Martín-Aceña, 1995, pp. 515-517). Despite the runs, Martín-Aceña (1995, pp. 515-516) writes that "no really important bank suspended payments or went into liquidation."</t>
  </si>
  <si>
    <t xml:space="preserve">Reinhart &amp; Rogoff (2009, 2014), Jordà, Schularick &amp; Taylor (2017), and Betrán &amp; Pons (2018) report a systemic banking crisis. </t>
  </si>
  <si>
    <t>24 banking institutions were rescued, 4 were liquidated, 4 were merged, 20 small and medium banks were nationalised during the course of this crisis. In 1982, Banca Catalana failed.</t>
  </si>
  <si>
    <t>Westernhagen et al. (2004, pp. 28-29)
Tortella &amp; García Ruiz (2013, p. 114)
Betrán, Martín-Aceña &amp; Pons (2012, p. 423)</t>
  </si>
  <si>
    <t>Due to the gradually evolving nature of this crisis there was no banking panic.</t>
  </si>
  <si>
    <t xml:space="preserve">Reinhart &amp; Rogoff (2009, 2014), Jordà, Schularick &amp; Taylor (2017), Betrán &amp; Pons (2018), Lo Duca et al. (2017), and Laeven &amp; Valencia (2018) unanimously repot a systemic banking crisis. Betrán &amp; Pons (2018) date its beginning to 1976, Lo Duca et al (2017) to 1978 when the first default occured. The remaining studies date it to 1977. </t>
  </si>
  <si>
    <t>In 1993, third-largest bank Banesto was taken over by the central bank.</t>
  </si>
  <si>
    <t>Riding (1993)</t>
  </si>
  <si>
    <t>There is no evidence of a banking panic outside of the funding problems at Banesto, which was ended by the government bailout.</t>
  </si>
  <si>
    <t>The government bailed out Savings bank Caja Castilla La Mancha (CCM) in 2009.</t>
  </si>
  <si>
    <t>The Guardian (2009)</t>
  </si>
  <si>
    <t>Laeven &amp; Valencia (2018) dates the beginning of the panic to September 2008.</t>
  </si>
  <si>
    <t>Reinhart &amp; Rogoff (2009, 2014), Jordà, Schularick &amp; Taylor (2017), Betrán &amp; Pons (2018), Lo Duca et al. (2017), and Laeven &amp; Valencia (2018) unanimously report a systemic banking crisis.</t>
  </si>
  <si>
    <t>The government bailed out CajaSur in 2010. The government bailed out and took over UNNIM, CAM, BMN, Caja3, Liberbank, Banco Gallego, BFA-Bankia, Catalunya Banc, CEISS, NCG Banco and Banco de Valencia between 2011 and 2014. Banco Popular was bought by Santander for 1 Euro in 2017 to prevent its failure.</t>
  </si>
  <si>
    <t>Fondo de Reestructuración Ordenada Bancaria (2019, p. 24)
Kerlin et al. (2016, pp. 279-306)
El Pais (2017)</t>
  </si>
  <si>
    <t>Lo Duca et al. (2017) report that fiscal tensions in relation to the European Public Debt crisis caused a second round of bank distress. Laeven &amp; Valencia (2018) report that the previous crisis event became systemic in April 2011. We date this event as a separate banking crisis without a panic. Many banks were taken over by the government or merged.</t>
  </si>
  <si>
    <t>December 1878</t>
  </si>
  <si>
    <t>Largest commercial bank Stockholms Enskilda Bank and 12 other banks received funding against collateral from a government fund. Stockholms Enskilda Bank was saved from bankruptcy by this intervention.</t>
  </si>
  <si>
    <t xml:space="preserve">Ögren (2018, pp. 58-62)
Hortlund (2007, pp. 25-26) </t>
  </si>
  <si>
    <t>In December 1878, the then largest Swedish commercial bank, Stockholms Enskilda Bank, was subjected to a run due to its large exposure to railroad bonds (Ögren, 2018, p. 59).</t>
  </si>
  <si>
    <t xml:space="preserve">Reinhart &amp; Rogoff (2014), Jordà, Schularick &amp; Taylor (2017), Grossman (2010), and Ögren (2018) report a systemic banking crisis. Reinhart &amp; Rogoff (2014) date its beginning to 1876, Grossman (2010, p. 309) to 1877, and the remaining to sources to 1878. This event was a delayed response to the international crisis of 1873. </t>
  </si>
  <si>
    <t>Only Reinhart &amp; Rogoff (2014) report a systemic banking crisis here. However, we were unable to find convincing evidence for this.</t>
  </si>
  <si>
    <t>16 banks went bankrupt or were reorganized. Among the failed banks were Aktiebolaget Stockholms Kreditbank (1907), AB Sundsvalls Köpmansbank (1910), AB Sundsvalls folkbank (1910), AB Hudiksvalls Folkbank (1910), AB Linköpingsbank (taken over, 1910), AB Gäfle handelsbank (reorganized, 1910), Halmstads Bankaktiebolag (taken over, 1911), AB Sollefteå folkbank (merged, 1911), and Bankaktiebolaget Stockholm Öfre Norrland (taken over, 1911).</t>
  </si>
  <si>
    <t>Jonung &amp; Hagberg (2005, p. 12)
Grodecka, A., Kenny, S., &amp; Ögren, A. (2018)</t>
  </si>
  <si>
    <t>Grodecka, Kenny &amp; Ögren (2018, p. 7) report that the panic became most acute in October 1907.</t>
  </si>
  <si>
    <t xml:space="preserve">Reinhart &amp; Rogoff (2014), Jordà, Schularick &amp; Taylor (2017), Grossman (2010), and Jonung &amp; Hagberg (2005) report a systemic banking crisis. </t>
  </si>
  <si>
    <t>AB Privatbanken failed in 1919 due to fraud but unrelated to the crisis event. AB Nya Banken and AB Köpmannabanken failed in 1920 related to the crisis. Public-private rescue fund AB Kreditkassan recapitalized four more banks, among them Sydsvenska Kredit AB. Some smaller banks were taken over by bigger banks.</t>
  </si>
  <si>
    <t>Ögren (2018, pp. 63-66)</t>
  </si>
  <si>
    <t>We could not find evidence of a panic. This might be due to the large-scale government involvement to stabilize and consolidate the banking sector.</t>
  </si>
  <si>
    <t xml:space="preserve">Reinhart &amp; Rogoff (2014), Jordà, Schularick &amp; Taylor (2017), Grossman (2010), Ögren (2018), and Jonung &amp; Hagberg (2005) report a systemic banking crisis. </t>
  </si>
  <si>
    <t>This was a one-bank event: Skandinaviska Banken had to be rescued in 1932 due to its large exposure to the Kreuger concern.</t>
  </si>
  <si>
    <t>Lönnborg, Ögren &amp; Rafferty (2011, pp. 239-243)</t>
  </si>
  <si>
    <t>In March 1932, Skandinaviska Banken, which suffered heavy losses from its close ties to the Krueger group, faced a run on its deposits, but the government immediately intervened (Lönnborg, Ögren &amp; Rafferty (2011, pp. 239-243).</t>
  </si>
  <si>
    <t>Reinhart &amp; Rogoff (2014), Jordà, Schularick &amp; Taylor (2017), Ögren (2018), and Jonung &amp; Hagberg (2005) report a systemic banking crisis.</t>
  </si>
  <si>
    <t>September 1992</t>
  </si>
  <si>
    <t>Second-largest and largely public bank Nordbanken failed in 1991. Regional savings banks Forsta Sparbank and Fourth-largest bank Gota Bank failed in 1992.</t>
  </si>
  <si>
    <t>Gup (1998, pp. 45-46)</t>
  </si>
  <si>
    <t>Nearly the entire banking system had to rely on Riksbanken liquidity support. Laeven &amp; Valencia (2018) report that in September 1992 a blanket guarantee was given to all financial institutions. Also, Sandal (2004) writes, "the Riksbanken, used a large share of its foreign currency reserves as liquidity support through currency deposits in the banks. At the peak, foreign currency equivalent to SEK 57 bn was utilised."</t>
  </si>
  <si>
    <t xml:space="preserve">Reinhart &amp; Rogoff (2014), Jordà, Schularick &amp; Taylor (2017), Ögren (2018), Laeven &amp; Valencia (2018), Lo Duca et al. (2017), and Jonung &amp; Hagberg (2005) report a systemic banking crisis. </t>
  </si>
  <si>
    <t>Carnegie Investment Bank AB and Max Matthiessen Holding AB failed in 2008 and their bank licenses were revoked.</t>
  </si>
  <si>
    <t>Kerlin et al. (2016, pp. 308-312)</t>
  </si>
  <si>
    <t>Reinhart &amp; Rogoff (2014), Jordà, Schularick &amp; Taylor (2017), Ögren (2018), Laeven &amp; Valencia (2018), and Lo Duca et al. (2017) report a systemic banking crisis. Both Laeven &amp; Valencia (2018) and Lo Duca et al. (2017) date the beginning of the panic to September 2008.</t>
  </si>
  <si>
    <t>Switzerland</t>
  </si>
  <si>
    <t>Many banks were not able to meet their payment obligations, but we cannot find specific names in sources.</t>
  </si>
  <si>
    <t>Baltensperger &amp; Kugler (2017, pp. 31-33)</t>
  </si>
  <si>
    <t>Reinhart &amp; Rogoff (2009), Grossman (2010), and Jordà, Schularick &amp; Taylor (2017) report a systemic banking crisis. Like Reinhart &amp; Rogoff (2009), Baltensperger &amp; Kugler (2017, pp. 31-33) date a panic to July 1870 when the Franco-Prussian War broke out which caused - due to its monetary dependance on France - a severe liquidity crisis in Switzerland.</t>
  </si>
  <si>
    <t>Between 1910 and 1914, 22 banks failed: Leih- und Sparkasse Aadorf (1910), Leih- und Sparkasse Steckborn (1912), Leih- und Sparkasse Eschlikon (1912), Thurgauischen Hypothekenbank (1914), Bank in Horgen (1910), Allgemeinen Gewerbekasse Kloten (1910), Volksbank in Biel (1910), Spar- und Leihkasse Herzogenbuchsee (1910), Caisse d'Epargne et de Credit des Franches Montagnes in Saingnelegier (1911), Spar- und Leihkasse Brittnau (1913), Spar- und Leihkasse Bremgarten (1913), Basellandschaftlichen Volksbank in Sissach (1912), Credito Ticinese, Locarno (1914), Banca Cantonale Ticinese, Bellinzona (1914), Banca Popolare Ticinese, Bellinzona (1914), Urnische Staatsbank (1914),  Bischofberger &amp; Co., St. Gallen (1911), Burkhardt &amp; Co., Zürich (1912), Kugler &amp; Co., Zürich (1912), Zündel &amp; Co., Schaffhausen (1914), Internationale Eisenbahnbank Bern (1915), Centralbank AG Bern (1914)</t>
  </si>
  <si>
    <t>Wetter (1918)</t>
  </si>
  <si>
    <t>Reinhart &amp; Rogoff (2009) report a systemic banking crisis, Jordà, Schularick &amp; Taylor (2017) follow their judgment. Schwarzenbach (1929, p. 1080) report a number of bank failures but they seemed not to have constituted a banking crisis. Wetter (1918) says there was no panic.</t>
  </si>
  <si>
    <t>No bank failures. The bank failures in 1914 occurred before the beginning of the war and can be attributed to the previous event.</t>
  </si>
  <si>
    <t xml:space="preserve">Schwarzenbach (1929, pp. 1116-1118). </t>
  </si>
  <si>
    <t>Baltensperger &amp; Kugler (2017, pp. 55-56) report a panic in July 1914 that was caused by the outbreak of the first world war and led to large-scale deposit withdrawals until the central bank intervened.</t>
  </si>
  <si>
    <t>Many smaller banks were liquidated between 1920 and 1925. Large commercial bank Bank Leu failed and had to be restructured multiple times.</t>
  </si>
  <si>
    <t>Reinhart &amp; Rogoff (2010) report a systemic banking crisis, but do not do so in their 2009 book. Jordà, Schularick &amp; Taylor (2017) and Grossman (2010) do not report a banking crisis. There is no evidence of a panic.</t>
  </si>
  <si>
    <t>1931, 1933</t>
  </si>
  <si>
    <t>Banque de Geneve failed in summer 1931. In 1933, larger local bank Volksbank Reiden failed (July). In 1934, Major bank Banque d'Escompte Suisse (April) and smaller local bank Banque Commerciale Valaisanne of Monthey (May) failed. Schweizerische Volksbank was able to survive due to government support. Overall, no fewer than 60 banks were taken over or wound up between 1930 and 1939.</t>
  </si>
  <si>
    <t>League of Nations (1934, pp. 199-206)
Baltensperger &amp; Kugler (2017, pp. 70-92)
Vogler (2006, p. 12)</t>
  </si>
  <si>
    <t>Reinhart &amp; Rogoff (2009, 2010) and Jordà, Schularick &amp; Taylor (2017) report a systemic banking crisis. Both date it beginning in 1931. We record a panic in July 1931 when the failure of Banque de Geneve caused deposit runs in Geneva (Straumann, 2010, p. 101).</t>
  </si>
  <si>
    <t>Banca di Partcipazioni ed Investimenti, Mebco Bank, and Spar- and Hypothekenbank failed between 1988 and 1991. Large regional bank Spar- und Leihkasse Thun failed in 1991. One of the largest regional banks Ersparniskasse von Konolfingen failed in 1992. Large regional bank Eko Hypothekar- und Handelsbank failed in 1992. There is evidence that many more banks dissappeared due to mergers.</t>
  </si>
  <si>
    <t>Gup (1998, pp. 46-47) Baltensperger &amp; Kugler (2017, pp. 116-117)</t>
  </si>
  <si>
    <t>In October 1991, larger regional savings bank Spar &amp; Leihkasse Thun had to face a severe bank run that led to its failure.</t>
  </si>
  <si>
    <t>Jordà, Schularick &amp; Taylor (2017) report a systemic banking crisis, while Reinhart &amp; Rogoff (2010) and Laeven &amp; Valencia (2018) do not. Von Wartburg (2016) reports the bursting of a property price bubble in the late 1980s.</t>
  </si>
  <si>
    <t>Major bank UBS had to be rescued by the government, but no other bank failed</t>
  </si>
  <si>
    <t>Mombelli (2018)</t>
  </si>
  <si>
    <t>Reinhart &amp; Rogoff (2010) and Jordà, Schularick &amp; Taylor (2017) report a systemic banking crisis. Laeven &amp; Valencia (2018) report a banking crisis, as well, but call it a borderline case.</t>
  </si>
  <si>
    <t>Taiwan</t>
  </si>
  <si>
    <t>Could not find evidence for any bank failures</t>
  </si>
  <si>
    <t>Reinhart &amp; Rogoff (2014) report a systemic banking crisis.  Tamaki (1995, pp. 146-154) reports that Bank of Taiwan came into severe financial distress mainly because of its involvement with Suzuki Trading Co. shortly before the great earthquake in Japan in September 1923.</t>
  </si>
  <si>
    <t>April 1927</t>
  </si>
  <si>
    <t>Bank of Taiwan failed on April 18, 1927.</t>
  </si>
  <si>
    <t>Ohno (2008)</t>
  </si>
  <si>
    <t>Reinhart &amp; Rogoff (2014) report a systemic banking crisis. This event is related to the final collapse (and subsquent reinstatement) of Bank of Taiwan. By the end of 1926, the largest part of the unsettled earthquake bills was attributable to the Bank of Taiwan and Suzuki (Ohno, 2008) .</t>
  </si>
  <si>
    <t>August 1985</t>
  </si>
  <si>
    <t>Asia Trust and Investment Corporation had to be rescued by the government in 1982. Overseas Trust Corporation and Cathay Investment and Trust Corporation were rescued in 1985. Previously, Wah Loong Company was rescued in 1977.</t>
  </si>
  <si>
    <t>Lee (1990b, p. 66)</t>
  </si>
  <si>
    <t>Reinhart &amp; Rogoff (2009, 2014) report a systemic banking crisis. There were bank runs at Runs at Cathay Trust, Asia Trust, Tenth Credit Cooperative Association, and Overseas Chinese Trust in August 1985 (Lee, 1990b, pp. 66-67).</t>
  </si>
  <si>
    <t>July 1995</t>
  </si>
  <si>
    <t>Changua Fourth Credit Union, Chungli Farmers' Association, Overseas Chinese Bank failed in 1995. TaiTun Medium-Business Bank failed in 1996.</t>
  </si>
  <si>
    <t>Lee (1998, p. 21)</t>
  </si>
  <si>
    <t>Reinhart &amp; Rogoff (2009, 2014) report a systemic banking crisis in 1995. The failure of Chanuga Fourth Credit Union sparked deposit runs on other banks, indicating a panic (Caprio &amp; Klingebiel, 2003, p. 15).</t>
  </si>
  <si>
    <t xml:space="preserve">Two bill-finance companies failed as a result of industry failures that were caused by after-effects of the Asian financial crisis. Many credit cooperatives in financial difficulties were merged with healthier banks. </t>
  </si>
  <si>
    <t>Satō (2002, p. 230)
Montgomery (2002)</t>
  </si>
  <si>
    <t>Reinhart &amp; Rogoff (2009, 2014) report a systemic banking crisis from 1997 to 1998 separately from the previous event. A few smaller institutions faced bank runs in November 1998 that could largely be resolved by arranged mergers (Montgomery, 2002, pp. 2-3)</t>
  </si>
  <si>
    <t>Chu (2013) says this wasn't a full-fledged banking crisis.</t>
  </si>
  <si>
    <t>There is no evidence of a banking panic. This is confirmed by Chu (2013).</t>
  </si>
  <si>
    <t>Major finance company Raja Finance failed and closed down in August 1979.</t>
  </si>
  <si>
    <t>Sundaravej &amp; Trairatvorakul (1989, p. 4)</t>
  </si>
  <si>
    <t>Reinhart &amp; Rogoff (2009, 2014) say this was a systemic banking crisis whereas Laeven &amp; Valencia (2018) do not report it. From a reading of Sundaravej &amp; Trairatvorakul (1989) this event seems to be a prelude to the following banking crisis that also involved the largely unregulated finance companies.</t>
  </si>
  <si>
    <t>October 1983</t>
  </si>
  <si>
    <t>3 commercial banks representing 13% of total assets failed. The government intervened in 50 finance and security firms and 5 commercial banks.</t>
  </si>
  <si>
    <t>Reinhart &amp; Rogoff (2009, 1014) and Laeven &amp; Valencia (2018) report a systemic banking crisis. Kaminksy &amp; Reinhart (1999, p. 478) date the beginning of the panic to October 1983.</t>
  </si>
  <si>
    <t>May 1996</t>
  </si>
  <si>
    <t>As of end of July 1999, one commercial bank and 56 finance companies had been closed. The state had intervened in seven private, domestic commercial banks and in 12 finance companies. Three intervened commercial banks and 12 finance companies had exited through merger. (Categories are not mutually exclusive)</t>
  </si>
  <si>
    <t>Teo et al. (2000, p. 101)</t>
  </si>
  <si>
    <t>Reinhart &amp; Rogoff (2009, 1014) and Laeven &amp; Valencia (2018) report a systemic banking crisis. Kaminksy &amp; Reinhart (1999, p. 478) date the beginning of the panic to May 1996 when the finance ministry took control of  the Bangkok Bank of Commerce after it had been hit by massive withdrawals of deposits. The event developed into the Asian Financial Crisis when Thailand floated its currency in July 1997 and by October 1997 it had triggered panics all over Asia (Gup, 1998, pp. 114-120).</t>
  </si>
  <si>
    <t>There is no evidence of a banking panic. This is confirmed by Bank of Thailand (2010).</t>
  </si>
  <si>
    <t>There was really only one domestic bank, Imperial Ottoman Bank, which did not fail. (Some overseas banks may have failed earlier, but these are unrelated to the sovereign debt default: for example, Banque Austro-Turque failed in 1874.)</t>
  </si>
  <si>
    <t>Cottrell, Fraser &amp; Pohle Fraser (2008)</t>
  </si>
  <si>
    <t>On October 06, 1875, the Ottoman Empire defaulted on its external debt by announcing it would pay back only half of its principal and interest (Ignatius, 1989). The announcement triggered a public debt crisis but not a banking panic.</t>
  </si>
  <si>
    <t>August 1914</t>
  </si>
  <si>
    <t>National Bank of Turkey failed in 1913. On August 2, most of the banks in Constantinople suspended payments.</t>
  </si>
  <si>
    <t>Roberts (2013, p. 205) reports that the outbreak of the war triggered a "tremendous panic" and that on August 02, most of the banks in Constantinople closed their doors. Still on the same day the government announced a general moratorium. When the Ottoman Empire joined the war in October 1914 the situation worsened even further.</t>
  </si>
  <si>
    <t>Between 1923 and 1932, more than 20 local banks went bust, mainly because of the Great Depression. Banque Turque pour le Commerce et l’Industrie failed in July 1931.</t>
  </si>
  <si>
    <t>Görmez (2008, p. 13)
Bernanke &amp; James (1991, p. 52).</t>
  </si>
  <si>
    <t>Reinhart &amp; Rogoff (2009, 2014) report a systemic banking crisis. In July 1931, the branches of Deutsche Bank faced a bank run as a response to the developments in Germany (Bernanke &amp; James, 1991, p. 52).</t>
  </si>
  <si>
    <t>November 1983</t>
  </si>
  <si>
    <t>Istanbul Bank, Ortadogu Iktisat Bank, Hisarbank, and Workers Credit Bank failed in 1983. Bagbank failed in 1984.</t>
  </si>
  <si>
    <t>Görmez (2008, p. 18)</t>
  </si>
  <si>
    <t>Reinhart &amp; Rogoff (2009, 2014) and Laeven &amp; Valencia (2018) report a systemic banking crisis and date its beginning to 1982.</t>
  </si>
  <si>
    <t>January 1991</t>
  </si>
  <si>
    <t>Failure of only one small bank.</t>
  </si>
  <si>
    <t>Gündoğdu (2014, pp. 133-135)</t>
  </si>
  <si>
    <t>Reinhart &amp; Rogoff (2009, 2014) report a non-systemic banking crisis. Laeven &amp; Valencia (2018) report this event as a currency crisis. Kaminsky &amp; Reinhart (1999) report the beginning of a banking panic in January 1991.</t>
  </si>
  <si>
    <t>Likely a very minor banking crisis.</t>
  </si>
  <si>
    <t>Banks TYT Bank, Impexbank, Netbank, and Marbank failed.</t>
  </si>
  <si>
    <t>Görmez (2008, pp. 20-21)</t>
  </si>
  <si>
    <t>Reinhart &amp; Rogoff (2009, 2014) report a non-systemic banking crisis. Laeven &amp; Valencia (2018) do not report this event. The former report that three banks failed in April 1994, indicating a panic (p. 387).</t>
  </si>
  <si>
    <t>November 2000</t>
  </si>
  <si>
    <t>Banks Kıbrıs Kredi Bankası and Park Yatırım Bankası had their permits revoked in 2000. Atlas Yatırım Bankası, Bank Kapital Türk, Birleşik Türk Körfez Bankası, Demirbank, Egebank, Eskişehir Bankası, Etibank, Interbank, Morgan Guaranty Trust Co., Okan Yatırım Bankası, Osmanlı Bankası, Tekfen Yatırım ve Finansman Bankası, Türkiye Emlak Bankası, and Tutum Bankası failed in 2001. Ege Giyim Sanayicileri Bankası, Iktisat Bankası, Kentbank, Milli Aydın Bankası, Rabobank Nederland, Sina' Yatınm Bankası, Sümerbank, Toprakbank, and Türk Ticaret Bankası failed in 2002.</t>
  </si>
  <si>
    <t>Reinhart &amp; Rogoff (2009, 2014) and Laeven &amp; Valencia (2018) report a systemic banking crisis and date its beginning to 2000. The latter report that "in Nov[ember] 2000, one large bank cut its credit lines to a few smaller banks, who in turn reacted by liquidating public securities in the market. A sharp drop in price of such securities caused panic among foreign investors triggering a reversal in capital flows and a sharp increases in interest rates and declines in the value of the currency".</t>
  </si>
  <si>
    <t>There is no evidence of a banking panic. This is in line with Dieckelmann (2019).</t>
  </si>
  <si>
    <t>U.K.</t>
  </si>
  <si>
    <t>September 1878</t>
  </si>
  <si>
    <t>Major Scottish institution City of Glasgow Bank failed in October 1878. Bristol-based West of England and South Wales District Bank failed in December 1878.</t>
  </si>
  <si>
    <t>Mahate (1994, pp. 104-105)</t>
  </si>
  <si>
    <t>Reinhart &amp; Rogoff (2009, 2014) and Grossman (2010) report a systemic banking crisis. Jordà, Schularick, &amp; Taylor (2017) do not report this event. Collins (1989, p. 525) underlines this was a banking crisis for all of Britain not only for Scotland. The events surrounding the collapse of City of Glasgow Bank in late September/early October 1878 triggered a nationwide banking panic that resulted in bank runs at several other banks (Collins, 1989).</t>
  </si>
  <si>
    <t>Baring Brothers failed in November 1890.</t>
  </si>
  <si>
    <t>Reinhart &amp; Rogoff (2009, p. 388)</t>
  </si>
  <si>
    <t>Reinhart &amp; Rogofff (2009, 2014), Jordà, Schularick, &amp; Taylor (2017), and Grossman (2010) report a systemic banking crisis. Turner (2014) argues against counting this event as a banking panic, which in turn is rejected by White (2018), who argues that there was panic that was quickly addressed by central bank policy. Baring Brothers failed in November 1890 after the Buenos Aires Water Supply and Drainage Company loan failed. The bank was rescued by Bank of England (Reinhart &amp; Rogoff, 2009, p. 388). The failure of Baring Brothers triggered a chain of events that led to a global banking panic.</t>
  </si>
  <si>
    <t>Kenny, Lennard &amp; Turner (2017, p. 28)</t>
  </si>
  <si>
    <t>Reinhart &amp; Rogoff (2014) report a non-systemic banking crisis. Grossman (2010) and Jordà, Schularick, &amp; Taylor (2017) do not report this event. We also do not find evidence of a banking panic.</t>
  </si>
  <si>
    <t>Smaller London savings bank National Penny Bank failed in August 1914. There is, however, no evidence of widespread bank failures.</t>
  </si>
  <si>
    <t>Roberts (2013, p. 67)
Kenny, Lennard &amp; Turner (2017, p. 28)</t>
  </si>
  <si>
    <t>Grossman (2010) and Roberts (2013) report a banking crisis. Reinhart &amp; Rogoff (2009, 2014) and Jordà, Schularick, &amp; Taylor (2017) do not report this event. Reinhart &amp; Rogoff (2010), however, do report this event. Turner (2014) argues against this event being a banking crisis. Roberts (2013, pp. 22-69) reports that the outbreak of the war in July 1914 came as a complete surprise and led to gold hoarding and deposit withdrawals. The London discount market broke down completely for an entire week in July (p. 32).</t>
  </si>
  <si>
    <t>February 1974</t>
  </si>
  <si>
    <t>Many finance companies and fringe banks that operated mainly on wholesale funding failed or had to be rescued. Among those who failed were Cornhill Consolidated (January 1974), Burston Group (February 1975), David Samuel Trust (November 1976), Edward Bates and Sons (May 1975), London and County Securities Group (March 1975), Triumph Investment Trust (November 1974), and Israel-British Bank (1974).</t>
  </si>
  <si>
    <t>Reid (1982, pp. 152-169)</t>
  </si>
  <si>
    <t>Reid (1974) reports that in February 1974 money market rates shot up and that there were bank runs at some of the fringe banks.</t>
  </si>
  <si>
    <t>Jordà, Schularick, &amp; Taylor (2017) and Lo Duca et al. (2017) report a banking crisis. Reinhart &amp; Rogoff (2014) report a non-systemic banking crisis. Laeven &amp; Valencia (2018) do not report this event. Turner (2014, pp. 88-93) date this event as a banking crisis.</t>
  </si>
  <si>
    <t>A small bank, Johnson Matthey Bankers, failed in 1984.</t>
  </si>
  <si>
    <t>Gup (1998, pp. 47-51)</t>
  </si>
  <si>
    <t>Only Reinhart &amp; Rogoff (2014) report a non-systemic banking crisis, citing Caprio &amp; Klingebiel (2003). The literature, however, clearly points towards an isolated bank failure of small bank Johnson Matthey Bankers that neither constitutes a banking crisis and nor caused a panic.</t>
  </si>
  <si>
    <t>British Commonwealth Merchant Bank failed in 1990. A number of small banks and the Bank of Commerce and Credit International failed in 1991. Among the small banks were Chancery, Edington and Authority Bank.</t>
  </si>
  <si>
    <t>Gup (1998, pp. 47-51)
Westernhagen (2004, pp. 49-55)</t>
  </si>
  <si>
    <t>Lo Duca et al. (2017) and Westernhagen (2004, pp. 49-55) report that the collapse of the Bank of Credit and Commerce International in July 1991 triggered a panic and led to transfers of deposits from smaller to larger banks.</t>
  </si>
  <si>
    <t>Jordà, Schularick, &amp; Taylor (2017) and Lo Duca et al. (2017) report a banking crisis. Reinhart &amp; Rogoff (2014) report a non-systemic banking crisis. Laeven &amp; Valencia (2018) do not report this event.</t>
  </si>
  <si>
    <t>Barings Bank (successor of Baring Brothers) failed in February 1995.</t>
  </si>
  <si>
    <t>Only Reinhart &amp; Rogoff (2014) report a non-systemic banking crisis, citing Caprio &amp; Klingebiel (2003). The literature, however, clearly points towards an isolated bank failure of Barings Brothers that  - despite the notorious name - neither constitutes a banking crisis nor caused a panic.</t>
  </si>
  <si>
    <t>Bradford &amp; Bingley failed in September 2008, was fully nationalized and later liquidated. Major bank Lloyd’s Bank was partly nationallized in October 2008 and received massive financial support from the government. Northern Rock was nationalized in February 2008 after receiving liquidity support from the Bank of England. It later was liquidated. Major bank Royal Bank of Scotland received a massive government bail-out and was largely nationalized starting in October 2008.</t>
  </si>
  <si>
    <t>Kerlin et al. (2016, pp. 322-333)</t>
  </si>
  <si>
    <t>We date the beginning of the panic to September 2008 when Lehman Brothers failed in New York. In the summer of 2007 Northern Rock bank had faced a bank run and later had failed, but that was just a one-small-bank event.</t>
  </si>
  <si>
    <t xml:space="preserve">Reinhart &amp; Rogoff (2014), Jordà, Schularick, &amp; Taylor (2017), Lo Duca et al. (2017), and Laeven &amp; Valencia (2018) all report a systemic banking crisis. All of the aforemetnioned sources date the beginning of the crisis to 2007. </t>
  </si>
  <si>
    <t>U.S.</t>
  </si>
  <si>
    <t>September 1873</t>
  </si>
  <si>
    <t>Jay Cooke and Company failed on September 18, 1873. First National Bank of Washington, D.C., National Bank of the Commonwealth, Merchants' National Bank, First National Bank of Petersburg, Va, First National Bank of Mansfield, Ohio, New Orleans National Banking Association, First National Bank of Carlisle, Pa, First National Bank of Anderson, Ind, and First National Bank of Topeka, Kans failed in 1873. First National Bank of Norfolk, Va failed in 1874. During 1873 and 1874 there were a total of 87 bank failures.</t>
  </si>
  <si>
    <t>Sprague (1910, p. 81)
Office of the Comptroller of the Currency (1932, pp. 6-8)</t>
  </si>
  <si>
    <t>Reinhart &amp; Rogoff (2009, 2014), Jordà, Schularick, &amp; Taylor (2017), Grossman (2010), and Jalil (2015) report a systemic/major banking crisis that was the result of a debt-driven railroad boom grinding to a halt. Jalil (2015) and Reinhart &amp; Rogoff (2009, p. 389) report that a panic ensued in September 1873 when the collapse of the bank Jay Cooke and Company triggered widespread bank runs (Sprague, 1910, pp. 43-75; Vague, 2019, pp. 141-148).</t>
  </si>
  <si>
    <t>May 1884</t>
  </si>
  <si>
    <t>Several banks and saving banks in New York failed in 1884. Among them were Metropolitan National Bank of New York (May 14), Second National Bank, and Marine National Bank of New York. In 1884, a total of 65 banks failed.</t>
  </si>
  <si>
    <t>Grossman (2010, p. 311)
Sprague (1910, pp. 108-123)
Rockoff (2018, p. 81)
Office of the Comptroller of the Currency (1932, pp. 6-8)</t>
  </si>
  <si>
    <t>In New York, a banking panic ensued in May 1884 after the failure of Grant and Ward and other brokerage firms (Grossman, 2010, p. 311).</t>
  </si>
  <si>
    <t>Jordà, Schularick, &amp; Taylor (2017), Grossman (2010) report a systemic banking crisis. Reinhart &amp; Rogoff (2009, 2014) and Jalil (2015) report a non-major/systemic banking crisis.</t>
  </si>
  <si>
    <t>During 1890 to 1892, a total of 152 banks failed. Brokers Charles M. Whitney and Decker Howell and Company failed, as well.</t>
  </si>
  <si>
    <t>Office of the Comptroller of the Currency (1932, pp. 6-8)
Rockoff (2018, p. 81)</t>
  </si>
  <si>
    <t>According to Grossman (2010, p. 312), "Sprague (1910) refers to this as a 'financial stringency'. [...] The Baring crisis and the ensuing higher interest rates in the UK (after a period of falling rates) exacerbated withdrawals from New York." We, thus, date the beginning of the panic to November 1890 - the month of the collapse of Baring Brothers in London.</t>
  </si>
  <si>
    <t>Grossman (2010) reports a banking crisis, Jordà, Schularick, &amp; Taylor (2017) and Reinhart &amp; Rogoff (2009, 2014) do not. Jalil (2015) reports a non-major/systemic banking crisis.</t>
  </si>
  <si>
    <t>May 1893</t>
  </si>
  <si>
    <t xml:space="preserve">In 1893 alone, a total of 326 banks failed. Among the failures of this crisis were were Wisconsin Marine and Fire Insurance Company Bank (Milwaukee), Herman Schaffner and Company (Chicago), United States Loan and Trust Company (Chicago), Columbia National Bank (Chicago), Capital National Bank (Indianapolis), and Chemical National Bank (Chicago). </t>
  </si>
  <si>
    <t>Rockoff (2018, p. 81)
Office of the Comptroller of the Currency (1932, pp. 6-8)</t>
  </si>
  <si>
    <t>Reinhart &amp; Rogoff (2009, 2014), Jordà, Schularick, &amp; Taylor (2017), Grossman (2010), and Jalil (2015) report a systemic/major banking crisis. We follow Jalil's (2015) and Sprague's (1910) reasoning in reporting this as a separate event from the previous one. Jalil (2015, p. A-38) reports that "runs by nervous depositors began in May of 1893 and the panic grew in intensity during June, July, and August."</t>
  </si>
  <si>
    <t>Knickerbocker Trust Company (New York), Mercantile National Bank (New York). In 1907 and 1908, a total of 200 banks failed.</t>
  </si>
  <si>
    <t>Reinhart &amp; Rogoff (2009, 2014), Jordà, Schularick, &amp; Taylor (2017), Grossman (2010), and Jalil (2015) report a systemic/major banking crisis. A collapse in copper prices triggered a run on banks in October 1907 that were involved in speculating on the commodity. This in turn brought Knickerbocker Trust Company down in the same month. This unleashed a full-fledged banking panic across the entire country (Jalil, 2015, p. A-39).</t>
  </si>
  <si>
    <t>In 1914 and 1915, a total of 241 banks failed. However, in terms of total assets these failures were all very small (62.6 mil.) and were out of 25,000+ total banks (7,500 member and 18,000 nonmember banks), so we do not count this as widespread bank failures.</t>
  </si>
  <si>
    <t>Office of the Comptroller of the Currency (1932, pp. 6-8)</t>
  </si>
  <si>
    <t>Reinhart &amp; Rogoff (2009, 2014) report a banking crisis, while Jordà, Schularick, &amp; Taylor (2017) and Grossman (2010) do not. Jalil (2015) does not even count this as a non-major panic. Roberts (2013, pp. 208-2012) report that the stock market closed like in many other countries around the globe but that there was no moratorium and that the banking system remained stable. We do not see any convincing evidence that there was a banking crisis.</t>
  </si>
  <si>
    <t>Almost 10,000 banks went bankrupt and another 14,000 needed public protection.</t>
  </si>
  <si>
    <t>Kindleberger (1986, pp. 288-306)</t>
  </si>
  <si>
    <t>Reinhart &amp; Rogoff (2009, 2014), Jordà, Schularick, &amp; Taylor (2017), and Grossman (2010) report a systemic banking crisis. The panic started with Caldwell and Sons in Nashville, TN in November 1930 (Wicker 1996).</t>
  </si>
  <si>
    <t>May 1984</t>
  </si>
  <si>
    <t>During this crisis that continued throughout the 1980s, more than 1,400 savings and loan institutions and 1,300 banks failed. Among them was 7th-largest commercial bank Continental Illinois National Bank which failed in 1984.</t>
  </si>
  <si>
    <t>Caprio &amp; Klingebiel (2003, p. 16)
Westernhagen et al. (2004, p. 62)</t>
  </si>
  <si>
    <t>In May 1984, 7th-largest commercial bank Continental Illinois National Bank faced a bank run (Westernhagen et al., 2004, p. 62). Similarly, MCorp faced a bank run in 1989: "Moving to halt heavy withdrawals that could have threatened the stability of the Texas banking system, Federal regulators have taken over 20 insolvent banks owned by Mcorp of Dallas, the second-largest banking concern in Texas. Federal regulators said they acted Tuesday night and this morning in response to the withdrawal of $50 million to $100 million from Mcorp units" (New York Times, June 30, 1989).</t>
  </si>
  <si>
    <t>Jordà, Schularick, &amp; Taylor (2017) report a systemic banking crisis. So do Laeven &amp; Valencia (2018) but call it a borderline case and date its beginning to 1988. Reinhart &amp; Rogoff (2009, 2014) report a non-systemic banking crisis.</t>
  </si>
  <si>
    <t>The large regional bank, Bank of New England, failed in early January 1991, as did many other banks in New England and elsewhere.</t>
  </si>
  <si>
    <t>Westernhagen et al. (2004, p. 63)</t>
  </si>
  <si>
    <t>Bank of New England (the 33rd largest bank in the US) and several small banks in Rhode Island faced depositor withdrawal pressure, but they were quickly seized by the FDIC. So we do not consider them part of a panic.</t>
  </si>
  <si>
    <t>Major investment bank Bear Stearns was rescued and bought by JP Morgan in March 2008. Major investment bank Lehman Brothers collapsed on September 15, 2008. Largest savings and loan institution Washington Mutual collapsed in 2008. Major insurance company AIG failed and had to be bailed-out. Merrill Lynch was bought by Bank of America and saved from bankruptcy. Wachovia failed and was bought by Wells Fargo in 2008. Government-sponsored enterprises Fannie Mae and Freddie Mac were put under government control in 2008. In total, 414 FDIC-insured banks failed between 2008 and 2011.</t>
  </si>
  <si>
    <t>United States Government Accountability Office (2013)
Mishkin (2011)
Culpepper &amp; Reinke (2014)</t>
  </si>
  <si>
    <t>Reinhart &amp; Rogoff (2014) and Laeven &amp; Valencia (2018) report a systemic banking crisis and report its beginning to late 2007. A worldwide banking panic ensued when major investment bank Lehman Brothers failed on September 15, 2008.</t>
  </si>
  <si>
    <t>December 1978</t>
  </si>
  <si>
    <t>The following banks failed: the largest commercial bank, Banco Nacional de Descuento (1978), ANDAGRO (1981), Banco de los Trabajadores de Venezuela (1982), Banco de Comercio (1985), BHCU (1985), HCO (1985), and Banco Lara (1986).</t>
  </si>
  <si>
    <t>A panic started with the failure of the largest commercial bank in the country, Banco Nacional de Descuento, in early December 1978.</t>
  </si>
  <si>
    <t>October 1993</t>
  </si>
  <si>
    <t>Insolvent banks accounted for 35% of total depositis. In 1994, 9 banks were nationalized, 7 were closed and 17 were intervened. 2nd-largest bank banco Latino collapsed in January 1994.</t>
  </si>
  <si>
    <t>Reinhart &amp; Rogoff (2009, p. 391)</t>
  </si>
  <si>
    <t>Reinhart &amp; Rogoff (2009, 2014) and Laeven &amp; Valencia (2018) report a systemic banking crisis in 1994. In October 1993, 2nd-largest bank Banco Latino faced a bank run that triggered a widespread banking panic and ultimately led to its failure (Kaminsky &amp; Reinhart, 1999, p. 478; Serrill, 1995).</t>
  </si>
  <si>
    <t>November 2009</t>
  </si>
  <si>
    <t>11th-largest banks Banco Federal failed and was suspended in 2010. Between November 2009 and June 2010, at least 12 banks have been closed due to failure.</t>
  </si>
  <si>
    <t>Cancel &amp; Pons (2010)</t>
  </si>
  <si>
    <t>Reinhart &amp; Rogoff (2014) report a systemic banking crisis. Laeven &amp; Valencia (2018) do not report this event. Romero (2009) reports that the panic began on November 30, 2009 when the government seized controls of several troubled banks.</t>
  </si>
  <si>
    <t xml:space="preserve">Laeven and Valencia (2020) - Systemic Banking Crisis - Anglo Irish Bank failed and was nationalized in 2009. </t>
  </si>
  <si>
    <t>Laeven and Valencia (2020) - Systemic Banking Crisis -Bank of Ireland was bailed out and EBS Building Society was nationalized.</t>
  </si>
  <si>
    <t>Reference</t>
  </si>
  <si>
    <t>Babecky ·et al. (2012) - Currency crisis.</t>
  </si>
  <si>
    <t>FX (US/IE) substantial decline - Currency crisis.</t>
  </si>
  <si>
    <t>Baron and Dieckelmann (2022) -Bank Eq. 30% decline.</t>
  </si>
  <si>
    <t>Label</t>
  </si>
  <si>
    <t>Crisis_Babecky</t>
  </si>
  <si>
    <t>Crisis_Babecky_Baron</t>
  </si>
  <si>
    <t>Notes:</t>
  </si>
  <si>
    <t>All the sources excluding Bank Eq. 30% decline.</t>
  </si>
  <si>
    <t>Sources:</t>
  </si>
  <si>
    <t>FX_yoy</t>
  </si>
  <si>
    <t>Babecky ·et al. (2012), starting point of the currency crisis. We extend the period for what the FX fall after this quarter</t>
  </si>
  <si>
    <t>In C_Properties/C2.Properties.R code</t>
  </si>
  <si>
    <t>C_Properties\1.Crisis_events\fx_filtered.xlsx</t>
  </si>
  <si>
    <t>Babecky ·et al. (2012</t>
  </si>
  <si>
    <t>Labels: just for the graphs produced in C2.Properties.R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</si>
</sst>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yyyy\-mm\-dd"/>
  </numFmts>
  <fonts count="15">
    <font>
      <sz val="11"/>
      <color theme="1"/>
      <name val="Calibri"/>
      <family val="2"/>
      <scheme val="minor"/>
    </font>
    <font>
      <b/>
      <sz val="11"/>
      <color theme="1"/>
      <name val="Calibri"/>
      <family val="2"/>
      <scheme val="minor"/>
    </font>
    <font>
      <sz val="10"/>
      <name val="Arial"/>
      <family val="2"/>
    </font>
    <font>
      <b/>
      <sz val="8"/>
      <name val="Arial"/>
      <family val="2"/>
      <charset val="238"/>
    </font>
    <font>
      <b/>
      <sz val="8"/>
      <color indexed="8"/>
      <name val="Arial"/>
      <family val="2"/>
      <charset val="238"/>
    </font>
    <font>
      <sz val="8"/>
      <name val="Arial"/>
      <family val="2"/>
    </font>
    <font>
      <sz val="11"/>
      <color theme="1"/>
      <name val="Calibri"/>
      <family val="2"/>
      <scheme val="minor"/>
    </font>
    <font>
      <b/>
      <sz val="9"/>
      <name val="Times New Roman"/>
      <family val="1"/>
    </font>
    <font>
      <b/>
      <vertAlign val="superscript"/>
      <sz val="9"/>
      <name val="Times New Roman"/>
      <family val="1"/>
    </font>
    <font>
      <sz val="11"/>
      <name val="Calibri"/>
      <family val="2"/>
      <scheme val="minor"/>
    </font>
    <font>
      <sz val="9"/>
      <name val="Times New Roman"/>
      <family val="1"/>
    </font>
    <font>
      <u/>
      <sz val="11"/>
      <color theme="1"/>
      <name val="Calibri"/>
      <family val="2"/>
      <scheme val="minor"/>
    </font>
    <font>
      <sz val="11"/>
      <color rgb="FFFF0000"/>
      <name val="Calibri"/>
      <family val="2"/>
      <scheme val="minor"/>
    </font>
    <font>
      <b/>
      <sz val="11"/>
      <name val="Calibri"/>
      <family val="2"/>
      <scheme val="minor"/>
    </font>
    <font>
      <b/>
      <sz val="11"/>
      <name val="Calibri (Body)"/>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59999389629810485"/>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top style="double">
        <color auto="1"/>
      </top>
      <bottom/>
      <diagonal/>
    </border>
    <border>
      <left/>
      <right style="thin">
        <color indexed="64"/>
      </right>
      <top/>
      <bottom/>
      <diagonal/>
    </border>
    <border>
      <left style="thin">
        <color indexed="64"/>
      </left>
      <right style="thin">
        <color indexed="64"/>
      </right>
      <top/>
      <bottom style="double">
        <color auto="1"/>
      </bottom>
      <diagonal/>
    </border>
    <border>
      <left/>
      <right/>
      <top/>
      <bottom style="double">
        <color auto="1"/>
      </bottom>
      <diagonal/>
    </border>
    <border>
      <left style="thin">
        <color indexed="64"/>
      </left>
      <right/>
      <top style="double">
        <color auto="1"/>
      </top>
      <bottom/>
      <diagonal/>
    </border>
    <border>
      <left style="thin">
        <color indexed="64"/>
      </left>
      <right/>
      <top/>
      <bottom/>
      <diagonal/>
    </border>
    <border>
      <left/>
      <right style="double">
        <color indexed="64"/>
      </right>
      <top/>
      <bottom/>
      <diagonal/>
    </border>
  </borders>
  <cellStyleXfs count="3">
    <xf numFmtId="0" fontId="0" fillId="0" borderId="0"/>
    <xf numFmtId="0" fontId="2" fillId="0" borderId="0"/>
    <xf numFmtId="9" fontId="6" fillId="0" borderId="0" applyFont="0" applyFill="0" applyBorder="0" applyAlignment="0" applyProtection="0"/>
  </cellStyleXfs>
  <cellXfs count="102">
    <xf numFmtId="0" fontId="0" fillId="0" borderId="0" xfId="0"/>
    <xf numFmtId="0" fontId="1" fillId="0" borderId="0" xfId="0" applyFont="1"/>
    <xf numFmtId="0" fontId="3" fillId="0" borderId="3" xfId="1" applyFont="1" applyBorder="1" applyAlignment="1">
      <alignment horizontal="left"/>
    </xf>
    <xf numFmtId="0" fontId="4" fillId="0" borderId="3" xfId="1" applyFont="1" applyFill="1" applyBorder="1" applyAlignment="1">
      <alignment horizontal="center" wrapText="1"/>
    </xf>
    <xf numFmtId="0" fontId="4" fillId="2" borderId="3" xfId="1" applyFont="1" applyFill="1" applyBorder="1" applyAlignment="1">
      <alignment horizontal="center" wrapText="1"/>
    </xf>
    <xf numFmtId="0" fontId="4" fillId="0" borderId="4" xfId="1" applyFont="1" applyFill="1" applyBorder="1" applyAlignment="1">
      <alignment horizontal="center" wrapText="1"/>
    </xf>
    <xf numFmtId="0" fontId="5" fillId="0" borderId="5" xfId="1" applyFont="1" applyBorder="1" applyAlignment="1">
      <alignment horizontal="left"/>
    </xf>
    <xf numFmtId="0" fontId="5" fillId="0" borderId="6" xfId="1" applyFont="1" applyFill="1" applyBorder="1"/>
    <xf numFmtId="0" fontId="5" fillId="2" borderId="6" xfId="1" applyFont="1" applyFill="1" applyBorder="1"/>
    <xf numFmtId="0" fontId="5" fillId="0" borderId="5" xfId="1" applyFont="1" applyFill="1" applyBorder="1"/>
    <xf numFmtId="0" fontId="5" fillId="2" borderId="5" xfId="1" applyFont="1" applyFill="1" applyBorder="1"/>
    <xf numFmtId="0" fontId="5" fillId="0" borderId="7" xfId="1" applyFont="1" applyBorder="1" applyAlignment="1">
      <alignment horizontal="left"/>
    </xf>
    <xf numFmtId="0" fontId="5" fillId="0" borderId="8" xfId="1" applyFont="1" applyFill="1" applyBorder="1"/>
    <xf numFmtId="0" fontId="5" fillId="2" borderId="8" xfId="1" applyFont="1" applyFill="1" applyBorder="1"/>
    <xf numFmtId="0" fontId="5" fillId="0" borderId="9" xfId="1" applyFont="1" applyFill="1" applyBorder="1"/>
    <xf numFmtId="0" fontId="5" fillId="2" borderId="9" xfId="1" applyFont="1" applyFill="1" applyBorder="1"/>
    <xf numFmtId="0" fontId="5" fillId="0" borderId="1" xfId="1" applyFont="1" applyBorder="1" applyAlignment="1">
      <alignment horizontal="left"/>
    </xf>
    <xf numFmtId="0" fontId="0" fillId="2" borderId="0" xfId="0" applyFill="1"/>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1" xfId="0" applyFont="1" applyBorder="1" applyAlignment="1">
      <alignment horizontal="center" vertical="center" wrapText="1"/>
    </xf>
    <xf numFmtId="164" fontId="7" fillId="0" borderId="11" xfId="0" applyNumberFormat="1" applyFont="1" applyFill="1" applyBorder="1" applyAlignment="1">
      <alignment horizontal="center" vertical="center" wrapText="1"/>
    </xf>
    <xf numFmtId="0" fontId="9" fillId="0" borderId="0" xfId="0" applyFont="1"/>
    <xf numFmtId="0" fontId="10" fillId="0" borderId="9" xfId="0" applyFont="1" applyBorder="1" applyAlignment="1">
      <alignment horizontal="left"/>
    </xf>
    <xf numFmtId="0" fontId="10" fillId="0" borderId="0" xfId="0" applyFont="1" applyAlignment="1">
      <alignment horizontal="left"/>
    </xf>
    <xf numFmtId="164" fontId="10" fillId="0" borderId="12" xfId="2" applyNumberFormat="1" applyFont="1" applyFill="1" applyBorder="1" applyAlignment="1">
      <alignment horizontal="center"/>
    </xf>
    <xf numFmtId="164" fontId="10" fillId="0" borderId="0" xfId="2" applyNumberFormat="1" applyFont="1" applyFill="1" applyBorder="1" applyAlignment="1">
      <alignment horizontal="center"/>
    </xf>
    <xf numFmtId="164" fontId="10" fillId="0" borderId="0" xfId="2" applyNumberFormat="1" applyFont="1" applyAlignment="1">
      <alignment horizontal="center"/>
    </xf>
    <xf numFmtId="0" fontId="10" fillId="0" borderId="9" xfId="0" applyFont="1" applyFill="1" applyBorder="1" applyAlignment="1">
      <alignment horizontal="left"/>
    </xf>
    <xf numFmtId="0" fontId="10" fillId="0" borderId="0" xfId="0" applyFont="1" applyFill="1" applyAlignment="1">
      <alignment horizontal="left"/>
    </xf>
    <xf numFmtId="164" fontId="10" fillId="3" borderId="0" xfId="2" applyNumberFormat="1" applyFont="1" applyFill="1" applyBorder="1" applyAlignment="1">
      <alignment horizontal="center"/>
    </xf>
    <xf numFmtId="164" fontId="10" fillId="3" borderId="0" xfId="0" applyNumberFormat="1" applyFont="1" applyFill="1" applyAlignment="1">
      <alignment horizontal="center"/>
    </xf>
    <xf numFmtId="164" fontId="10" fillId="0" borderId="0" xfId="2" applyNumberFormat="1" applyFont="1" applyFill="1" applyAlignment="1">
      <alignment horizontal="center"/>
    </xf>
    <xf numFmtId="0" fontId="10" fillId="0" borderId="0" xfId="0" quotePrefix="1" applyFont="1" applyFill="1" applyAlignment="1">
      <alignment horizontal="left"/>
    </xf>
    <xf numFmtId="0" fontId="10" fillId="0" borderId="0" xfId="0" applyFont="1" applyFill="1" applyBorder="1" applyAlignment="1">
      <alignment horizontal="left"/>
    </xf>
    <xf numFmtId="2" fontId="10" fillId="0" borderId="0" xfId="2" applyNumberFormat="1" applyFont="1" applyFill="1" applyBorder="1" applyAlignment="1">
      <alignment horizontal="center"/>
    </xf>
    <xf numFmtId="0" fontId="10" fillId="0" borderId="0" xfId="0" quotePrefix="1" applyFont="1" applyFill="1" applyBorder="1" applyAlignment="1">
      <alignment horizontal="left"/>
    </xf>
    <xf numFmtId="0" fontId="10" fillId="0" borderId="13" xfId="0" applyFont="1" applyFill="1" applyBorder="1" applyAlignment="1">
      <alignment horizontal="left"/>
    </xf>
    <xf numFmtId="9" fontId="10" fillId="0" borderId="0" xfId="2" applyFont="1" applyFill="1" applyBorder="1" applyAlignment="1">
      <alignment horizontal="left"/>
    </xf>
    <xf numFmtId="9" fontId="10" fillId="0" borderId="0" xfId="2" applyFont="1" applyFill="1" applyAlignment="1">
      <alignment horizontal="left"/>
    </xf>
    <xf numFmtId="164" fontId="10" fillId="0" borderId="0" xfId="0" applyNumberFormat="1" applyFont="1" applyFill="1" applyAlignment="1">
      <alignment horizontal="center"/>
    </xf>
    <xf numFmtId="164" fontId="10" fillId="0" borderId="0" xfId="0" applyNumberFormat="1" applyFont="1" applyFill="1" applyBorder="1" applyAlignment="1">
      <alignment horizontal="center"/>
    </xf>
    <xf numFmtId="0" fontId="10" fillId="0" borderId="14" xfId="0" applyFont="1" applyFill="1" applyBorder="1" applyAlignment="1">
      <alignment horizontal="left"/>
    </xf>
    <xf numFmtId="0" fontId="10" fillId="0" borderId="15" xfId="0" applyFont="1" applyFill="1" applyBorder="1" applyAlignment="1">
      <alignment horizontal="left"/>
    </xf>
    <xf numFmtId="164" fontId="10" fillId="0" borderId="15" xfId="2" applyNumberFormat="1" applyFont="1" applyFill="1" applyBorder="1" applyAlignment="1">
      <alignment horizontal="center"/>
    </xf>
    <xf numFmtId="164" fontId="10" fillId="0" borderId="15" xfId="0" applyNumberFormat="1" applyFont="1" applyFill="1" applyBorder="1" applyAlignment="1">
      <alignment horizontal="center"/>
    </xf>
    <xf numFmtId="0" fontId="10" fillId="0" borderId="17" xfId="0" applyFont="1" applyBorder="1" applyAlignment="1">
      <alignment horizontal="left" vertical="top" wrapText="1"/>
    </xf>
    <xf numFmtId="0" fontId="10" fillId="0" borderId="0" xfId="0" applyFont="1" applyBorder="1" applyAlignment="1">
      <alignment horizontal="left" vertical="top" wrapText="1"/>
    </xf>
    <xf numFmtId="164" fontId="10" fillId="0" borderId="0" xfId="0" applyNumberFormat="1" applyFont="1" applyBorder="1" applyAlignment="1">
      <alignment horizontal="left" vertical="top" wrapText="1"/>
    </xf>
    <xf numFmtId="0" fontId="10" fillId="0" borderId="17" xfId="0" applyFont="1" applyBorder="1" applyAlignment="1">
      <alignment vertical="top" wrapText="1"/>
    </xf>
    <xf numFmtId="0" fontId="10" fillId="0" borderId="0" xfId="0" applyFont="1" applyBorder="1" applyAlignment="1">
      <alignment vertical="top" wrapText="1"/>
    </xf>
    <xf numFmtId="2" fontId="10" fillId="0" borderId="0" xfId="0" applyNumberFormat="1" applyFont="1"/>
    <xf numFmtId="164" fontId="10" fillId="0" borderId="0" xfId="0" applyNumberFormat="1" applyFont="1" applyFill="1" applyBorder="1" applyAlignment="1">
      <alignment horizontal="center" vertical="top" wrapText="1"/>
    </xf>
    <xf numFmtId="164" fontId="10" fillId="0" borderId="0" xfId="0" applyNumberFormat="1" applyFont="1" applyBorder="1" applyAlignment="1">
      <alignment vertical="top" wrapText="1"/>
    </xf>
    <xf numFmtId="164" fontId="9" fillId="0" borderId="0" xfId="0" applyNumberFormat="1" applyFont="1" applyFill="1" applyAlignment="1">
      <alignment horizontal="center"/>
    </xf>
    <xf numFmtId="0" fontId="10" fillId="4" borderId="9" xfId="0" applyFont="1" applyFill="1" applyBorder="1" applyAlignment="1">
      <alignment horizontal="left"/>
    </xf>
    <xf numFmtId="0" fontId="10" fillId="4" borderId="0" xfId="0" applyFont="1" applyFill="1" applyBorder="1" applyAlignment="1">
      <alignment horizontal="left"/>
    </xf>
    <xf numFmtId="0" fontId="10" fillId="4" borderId="0" xfId="0" applyFont="1" applyFill="1" applyAlignment="1">
      <alignment horizontal="left"/>
    </xf>
    <xf numFmtId="0" fontId="0" fillId="0" borderId="0" xfId="0" applyAlignment="1"/>
    <xf numFmtId="165" fontId="0" fillId="0" borderId="0" xfId="0" applyNumberFormat="1"/>
    <xf numFmtId="165" fontId="0" fillId="0" borderId="2" xfId="0" applyNumberFormat="1" applyBorder="1"/>
    <xf numFmtId="0" fontId="0" fillId="5" borderId="0" xfId="0" applyFill="1"/>
    <xf numFmtId="165" fontId="0" fillId="0" borderId="0" xfId="0" applyNumberFormat="1" applyBorder="1"/>
    <xf numFmtId="0" fontId="0" fillId="0" borderId="0" xfId="0" applyBorder="1"/>
    <xf numFmtId="0" fontId="1" fillId="6" borderId="0" xfId="0" applyFont="1" applyFill="1" applyAlignment="1">
      <alignment horizontal="center" vertical="center" wrapText="1"/>
    </xf>
    <xf numFmtId="0" fontId="0" fillId="0" borderId="0" xfId="0" applyAlignment="1">
      <alignment horizontal="center" vertical="center" wrapText="1"/>
    </xf>
    <xf numFmtId="0" fontId="1" fillId="6" borderId="0" xfId="0" applyFont="1" applyFill="1" applyAlignment="1">
      <alignment horizontal="left" vertical="center"/>
    </xf>
    <xf numFmtId="0" fontId="0" fillId="0" borderId="0" xfId="0" applyFill="1" applyAlignment="1">
      <alignment horizontal="center" vertical="center" wrapText="1"/>
    </xf>
    <xf numFmtId="0" fontId="1" fillId="7" borderId="0" xfId="0" applyFont="1" applyFill="1" applyAlignment="1">
      <alignment horizontal="center" vertical="center" wrapText="1"/>
    </xf>
    <xf numFmtId="0" fontId="1" fillId="0" borderId="0" xfId="0" applyFont="1" applyFill="1" applyAlignment="1">
      <alignment horizontal="center" vertical="center" wrapText="1"/>
    </xf>
    <xf numFmtId="0" fontId="11" fillId="0" borderId="0" xfId="0" applyFont="1"/>
    <xf numFmtId="0" fontId="1" fillId="0" borderId="0" xfId="0" applyFont="1" applyAlignment="1">
      <alignment vertical="center"/>
    </xf>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3" fillId="0" borderId="0" xfId="0" applyFont="1" applyAlignment="1">
      <alignment horizontal="center" vertical="center" wrapText="1"/>
    </xf>
    <xf numFmtId="0" fontId="1" fillId="0" borderId="0" xfId="0" applyFont="1" applyAlignment="1">
      <alignment horizontal="left" vertical="center"/>
    </xf>
    <xf numFmtId="0" fontId="0" fillId="0" borderId="0" xfId="0" applyAlignment="1">
      <alignment vertical="center"/>
    </xf>
    <xf numFmtId="49" fontId="0" fillId="0" borderId="0" xfId="0" applyNumberFormat="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49" fontId="9" fillId="0" borderId="0" xfId="0" applyNumberFormat="1" applyFont="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center" vertical="center"/>
    </xf>
    <xf numFmtId="0" fontId="0" fillId="0" borderId="18" xfId="0" applyBorder="1" applyAlignment="1">
      <alignment vertical="center" wrapText="1"/>
    </xf>
    <xf numFmtId="0" fontId="9" fillId="0" borderId="0" xfId="0" applyFont="1" applyAlignment="1">
      <alignment vertical="center" wrapText="1"/>
    </xf>
    <xf numFmtId="49" fontId="12" fillId="0" borderId="0" xfId="0" applyNumberFormat="1" applyFont="1" applyAlignment="1">
      <alignment horizontal="center" vertical="center" wrapText="1"/>
    </xf>
    <xf numFmtId="0" fontId="0" fillId="0" borderId="0" xfId="0" quotePrefix="1" applyAlignment="1">
      <alignment vertical="center" wrapText="1"/>
    </xf>
    <xf numFmtId="49" fontId="0" fillId="0" borderId="0" xfId="0" applyNumberFormat="1" applyAlignment="1">
      <alignment vertical="center"/>
    </xf>
    <xf numFmtId="0" fontId="0" fillId="8" borderId="0" xfId="0" applyFill="1" applyAlignment="1">
      <alignment horizontal="center" vertical="center" wrapText="1"/>
    </xf>
    <xf numFmtId="0" fontId="0" fillId="0" borderId="0" xfId="0" applyFont="1" applyFill="1" applyAlignment="1">
      <alignment horizontal="left" vertical="center"/>
    </xf>
    <xf numFmtId="0" fontId="1" fillId="9" borderId="0" xfId="0" applyFont="1" applyFill="1"/>
    <xf numFmtId="0" fontId="0" fillId="9" borderId="0" xfId="0" applyFill="1"/>
    <xf numFmtId="0" fontId="0" fillId="10" borderId="0" xfId="0" applyFill="1"/>
    <xf numFmtId="0" fontId="0" fillId="4" borderId="0" xfId="0" applyFill="1"/>
    <xf numFmtId="0" fontId="0" fillId="0" borderId="0" xfId="0" applyFill="1"/>
    <xf numFmtId="0" fontId="10" fillId="0" borderId="16" xfId="0" applyFont="1" applyBorder="1" applyAlignment="1">
      <alignment horizontal="left" vertical="top" wrapText="1"/>
    </xf>
    <xf numFmtId="0" fontId="10" fillId="0" borderId="12" xfId="0" applyFont="1" applyBorder="1" applyAlignment="1">
      <alignment horizontal="left" vertical="top" wrapText="1"/>
    </xf>
    <xf numFmtId="0" fontId="10" fillId="0" borderId="17" xfId="0" applyFont="1" applyBorder="1" applyAlignment="1">
      <alignment horizontal="left" vertical="top" wrapText="1"/>
    </xf>
    <xf numFmtId="0" fontId="10" fillId="0" borderId="0" xfId="0" applyFont="1" applyBorder="1" applyAlignment="1">
      <alignment horizontal="left" vertical="top" wrapText="1"/>
    </xf>
  </cellXfs>
  <cellStyles count="3">
    <cellStyle name="Normal" xfId="0" builtinId="0"/>
    <cellStyle name="Normal 2" xfId="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S/WORD/MPFS%20DEPT/Farah/Geopolitical_risks/2.Trasmission_Model/Data/Raw_data/Crisis_indicators/laeven%20valencia%202020%20crisis%20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risis Years"/>
      <sheetName val="Monthly Crisis Dates"/>
      <sheetName val="Crisis Frequency"/>
      <sheetName val="Crisis Resolution and Outcomes"/>
      <sheetName val="Additional Details-Bk Crises"/>
    </sheetNames>
    <sheetDataSet>
      <sheetData sheetId="0" refreshError="1"/>
      <sheetData sheetId="1" refreshError="1"/>
      <sheetData sheetId="2" refreshError="1"/>
      <sheetData sheetId="3" refreshError="1"/>
      <sheetData sheetId="4" refreshError="1"/>
      <sheetData sheetId="5">
        <row r="45">
          <cell r="F45">
            <v>4.1000000000000002E-2</v>
          </cell>
          <cell r="G45">
            <v>4.24E-2</v>
          </cell>
          <cell r="R45">
            <v>0.47749999999999998</v>
          </cell>
          <cell r="S45">
            <v>5.9499999999999997E-2</v>
          </cell>
          <cell r="X45">
            <v>4.4999999999999998E-2</v>
          </cell>
          <cell r="Y45">
            <v>3.6999999999999998E-2</v>
          </cell>
          <cell r="AA45">
            <v>0.371</v>
          </cell>
          <cell r="AB45">
            <v>0.17319999999999999</v>
          </cell>
          <cell r="AE45">
            <v>0.2571</v>
          </cell>
          <cell r="AF45">
            <v>0.18029999999999999</v>
          </cell>
          <cell r="AI45">
            <v>0.377</v>
          </cell>
          <cell r="AL45">
            <v>0.1593</v>
          </cell>
          <cell r="AN45">
            <v>1.67E-2</v>
          </cell>
          <cell r="AQ45">
            <v>0.1641</v>
          </cell>
          <cell r="AR45">
            <v>0.2</v>
          </cell>
          <cell r="AS45">
            <v>3.2000000000000001E-2</v>
          </cell>
          <cell r="AU45">
            <v>0.30099999999999999</v>
          </cell>
          <cell r="AY45">
            <v>0.129</v>
          </cell>
          <cell r="BA45">
            <v>9.6199999999999994E-2</v>
          </cell>
          <cell r="BB45">
            <v>0.1797</v>
          </cell>
          <cell r="BC45">
            <v>9.3799999999999994E-2</v>
          </cell>
          <cell r="BL45">
            <v>0.55110000000000003</v>
          </cell>
        </row>
        <row r="46">
          <cell r="R46">
            <v>0.17989999999999998</v>
          </cell>
        </row>
        <row r="47">
          <cell r="F47">
            <v>5.1499999999999997E-2</v>
          </cell>
          <cell r="G47">
            <v>6.1499999999999999E-2</v>
          </cell>
          <cell r="S47">
            <v>5.9400000000000001E-2</v>
          </cell>
          <cell r="X47">
            <v>1.26E-2</v>
          </cell>
          <cell r="Y47">
            <v>2.7300000000000001E-2</v>
          </cell>
          <cell r="AA47">
            <v>0.28699999999999998</v>
          </cell>
          <cell r="AB47">
            <v>2.8500000000000001E-2</v>
          </cell>
          <cell r="AE47">
            <v>0.37630000000000002</v>
          </cell>
          <cell r="AF47">
            <v>7.3000000000000001E-3</v>
          </cell>
          <cell r="AL47">
            <v>8.1000000000000003E-2</v>
          </cell>
          <cell r="AN47">
            <v>7.1999999999999995E-2</v>
          </cell>
          <cell r="AQ47">
            <v>0.11700000000000001</v>
          </cell>
          <cell r="AR47">
            <v>5.0999999999999997E-2</v>
          </cell>
          <cell r="AS47">
            <v>0.14299999999999999</v>
          </cell>
          <cell r="AY47">
            <v>0.1105</v>
          </cell>
          <cell r="BB47">
            <v>9.9199999999999997E-2</v>
          </cell>
          <cell r="BC47">
            <v>7.6799999999999993E-2</v>
          </cell>
          <cell r="BF47">
            <v>2.3999999999999998E-3</v>
          </cell>
          <cell r="BL47">
            <v>0.13919999999999999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autoPageBreaks="0"/>
  </sheetPr>
  <dimension ref="A2:D44"/>
  <sheetViews>
    <sheetView showGridLines="0" topLeftCell="A25" zoomScale="55" zoomScaleNormal="55" workbookViewId="0">
      <selection activeCell="B40" sqref="B40"/>
    </sheetView>
  </sheetViews>
  <sheetFormatPr defaultRowHeight="14.5"/>
  <cols>
    <col min="1" max="1" width="2.453125" style="1" bestFit="1" customWidth="1"/>
  </cols>
  <sheetData>
    <row r="2" spans="1:2" s="94" customFormat="1">
      <c r="A2" s="93"/>
      <c r="B2" s="93" t="s">
        <v>1456</v>
      </c>
    </row>
    <row r="3" spans="1:2">
      <c r="A3" s="1" t="s">
        <v>337</v>
      </c>
      <c r="B3" s="1" t="s">
        <v>339</v>
      </c>
    </row>
    <row r="4" spans="1:2">
      <c r="B4" t="s">
        <v>338</v>
      </c>
    </row>
    <row r="5" spans="1:2">
      <c r="B5" t="s">
        <v>340</v>
      </c>
    </row>
    <row r="6" spans="1:2">
      <c r="B6" t="s">
        <v>341</v>
      </c>
    </row>
    <row r="8" spans="1:2">
      <c r="B8" t="s">
        <v>342</v>
      </c>
    </row>
    <row r="9" spans="1:2">
      <c r="B9" t="s">
        <v>343</v>
      </c>
    </row>
    <row r="10" spans="1:2">
      <c r="B10" t="s">
        <v>344</v>
      </c>
    </row>
    <row r="12" spans="1:2">
      <c r="B12" t="s">
        <v>345</v>
      </c>
    </row>
    <row r="13" spans="1:2">
      <c r="B13" t="s">
        <v>346</v>
      </c>
    </row>
    <row r="15" spans="1:2">
      <c r="A15" s="1" t="s">
        <v>347</v>
      </c>
      <c r="B15" s="1" t="s">
        <v>349</v>
      </c>
    </row>
    <row r="16" spans="1:2">
      <c r="B16" t="s">
        <v>348</v>
      </c>
    </row>
    <row r="18" spans="1:2">
      <c r="A18" s="1" t="s">
        <v>350</v>
      </c>
      <c r="B18" s="1" t="s">
        <v>355</v>
      </c>
    </row>
    <row r="19" spans="1:2">
      <c r="B19" t="s">
        <v>353</v>
      </c>
    </row>
    <row r="20" spans="1:2">
      <c r="B20" s="58" t="s">
        <v>351</v>
      </c>
    </row>
    <row r="21" spans="1:2">
      <c r="B21" s="58" t="s">
        <v>352</v>
      </c>
    </row>
    <row r="23" spans="1:2">
      <c r="B23" s="97" t="s">
        <v>1459</v>
      </c>
    </row>
    <row r="24" spans="1:2">
      <c r="B24" t="s">
        <v>358</v>
      </c>
    </row>
    <row r="25" spans="1:2">
      <c r="B25" t="s">
        <v>359</v>
      </c>
    </row>
    <row r="26" spans="1:2">
      <c r="B26" t="s">
        <v>1460</v>
      </c>
    </row>
    <row r="27" spans="1:2">
      <c r="B27" t="s">
        <v>361</v>
      </c>
    </row>
    <row r="29" spans="1:2">
      <c r="A29" s="1" t="s">
        <v>363</v>
      </c>
      <c r="B29" t="s">
        <v>365</v>
      </c>
    </row>
    <row r="30" spans="1:2">
      <c r="B30" t="s">
        <v>367</v>
      </c>
    </row>
    <row r="31" spans="1:2">
      <c r="B31" t="s">
        <v>368</v>
      </c>
    </row>
    <row r="32" spans="1:2">
      <c r="B32" t="s">
        <v>369</v>
      </c>
    </row>
    <row r="33" spans="1:4">
      <c r="B33" t="s">
        <v>370</v>
      </c>
    </row>
    <row r="34" spans="1:4">
      <c r="B34" t="s">
        <v>371</v>
      </c>
    </row>
    <row r="35" spans="1:4">
      <c r="B35" t="s">
        <v>372</v>
      </c>
    </row>
    <row r="36" spans="1:4">
      <c r="B36" t="s">
        <v>373</v>
      </c>
    </row>
    <row r="38" spans="1:4" s="94" customFormat="1">
      <c r="A38" s="93"/>
      <c r="B38" s="93" t="s">
        <v>1454</v>
      </c>
    </row>
    <row r="39" spans="1:4">
      <c r="B39" s="92" t="s">
        <v>1452</v>
      </c>
      <c r="D39" t="s">
        <v>1455</v>
      </c>
    </row>
    <row r="40" spans="1:4">
      <c r="B40" s="92" t="s">
        <v>1453</v>
      </c>
      <c r="D40" t="s">
        <v>1455</v>
      </c>
    </row>
    <row r="41" spans="1:4">
      <c r="B41" t="s">
        <v>1462</v>
      </c>
    </row>
    <row r="44" spans="1:4">
      <c r="B44" s="70" t="s">
        <v>366</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autoPageBreaks="0"/>
  </sheetPr>
  <dimension ref="A1:E191"/>
  <sheetViews>
    <sheetView topLeftCell="A181" workbookViewId="0">
      <selection activeCell="B191" sqref="B191"/>
    </sheetView>
  </sheetViews>
  <sheetFormatPr defaultRowHeight="14.5"/>
  <cols>
    <col min="1" max="1" width="10.08984375" bestFit="1" customWidth="1"/>
    <col min="2" max="5" width="15.36328125" customWidth="1"/>
  </cols>
  <sheetData>
    <row r="1" spans="1:5" ht="29">
      <c r="A1" s="69" t="s">
        <v>354</v>
      </c>
      <c r="B1" s="69" t="s">
        <v>1452</v>
      </c>
      <c r="C1" s="69" t="s">
        <v>1453</v>
      </c>
      <c r="D1" s="71" t="s">
        <v>1447</v>
      </c>
      <c r="E1" s="71" t="s">
        <v>1451</v>
      </c>
    </row>
    <row r="2" spans="1:5">
      <c r="A2" s="59">
        <v>28491</v>
      </c>
      <c r="B2">
        <f>Crisis_construction!F3</f>
        <v>0</v>
      </c>
      <c r="C2">
        <f>Crisis_construction!G3</f>
        <v>0</v>
      </c>
      <c r="D2">
        <f>+Crisis_construction!I3</f>
        <v>0</v>
      </c>
    </row>
    <row r="3" spans="1:5">
      <c r="A3" s="59">
        <v>28581</v>
      </c>
      <c r="B3">
        <f>Crisis_construction!F4</f>
        <v>0</v>
      </c>
      <c r="C3">
        <f>Crisis_construction!G4</f>
        <v>0</v>
      </c>
      <c r="D3">
        <f>+Crisis_construction!I4</f>
        <v>0</v>
      </c>
    </row>
    <row r="4" spans="1:5">
      <c r="A4" s="59">
        <v>28672</v>
      </c>
      <c r="B4">
        <f>Crisis_construction!F5</f>
        <v>0</v>
      </c>
      <c r="C4">
        <f>Crisis_construction!G5</f>
        <v>0</v>
      </c>
      <c r="D4">
        <f>+Crisis_construction!I5</f>
        <v>0</v>
      </c>
    </row>
    <row r="5" spans="1:5">
      <c r="A5" s="59">
        <v>28764</v>
      </c>
      <c r="B5">
        <f>Crisis_construction!F6</f>
        <v>0</v>
      </c>
      <c r="C5">
        <f>Crisis_construction!G6</f>
        <v>0</v>
      </c>
      <c r="D5">
        <f>+Crisis_construction!I6</f>
        <v>0</v>
      </c>
    </row>
    <row r="6" spans="1:5">
      <c r="A6" s="59">
        <v>28856</v>
      </c>
      <c r="B6">
        <f>Crisis_construction!F7</f>
        <v>0</v>
      </c>
      <c r="C6">
        <f>Crisis_construction!G7</f>
        <v>0</v>
      </c>
      <c r="D6">
        <f>+Crisis_construction!I7</f>
        <v>0</v>
      </c>
    </row>
    <row r="7" spans="1:5">
      <c r="A7" s="59">
        <v>28946</v>
      </c>
      <c r="B7">
        <f>Crisis_construction!F8</f>
        <v>0</v>
      </c>
      <c r="C7">
        <f>Crisis_construction!G8</f>
        <v>0</v>
      </c>
      <c r="D7">
        <f>+Crisis_construction!I8</f>
        <v>0</v>
      </c>
    </row>
    <row r="8" spans="1:5">
      <c r="A8" s="59">
        <v>29037</v>
      </c>
      <c r="B8">
        <f>Crisis_construction!F9</f>
        <v>0</v>
      </c>
      <c r="C8">
        <f>Crisis_construction!G9</f>
        <v>0</v>
      </c>
      <c r="D8">
        <f>+Crisis_construction!I9</f>
        <v>0</v>
      </c>
    </row>
    <row r="9" spans="1:5">
      <c r="A9" s="59">
        <v>29129</v>
      </c>
      <c r="B9">
        <f>Crisis_construction!F10</f>
        <v>0</v>
      </c>
      <c r="C9">
        <f>Crisis_construction!G10</f>
        <v>0</v>
      </c>
      <c r="D9">
        <f>+Crisis_construction!I10</f>
        <v>0</v>
      </c>
    </row>
    <row r="10" spans="1:5">
      <c r="A10" s="59">
        <v>29221</v>
      </c>
      <c r="B10">
        <f>Crisis_construction!F11</f>
        <v>0</v>
      </c>
      <c r="C10">
        <f>Crisis_construction!G11</f>
        <v>0</v>
      </c>
      <c r="D10">
        <f>+Crisis_construction!I11</f>
        <v>0</v>
      </c>
    </row>
    <row r="11" spans="1:5">
      <c r="A11" s="59">
        <v>29312</v>
      </c>
      <c r="B11">
        <f>Crisis_construction!F12</f>
        <v>0</v>
      </c>
      <c r="C11">
        <f>Crisis_construction!G12</f>
        <v>0</v>
      </c>
      <c r="D11">
        <f>+Crisis_construction!I12</f>
        <v>0</v>
      </c>
    </row>
    <row r="12" spans="1:5">
      <c r="A12" s="59">
        <v>29403</v>
      </c>
      <c r="B12">
        <f>Crisis_construction!F13</f>
        <v>0</v>
      </c>
      <c r="C12">
        <f>Crisis_construction!G13</f>
        <v>0</v>
      </c>
      <c r="D12">
        <f>+Crisis_construction!I13</f>
        <v>0</v>
      </c>
    </row>
    <row r="13" spans="1:5">
      <c r="A13" s="59">
        <v>29495</v>
      </c>
      <c r="B13">
        <f>Crisis_construction!F14</f>
        <v>0</v>
      </c>
      <c r="C13">
        <f>Crisis_construction!G14</f>
        <v>0</v>
      </c>
      <c r="D13">
        <f>+Crisis_construction!I14</f>
        <v>0</v>
      </c>
    </row>
    <row r="14" spans="1:5">
      <c r="A14" s="59">
        <v>29587</v>
      </c>
      <c r="B14">
        <f>Crisis_construction!F15</f>
        <v>0</v>
      </c>
      <c r="C14">
        <f>Crisis_construction!G15</f>
        <v>0</v>
      </c>
      <c r="D14">
        <f>+Crisis_construction!I15</f>
        <v>0</v>
      </c>
    </row>
    <row r="15" spans="1:5">
      <c r="A15" s="59">
        <v>29677</v>
      </c>
      <c r="B15">
        <f>Crisis_construction!F16</f>
        <v>0</v>
      </c>
      <c r="C15">
        <f>Crisis_construction!G16</f>
        <v>0</v>
      </c>
      <c r="D15">
        <f>+Crisis_construction!I16</f>
        <v>0</v>
      </c>
    </row>
    <row r="16" spans="1:5">
      <c r="A16" s="59">
        <v>29768</v>
      </c>
      <c r="B16">
        <f>Crisis_construction!F17</f>
        <v>0</v>
      </c>
      <c r="C16">
        <f>Crisis_construction!G17</f>
        <v>0</v>
      </c>
      <c r="D16">
        <f>+Crisis_construction!I17</f>
        <v>0</v>
      </c>
    </row>
    <row r="17" spans="1:5">
      <c r="A17" s="59">
        <v>29860</v>
      </c>
      <c r="B17">
        <f>Crisis_construction!F18</f>
        <v>0</v>
      </c>
      <c r="C17">
        <f>Crisis_construction!G18</f>
        <v>0</v>
      </c>
      <c r="D17">
        <f>+Crisis_construction!I18</f>
        <v>0</v>
      </c>
    </row>
    <row r="18" spans="1:5">
      <c r="A18" s="59">
        <v>29952</v>
      </c>
      <c r="B18">
        <f>Crisis_construction!F19</f>
        <v>0</v>
      </c>
      <c r="C18">
        <f>Crisis_construction!G19</f>
        <v>0</v>
      </c>
      <c r="D18">
        <f>+Crisis_construction!I19</f>
        <v>0</v>
      </c>
    </row>
    <row r="19" spans="1:5">
      <c r="A19" s="59">
        <v>30042</v>
      </c>
      <c r="B19">
        <f>Crisis_construction!F20</f>
        <v>0</v>
      </c>
      <c r="C19">
        <f>Crisis_construction!G20</f>
        <v>0</v>
      </c>
      <c r="D19">
        <f>+Crisis_construction!I20</f>
        <v>0</v>
      </c>
    </row>
    <row r="20" spans="1:5">
      <c r="A20" s="59">
        <v>30133</v>
      </c>
      <c r="B20">
        <f>Crisis_construction!F21</f>
        <v>0</v>
      </c>
      <c r="C20">
        <f>Crisis_construction!G21</f>
        <v>0</v>
      </c>
      <c r="D20">
        <f>+Crisis_construction!I21</f>
        <v>0</v>
      </c>
    </row>
    <row r="21" spans="1:5">
      <c r="A21" s="59">
        <v>30225</v>
      </c>
      <c r="B21">
        <f>Crisis_construction!F22</f>
        <v>0</v>
      </c>
      <c r="C21">
        <f>Crisis_construction!G22</f>
        <v>0</v>
      </c>
      <c r="D21">
        <f>+Crisis_construction!I22</f>
        <v>0</v>
      </c>
    </row>
    <row r="22" spans="1:5">
      <c r="A22" s="59">
        <v>30317</v>
      </c>
      <c r="B22">
        <f>Crisis_construction!F23</f>
        <v>0</v>
      </c>
      <c r="C22">
        <f>Crisis_construction!G23</f>
        <v>0</v>
      </c>
      <c r="D22">
        <f>+Crisis_construction!I23</f>
        <v>0</v>
      </c>
    </row>
    <row r="23" spans="1:5">
      <c r="A23" s="59">
        <v>30407</v>
      </c>
      <c r="B23">
        <f>Crisis_construction!F24</f>
        <v>0</v>
      </c>
      <c r="C23">
        <f>Crisis_construction!G24</f>
        <v>0</v>
      </c>
      <c r="D23">
        <f>+Crisis_construction!I24</f>
        <v>0</v>
      </c>
    </row>
    <row r="24" spans="1:5">
      <c r="A24" s="59">
        <v>30498</v>
      </c>
      <c r="B24">
        <f>Crisis_construction!F25</f>
        <v>0</v>
      </c>
      <c r="C24">
        <f>Crisis_construction!G25</f>
        <v>0</v>
      </c>
      <c r="D24">
        <f>+Crisis_construction!I25</f>
        <v>0</v>
      </c>
    </row>
    <row r="25" spans="1:5">
      <c r="A25" s="59">
        <v>30590</v>
      </c>
      <c r="B25">
        <f>Crisis_construction!F26</f>
        <v>0</v>
      </c>
      <c r="C25">
        <f>Crisis_construction!G26</f>
        <v>0</v>
      </c>
      <c r="D25">
        <f>+Crisis_construction!I26</f>
        <v>0</v>
      </c>
    </row>
    <row r="26" spans="1:5">
      <c r="A26" s="59">
        <v>30682</v>
      </c>
      <c r="B26">
        <f>Crisis_construction!F27</f>
        <v>0</v>
      </c>
      <c r="C26">
        <f>Crisis_construction!G27</f>
        <v>0</v>
      </c>
      <c r="D26">
        <f>+Crisis_construction!I27</f>
        <v>0</v>
      </c>
    </row>
    <row r="27" spans="1:5">
      <c r="A27" s="59">
        <v>30773</v>
      </c>
      <c r="B27">
        <f>Crisis_construction!F28</f>
        <v>0</v>
      </c>
      <c r="C27">
        <f>Crisis_construction!G28</f>
        <v>0</v>
      </c>
      <c r="D27">
        <f>+Crisis_construction!I28</f>
        <v>0</v>
      </c>
    </row>
    <row r="28" spans="1:5">
      <c r="A28" s="59">
        <v>30864</v>
      </c>
      <c r="B28">
        <f>Crisis_construction!F29</f>
        <v>0</v>
      </c>
      <c r="C28">
        <f>Crisis_construction!G29</f>
        <v>0</v>
      </c>
      <c r="D28">
        <f>+Crisis_construction!I29</f>
        <v>0</v>
      </c>
    </row>
    <row r="29" spans="1:5">
      <c r="A29" s="59">
        <v>30956</v>
      </c>
      <c r="B29">
        <f>Crisis_construction!F30</f>
        <v>0</v>
      </c>
      <c r="C29">
        <f>Crisis_construction!G30</f>
        <v>0</v>
      </c>
      <c r="D29">
        <f>+Crisis_construction!I30</f>
        <v>0</v>
      </c>
    </row>
    <row r="30" spans="1:5">
      <c r="A30" s="59">
        <v>31048</v>
      </c>
      <c r="B30">
        <f>Crisis_construction!F31</f>
        <v>1</v>
      </c>
      <c r="C30">
        <f>Crisis_construction!G31</f>
        <v>1</v>
      </c>
      <c r="D30" t="str">
        <f>+Crisis_construction!I31</f>
        <v>Babecky ·et al. (2012) - Currency crisis.</v>
      </c>
      <c r="E30">
        <v>1</v>
      </c>
    </row>
    <row r="31" spans="1:5">
      <c r="A31" s="59">
        <v>31138</v>
      </c>
      <c r="B31">
        <f>Crisis_construction!F32</f>
        <v>0</v>
      </c>
      <c r="C31">
        <f>Crisis_construction!G32</f>
        <v>0</v>
      </c>
      <c r="D31">
        <f>+Crisis_construction!I32</f>
        <v>0</v>
      </c>
    </row>
    <row r="32" spans="1:5">
      <c r="A32" s="59">
        <v>31229</v>
      </c>
      <c r="B32">
        <f>Crisis_construction!F33</f>
        <v>1</v>
      </c>
      <c r="C32">
        <f>Crisis_construction!G33</f>
        <v>1</v>
      </c>
      <c r="D32" t="str">
        <f>+Crisis_construction!I33</f>
        <v>FX (US/IE) substantial decline - Currency crisis.</v>
      </c>
      <c r="E32">
        <v>0.9</v>
      </c>
    </row>
    <row r="33" spans="1:4">
      <c r="A33" s="59">
        <v>31321</v>
      </c>
      <c r="B33">
        <f>Crisis_construction!F34</f>
        <v>1</v>
      </c>
      <c r="C33">
        <f>Crisis_construction!G34</f>
        <v>1</v>
      </c>
      <c r="D33">
        <f>+Crisis_construction!I34</f>
        <v>0</v>
      </c>
    </row>
    <row r="34" spans="1:4">
      <c r="A34" s="59">
        <v>31413</v>
      </c>
      <c r="B34">
        <f>Crisis_construction!F35</f>
        <v>1</v>
      </c>
      <c r="C34">
        <f>Crisis_construction!G35</f>
        <v>1</v>
      </c>
      <c r="D34">
        <f>+Crisis_construction!I35</f>
        <v>0</v>
      </c>
    </row>
    <row r="35" spans="1:4">
      <c r="A35" s="59">
        <v>31503</v>
      </c>
      <c r="B35">
        <f>Crisis_construction!F36</f>
        <v>1</v>
      </c>
      <c r="C35">
        <f>Crisis_construction!G36</f>
        <v>1</v>
      </c>
      <c r="D35">
        <f>+Crisis_construction!I36</f>
        <v>0</v>
      </c>
    </row>
    <row r="36" spans="1:4">
      <c r="A36" s="59">
        <v>31594</v>
      </c>
      <c r="B36">
        <f>Crisis_construction!F37</f>
        <v>1</v>
      </c>
      <c r="C36">
        <f>Crisis_construction!G37</f>
        <v>1</v>
      </c>
      <c r="D36">
        <f>+Crisis_construction!I37</f>
        <v>0</v>
      </c>
    </row>
    <row r="37" spans="1:4">
      <c r="A37" s="59">
        <v>31686</v>
      </c>
      <c r="B37">
        <f>Crisis_construction!F38</f>
        <v>1</v>
      </c>
      <c r="C37">
        <f>Crisis_construction!G38</f>
        <v>1</v>
      </c>
      <c r="D37">
        <f>+Crisis_construction!I38</f>
        <v>0</v>
      </c>
    </row>
    <row r="38" spans="1:4">
      <c r="A38" s="59">
        <v>31778</v>
      </c>
      <c r="B38">
        <f>Crisis_construction!F39</f>
        <v>1</v>
      </c>
      <c r="C38">
        <f>Crisis_construction!G39</f>
        <v>1</v>
      </c>
      <c r="D38">
        <f>+Crisis_construction!I39</f>
        <v>0</v>
      </c>
    </row>
    <row r="39" spans="1:4">
      <c r="A39" s="59">
        <v>31868</v>
      </c>
      <c r="B39">
        <f>Crisis_construction!F40</f>
        <v>1</v>
      </c>
      <c r="C39">
        <f>Crisis_construction!G40</f>
        <v>1</v>
      </c>
      <c r="D39">
        <f>+Crisis_construction!I40</f>
        <v>0</v>
      </c>
    </row>
    <row r="40" spans="1:4">
      <c r="A40" s="59">
        <v>31959</v>
      </c>
      <c r="B40">
        <f>Crisis_construction!F41</f>
        <v>1</v>
      </c>
      <c r="C40">
        <f>Crisis_construction!G41</f>
        <v>1</v>
      </c>
      <c r="D40">
        <f>+Crisis_construction!I41</f>
        <v>0</v>
      </c>
    </row>
    <row r="41" spans="1:4">
      <c r="A41" s="59">
        <v>32051</v>
      </c>
      <c r="B41">
        <f>Crisis_construction!F42</f>
        <v>1</v>
      </c>
      <c r="C41">
        <f>Crisis_construction!G42</f>
        <v>1</v>
      </c>
      <c r="D41">
        <f>+Crisis_construction!I42</f>
        <v>0</v>
      </c>
    </row>
    <row r="42" spans="1:4">
      <c r="A42" s="59">
        <v>32143</v>
      </c>
      <c r="B42">
        <f>Crisis_construction!F43</f>
        <v>1</v>
      </c>
      <c r="C42">
        <f>Crisis_construction!G43</f>
        <v>1</v>
      </c>
      <c r="D42">
        <f>+Crisis_construction!I43</f>
        <v>0</v>
      </c>
    </row>
    <row r="43" spans="1:4">
      <c r="A43" s="59">
        <v>32234</v>
      </c>
      <c r="B43">
        <f>Crisis_construction!F44</f>
        <v>1</v>
      </c>
      <c r="C43">
        <f>Crisis_construction!G44</f>
        <v>1</v>
      </c>
      <c r="D43">
        <f>+Crisis_construction!I44</f>
        <v>0</v>
      </c>
    </row>
    <row r="44" spans="1:4">
      <c r="A44" s="59">
        <v>32325</v>
      </c>
      <c r="B44">
        <f>Crisis_construction!F45</f>
        <v>0</v>
      </c>
      <c r="C44">
        <f>Crisis_construction!G45</f>
        <v>0</v>
      </c>
      <c r="D44">
        <f>+Crisis_construction!I45</f>
        <v>0</v>
      </c>
    </row>
    <row r="45" spans="1:4">
      <c r="A45" s="59">
        <v>32417</v>
      </c>
      <c r="B45">
        <f>Crisis_construction!F46</f>
        <v>0</v>
      </c>
      <c r="C45">
        <f>Crisis_construction!G46</f>
        <v>0</v>
      </c>
      <c r="D45">
        <f>+Crisis_construction!I46</f>
        <v>0</v>
      </c>
    </row>
    <row r="46" spans="1:4">
      <c r="A46" s="59">
        <v>32509</v>
      </c>
      <c r="B46">
        <f>Crisis_construction!F47</f>
        <v>0</v>
      </c>
      <c r="C46">
        <f>Crisis_construction!G47</f>
        <v>0</v>
      </c>
      <c r="D46">
        <f>+Crisis_construction!I47</f>
        <v>0</v>
      </c>
    </row>
    <row r="47" spans="1:4">
      <c r="A47" s="59">
        <v>32599</v>
      </c>
      <c r="B47">
        <f>Crisis_construction!F48</f>
        <v>0</v>
      </c>
      <c r="C47">
        <f>Crisis_construction!G48</f>
        <v>0</v>
      </c>
      <c r="D47">
        <f>+Crisis_construction!I48</f>
        <v>0</v>
      </c>
    </row>
    <row r="48" spans="1:4">
      <c r="A48" s="59">
        <v>32690</v>
      </c>
      <c r="B48">
        <f>Crisis_construction!F49</f>
        <v>0</v>
      </c>
      <c r="C48">
        <f>Crisis_construction!G49</f>
        <v>0</v>
      </c>
      <c r="D48">
        <f>+Crisis_construction!I49</f>
        <v>0</v>
      </c>
    </row>
    <row r="49" spans="1:5">
      <c r="A49" s="59">
        <v>32782</v>
      </c>
      <c r="B49">
        <f>Crisis_construction!F50</f>
        <v>0</v>
      </c>
      <c r="C49">
        <f>Crisis_construction!G50</f>
        <v>0</v>
      </c>
      <c r="D49">
        <f>+Crisis_construction!I50</f>
        <v>0</v>
      </c>
    </row>
    <row r="50" spans="1:5">
      <c r="A50" s="59">
        <v>32874</v>
      </c>
      <c r="B50">
        <f>Crisis_construction!F51</f>
        <v>0</v>
      </c>
      <c r="C50">
        <f>Crisis_construction!G51</f>
        <v>1</v>
      </c>
      <c r="D50" t="str">
        <f>+Crisis_construction!I51</f>
        <v>Baron and Dieckelmann (2022) -Bank Eq. 30% decline.</v>
      </c>
      <c r="E50">
        <v>0.8</v>
      </c>
    </row>
    <row r="51" spans="1:5">
      <c r="A51" s="59">
        <v>32964</v>
      </c>
      <c r="B51">
        <f>Crisis_construction!F52</f>
        <v>0</v>
      </c>
      <c r="C51">
        <f>Crisis_construction!G52</f>
        <v>1</v>
      </c>
      <c r="D51">
        <f>+Crisis_construction!I52</f>
        <v>0</v>
      </c>
    </row>
    <row r="52" spans="1:5">
      <c r="A52" s="59">
        <v>33055</v>
      </c>
      <c r="B52">
        <f>Crisis_construction!F53</f>
        <v>0</v>
      </c>
      <c r="C52">
        <f>Crisis_construction!G53</f>
        <v>1</v>
      </c>
      <c r="D52">
        <f>+Crisis_construction!I53</f>
        <v>0</v>
      </c>
    </row>
    <row r="53" spans="1:5">
      <c r="A53" s="59">
        <v>33147</v>
      </c>
      <c r="B53">
        <f>Crisis_construction!F54</f>
        <v>0</v>
      </c>
      <c r="C53">
        <f>Crisis_construction!G54</f>
        <v>1</v>
      </c>
      <c r="D53">
        <f>+Crisis_construction!I54</f>
        <v>0</v>
      </c>
    </row>
    <row r="54" spans="1:5">
      <c r="A54" s="59">
        <v>33239</v>
      </c>
      <c r="B54">
        <f>Crisis_construction!F55</f>
        <v>0</v>
      </c>
      <c r="C54">
        <f>Crisis_construction!G55</f>
        <v>0</v>
      </c>
      <c r="D54">
        <f>+Crisis_construction!I55</f>
        <v>0</v>
      </c>
    </row>
    <row r="55" spans="1:5">
      <c r="A55" s="59">
        <v>33329</v>
      </c>
      <c r="B55">
        <f>Crisis_construction!F56</f>
        <v>0</v>
      </c>
      <c r="C55">
        <f>Crisis_construction!G56</f>
        <v>0</v>
      </c>
      <c r="D55">
        <f>+Crisis_construction!I56</f>
        <v>0</v>
      </c>
    </row>
    <row r="56" spans="1:5">
      <c r="A56" s="59">
        <v>33420</v>
      </c>
      <c r="B56">
        <f>Crisis_construction!F57</f>
        <v>0</v>
      </c>
      <c r="C56">
        <f>Crisis_construction!G57</f>
        <v>0</v>
      </c>
      <c r="D56">
        <f>+Crisis_construction!I57</f>
        <v>0</v>
      </c>
    </row>
    <row r="57" spans="1:5">
      <c r="A57" s="59">
        <v>33512</v>
      </c>
      <c r="B57">
        <f>Crisis_construction!F58</f>
        <v>0</v>
      </c>
      <c r="C57">
        <f>Crisis_construction!G58</f>
        <v>0</v>
      </c>
      <c r="D57">
        <f>+Crisis_construction!I58</f>
        <v>0</v>
      </c>
    </row>
    <row r="58" spans="1:5">
      <c r="A58" s="59">
        <v>33604</v>
      </c>
      <c r="B58">
        <f>Crisis_construction!F59</f>
        <v>0</v>
      </c>
      <c r="C58">
        <f>Crisis_construction!G59</f>
        <v>0</v>
      </c>
      <c r="D58">
        <f>+Crisis_construction!I59</f>
        <v>0</v>
      </c>
    </row>
    <row r="59" spans="1:5">
      <c r="A59" s="59">
        <v>33695</v>
      </c>
      <c r="B59">
        <f>Crisis_construction!F60</f>
        <v>0</v>
      </c>
      <c r="C59">
        <f>Crisis_construction!G60</f>
        <v>0</v>
      </c>
      <c r="D59">
        <f>+Crisis_construction!I60</f>
        <v>0</v>
      </c>
    </row>
    <row r="60" spans="1:5">
      <c r="A60" s="59">
        <v>33786</v>
      </c>
      <c r="B60">
        <f>Crisis_construction!F61</f>
        <v>0</v>
      </c>
      <c r="C60">
        <f>Crisis_construction!G61</f>
        <v>0</v>
      </c>
      <c r="D60">
        <f>+Crisis_construction!I61</f>
        <v>0</v>
      </c>
    </row>
    <row r="61" spans="1:5">
      <c r="A61" s="59">
        <v>33878</v>
      </c>
      <c r="B61">
        <f>Crisis_construction!F62</f>
        <v>0</v>
      </c>
      <c r="C61">
        <f>Crisis_construction!G62</f>
        <v>0</v>
      </c>
      <c r="D61">
        <f>+Crisis_construction!I62</f>
        <v>0</v>
      </c>
    </row>
    <row r="62" spans="1:5">
      <c r="A62" s="59">
        <v>33970</v>
      </c>
      <c r="B62">
        <f>Crisis_construction!F63</f>
        <v>0</v>
      </c>
      <c r="C62">
        <f>Crisis_construction!G63</f>
        <v>0</v>
      </c>
      <c r="D62">
        <f>+Crisis_construction!I63</f>
        <v>0</v>
      </c>
    </row>
    <row r="63" spans="1:5">
      <c r="A63" s="59">
        <v>34060</v>
      </c>
      <c r="B63">
        <f>Crisis_construction!F64</f>
        <v>0</v>
      </c>
      <c r="C63">
        <f>Crisis_construction!G64</f>
        <v>0</v>
      </c>
      <c r="D63">
        <f>+Crisis_construction!I64</f>
        <v>0</v>
      </c>
    </row>
    <row r="64" spans="1:5">
      <c r="A64" s="59">
        <v>34151</v>
      </c>
      <c r="B64">
        <f>Crisis_construction!F65</f>
        <v>0</v>
      </c>
      <c r="C64">
        <f>Crisis_construction!G65</f>
        <v>0</v>
      </c>
      <c r="D64">
        <f>+Crisis_construction!I65</f>
        <v>0</v>
      </c>
    </row>
    <row r="65" spans="1:4">
      <c r="A65" s="59">
        <v>34243</v>
      </c>
      <c r="B65">
        <f>Crisis_construction!F66</f>
        <v>0</v>
      </c>
      <c r="C65">
        <f>Crisis_construction!G66</f>
        <v>0</v>
      </c>
      <c r="D65">
        <f>+Crisis_construction!I66</f>
        <v>0</v>
      </c>
    </row>
    <row r="66" spans="1:4">
      <c r="A66" s="59">
        <v>34335</v>
      </c>
      <c r="B66">
        <f>Crisis_construction!F67</f>
        <v>0</v>
      </c>
      <c r="C66">
        <f>Crisis_construction!G67</f>
        <v>0</v>
      </c>
      <c r="D66">
        <f>+Crisis_construction!I67</f>
        <v>0</v>
      </c>
    </row>
    <row r="67" spans="1:4">
      <c r="A67" s="59">
        <v>34425</v>
      </c>
      <c r="B67">
        <f>Crisis_construction!F68</f>
        <v>0</v>
      </c>
      <c r="C67">
        <f>Crisis_construction!G68</f>
        <v>0</v>
      </c>
      <c r="D67">
        <f>+Crisis_construction!I68</f>
        <v>0</v>
      </c>
    </row>
    <row r="68" spans="1:4">
      <c r="A68" s="59">
        <v>34516</v>
      </c>
      <c r="B68">
        <f>Crisis_construction!F69</f>
        <v>0</v>
      </c>
      <c r="C68">
        <f>Crisis_construction!G69</f>
        <v>0</v>
      </c>
      <c r="D68">
        <f>+Crisis_construction!I69</f>
        <v>0</v>
      </c>
    </row>
    <row r="69" spans="1:4">
      <c r="A69" s="59">
        <v>34608</v>
      </c>
      <c r="B69">
        <f>Crisis_construction!F70</f>
        <v>0</v>
      </c>
      <c r="C69">
        <f>Crisis_construction!G70</f>
        <v>0</v>
      </c>
      <c r="D69">
        <f>+Crisis_construction!I70</f>
        <v>0</v>
      </c>
    </row>
    <row r="70" spans="1:4">
      <c r="A70" s="59">
        <v>34700</v>
      </c>
      <c r="B70">
        <f>Crisis_construction!F71</f>
        <v>0</v>
      </c>
      <c r="C70">
        <f>Crisis_construction!G71</f>
        <v>0</v>
      </c>
      <c r="D70">
        <f>+Crisis_construction!I71</f>
        <v>0</v>
      </c>
    </row>
    <row r="71" spans="1:4">
      <c r="A71" s="59">
        <v>34790</v>
      </c>
      <c r="B71">
        <f>Crisis_construction!F72</f>
        <v>0</v>
      </c>
      <c r="C71">
        <f>Crisis_construction!G72</f>
        <v>0</v>
      </c>
      <c r="D71">
        <f>+Crisis_construction!I72</f>
        <v>0</v>
      </c>
    </row>
    <row r="72" spans="1:4">
      <c r="A72" s="59">
        <v>34881</v>
      </c>
      <c r="B72">
        <f>Crisis_construction!F73</f>
        <v>0</v>
      </c>
      <c r="C72">
        <f>Crisis_construction!G73</f>
        <v>0</v>
      </c>
      <c r="D72">
        <f>+Crisis_construction!I73</f>
        <v>0</v>
      </c>
    </row>
    <row r="73" spans="1:4">
      <c r="A73" s="59">
        <v>34973</v>
      </c>
      <c r="B73">
        <f>Crisis_construction!F74</f>
        <v>0</v>
      </c>
      <c r="C73">
        <f>Crisis_construction!G74</f>
        <v>0</v>
      </c>
      <c r="D73">
        <f>+Crisis_construction!I74</f>
        <v>0</v>
      </c>
    </row>
    <row r="74" spans="1:4">
      <c r="A74" s="59">
        <v>35065</v>
      </c>
      <c r="B74">
        <f>Crisis_construction!F75</f>
        <v>0</v>
      </c>
      <c r="C74">
        <f>Crisis_construction!G75</f>
        <v>0</v>
      </c>
      <c r="D74">
        <f>+Crisis_construction!I75</f>
        <v>0</v>
      </c>
    </row>
    <row r="75" spans="1:4">
      <c r="A75" s="59">
        <v>35156</v>
      </c>
      <c r="B75">
        <f>Crisis_construction!F76</f>
        <v>0</v>
      </c>
      <c r="C75">
        <f>Crisis_construction!G76</f>
        <v>0</v>
      </c>
      <c r="D75">
        <f>+Crisis_construction!I76</f>
        <v>0</v>
      </c>
    </row>
    <row r="76" spans="1:4">
      <c r="A76" s="59">
        <v>35247</v>
      </c>
      <c r="B76">
        <f>Crisis_construction!F77</f>
        <v>0</v>
      </c>
      <c r="C76">
        <f>Crisis_construction!G77</f>
        <v>0</v>
      </c>
      <c r="D76">
        <f>+Crisis_construction!I77</f>
        <v>0</v>
      </c>
    </row>
    <row r="77" spans="1:4">
      <c r="A77" s="59">
        <v>35339</v>
      </c>
      <c r="B77">
        <f>Crisis_construction!F78</f>
        <v>0</v>
      </c>
      <c r="C77">
        <f>Crisis_construction!G78</f>
        <v>0</v>
      </c>
      <c r="D77">
        <f>+Crisis_construction!I78</f>
        <v>0</v>
      </c>
    </row>
    <row r="78" spans="1:4">
      <c r="A78" s="59">
        <v>35431</v>
      </c>
      <c r="B78">
        <f>Crisis_construction!F79</f>
        <v>0</v>
      </c>
      <c r="C78">
        <f>Crisis_construction!G79</f>
        <v>0</v>
      </c>
      <c r="D78">
        <f>+Crisis_construction!I79</f>
        <v>0</v>
      </c>
    </row>
    <row r="79" spans="1:4">
      <c r="A79" s="59">
        <v>35521</v>
      </c>
      <c r="B79">
        <f>Crisis_construction!F80</f>
        <v>0</v>
      </c>
      <c r="C79">
        <f>Crisis_construction!G80</f>
        <v>0</v>
      </c>
      <c r="D79">
        <f>+Crisis_construction!I80</f>
        <v>0</v>
      </c>
    </row>
    <row r="80" spans="1:4">
      <c r="A80" s="59">
        <v>35612</v>
      </c>
      <c r="B80">
        <f>Crisis_construction!F81</f>
        <v>0</v>
      </c>
      <c r="C80">
        <f>Crisis_construction!G81</f>
        <v>0</v>
      </c>
      <c r="D80">
        <f>+Crisis_construction!I81</f>
        <v>0</v>
      </c>
    </row>
    <row r="81" spans="1:4">
      <c r="A81" s="59">
        <v>35704</v>
      </c>
      <c r="B81">
        <f>Crisis_construction!F82</f>
        <v>0</v>
      </c>
      <c r="C81">
        <f>Crisis_construction!G82</f>
        <v>0</v>
      </c>
      <c r="D81">
        <f>+Crisis_construction!I82</f>
        <v>0</v>
      </c>
    </row>
    <row r="82" spans="1:4">
      <c r="A82" s="59">
        <v>35796</v>
      </c>
      <c r="B82">
        <f>Crisis_construction!F83</f>
        <v>0</v>
      </c>
      <c r="C82">
        <f>Crisis_construction!G83</f>
        <v>0</v>
      </c>
      <c r="D82">
        <f>+Crisis_construction!I83</f>
        <v>0</v>
      </c>
    </row>
    <row r="83" spans="1:4">
      <c r="A83" s="59">
        <v>35886</v>
      </c>
      <c r="B83">
        <f>Crisis_construction!F84</f>
        <v>0</v>
      </c>
      <c r="C83">
        <f>Crisis_construction!G84</f>
        <v>0</v>
      </c>
      <c r="D83">
        <f>+Crisis_construction!I84</f>
        <v>0</v>
      </c>
    </row>
    <row r="84" spans="1:4">
      <c r="A84" s="59">
        <v>35977</v>
      </c>
      <c r="B84">
        <f>Crisis_construction!F85</f>
        <v>0</v>
      </c>
      <c r="C84">
        <f>Crisis_construction!G85</f>
        <v>0</v>
      </c>
      <c r="D84">
        <f>+Crisis_construction!I85</f>
        <v>0</v>
      </c>
    </row>
    <row r="85" spans="1:4">
      <c r="A85" s="59">
        <v>36069</v>
      </c>
      <c r="B85">
        <f>Crisis_construction!F86</f>
        <v>0</v>
      </c>
      <c r="C85">
        <f>Crisis_construction!G86</f>
        <v>0</v>
      </c>
      <c r="D85">
        <f>+Crisis_construction!I86</f>
        <v>0</v>
      </c>
    </row>
    <row r="86" spans="1:4">
      <c r="A86" s="59">
        <v>36161</v>
      </c>
      <c r="B86">
        <f>Crisis_construction!F87</f>
        <v>0</v>
      </c>
      <c r="C86">
        <f>Crisis_construction!G87</f>
        <v>0</v>
      </c>
      <c r="D86">
        <f>+Crisis_construction!I87</f>
        <v>0</v>
      </c>
    </row>
    <row r="87" spans="1:4">
      <c r="A87" s="59">
        <v>36251</v>
      </c>
      <c r="B87">
        <f>Crisis_construction!F88</f>
        <v>0</v>
      </c>
      <c r="C87">
        <f>Crisis_construction!G88</f>
        <v>0</v>
      </c>
      <c r="D87">
        <f>+Crisis_construction!I88</f>
        <v>0</v>
      </c>
    </row>
    <row r="88" spans="1:4">
      <c r="A88" s="59">
        <v>36342</v>
      </c>
      <c r="B88">
        <f>Crisis_construction!F89</f>
        <v>0</v>
      </c>
      <c r="C88">
        <f>Crisis_construction!G89</f>
        <v>0</v>
      </c>
      <c r="D88">
        <f>+Crisis_construction!I89</f>
        <v>0</v>
      </c>
    </row>
    <row r="89" spans="1:4">
      <c r="A89" s="59">
        <v>36434</v>
      </c>
      <c r="B89">
        <f>Crisis_construction!F90</f>
        <v>0</v>
      </c>
      <c r="C89">
        <f>Crisis_construction!G90</f>
        <v>0</v>
      </c>
      <c r="D89">
        <f>+Crisis_construction!I90</f>
        <v>0</v>
      </c>
    </row>
    <row r="90" spans="1:4">
      <c r="A90" s="59">
        <v>36526</v>
      </c>
      <c r="B90">
        <f>Crisis_construction!F91</f>
        <v>0</v>
      </c>
      <c r="C90">
        <f>Crisis_construction!G91</f>
        <v>0</v>
      </c>
      <c r="D90">
        <f>+Crisis_construction!I91</f>
        <v>0</v>
      </c>
    </row>
    <row r="91" spans="1:4">
      <c r="A91" s="59">
        <v>36617</v>
      </c>
      <c r="B91">
        <f>Crisis_construction!F92</f>
        <v>0</v>
      </c>
      <c r="C91">
        <f>Crisis_construction!G92</f>
        <v>0</v>
      </c>
      <c r="D91">
        <f>+Crisis_construction!I92</f>
        <v>0</v>
      </c>
    </row>
    <row r="92" spans="1:4">
      <c r="A92" s="59">
        <v>36708</v>
      </c>
      <c r="B92">
        <f>Crisis_construction!F93</f>
        <v>0</v>
      </c>
      <c r="C92">
        <f>Crisis_construction!G93</f>
        <v>0</v>
      </c>
      <c r="D92">
        <f>+Crisis_construction!I93</f>
        <v>0</v>
      </c>
    </row>
    <row r="93" spans="1:4">
      <c r="A93" s="59">
        <v>36800</v>
      </c>
      <c r="B93">
        <f>Crisis_construction!F94</f>
        <v>0</v>
      </c>
      <c r="C93">
        <f>Crisis_construction!G94</f>
        <v>0</v>
      </c>
      <c r="D93">
        <f>+Crisis_construction!I94</f>
        <v>0</v>
      </c>
    </row>
    <row r="94" spans="1:4">
      <c r="A94" s="59">
        <v>36892</v>
      </c>
      <c r="B94">
        <f>Crisis_construction!F95</f>
        <v>0</v>
      </c>
      <c r="C94">
        <f>Crisis_construction!G95</f>
        <v>0</v>
      </c>
      <c r="D94">
        <f>+Crisis_construction!I95</f>
        <v>0</v>
      </c>
    </row>
    <row r="95" spans="1:4">
      <c r="A95" s="59">
        <v>36982</v>
      </c>
      <c r="B95">
        <f>Crisis_construction!F96</f>
        <v>0</v>
      </c>
      <c r="C95">
        <f>Crisis_construction!G96</f>
        <v>0</v>
      </c>
      <c r="D95">
        <f>+Crisis_construction!I96</f>
        <v>0</v>
      </c>
    </row>
    <row r="96" spans="1:4">
      <c r="A96" s="59">
        <v>37073</v>
      </c>
      <c r="B96">
        <f>Crisis_construction!F97</f>
        <v>0</v>
      </c>
      <c r="C96">
        <f>Crisis_construction!G97</f>
        <v>0</v>
      </c>
      <c r="D96">
        <f>+Crisis_construction!I97</f>
        <v>0</v>
      </c>
    </row>
    <row r="97" spans="1:4">
      <c r="A97" s="60">
        <v>37165</v>
      </c>
      <c r="B97">
        <f>Crisis_construction!F98</f>
        <v>0</v>
      </c>
      <c r="C97">
        <f>Crisis_construction!G98</f>
        <v>0</v>
      </c>
      <c r="D97">
        <f>+Crisis_construction!I98</f>
        <v>0</v>
      </c>
    </row>
    <row r="98" spans="1:4">
      <c r="A98" s="59">
        <v>37257</v>
      </c>
      <c r="B98">
        <f>Crisis_construction!F99</f>
        <v>0</v>
      </c>
      <c r="C98">
        <f>Crisis_construction!G99</f>
        <v>0</v>
      </c>
      <c r="D98">
        <f>+Crisis_construction!I99</f>
        <v>0</v>
      </c>
    </row>
    <row r="99" spans="1:4">
      <c r="A99" s="59">
        <v>37347</v>
      </c>
      <c r="B99">
        <f>Crisis_construction!F100</f>
        <v>0</v>
      </c>
      <c r="C99">
        <f>Crisis_construction!G100</f>
        <v>0</v>
      </c>
      <c r="D99">
        <f>+Crisis_construction!I100</f>
        <v>0</v>
      </c>
    </row>
    <row r="100" spans="1:4">
      <c r="A100" s="59">
        <v>37438</v>
      </c>
      <c r="B100">
        <f>Crisis_construction!F101</f>
        <v>0</v>
      </c>
      <c r="C100">
        <f>Crisis_construction!G101</f>
        <v>0</v>
      </c>
      <c r="D100">
        <f>+Crisis_construction!I101</f>
        <v>0</v>
      </c>
    </row>
    <row r="101" spans="1:4">
      <c r="A101" s="59">
        <v>37530</v>
      </c>
      <c r="B101">
        <f>Crisis_construction!F102</f>
        <v>0</v>
      </c>
      <c r="C101">
        <f>Crisis_construction!G102</f>
        <v>0</v>
      </c>
      <c r="D101">
        <f>+Crisis_construction!I102</f>
        <v>0</v>
      </c>
    </row>
    <row r="102" spans="1:4">
      <c r="A102" s="59">
        <v>37622</v>
      </c>
      <c r="B102">
        <f>Crisis_construction!F103</f>
        <v>0</v>
      </c>
      <c r="C102">
        <f>Crisis_construction!G103</f>
        <v>0</v>
      </c>
      <c r="D102">
        <f>+Crisis_construction!I103</f>
        <v>0</v>
      </c>
    </row>
    <row r="103" spans="1:4">
      <c r="A103" s="59">
        <v>37712</v>
      </c>
      <c r="B103">
        <f>Crisis_construction!F104</f>
        <v>0</v>
      </c>
      <c r="C103">
        <f>Crisis_construction!G104</f>
        <v>0</v>
      </c>
      <c r="D103">
        <f>+Crisis_construction!I104</f>
        <v>0</v>
      </c>
    </row>
    <row r="104" spans="1:4">
      <c r="A104" s="59">
        <v>37803</v>
      </c>
      <c r="B104">
        <f>Crisis_construction!F105</f>
        <v>0</v>
      </c>
      <c r="C104">
        <f>Crisis_construction!G105</f>
        <v>0</v>
      </c>
      <c r="D104">
        <f>+Crisis_construction!I105</f>
        <v>0</v>
      </c>
    </row>
    <row r="105" spans="1:4">
      <c r="A105" s="59">
        <v>37895</v>
      </c>
      <c r="B105">
        <f>Crisis_construction!F106</f>
        <v>0</v>
      </c>
      <c r="C105">
        <f>Crisis_construction!G106</f>
        <v>0</v>
      </c>
      <c r="D105">
        <f>+Crisis_construction!I106</f>
        <v>0</v>
      </c>
    </row>
    <row r="106" spans="1:4">
      <c r="A106" s="59">
        <v>37987</v>
      </c>
      <c r="B106">
        <f>Crisis_construction!F107</f>
        <v>0</v>
      </c>
      <c r="C106">
        <f>Crisis_construction!G107</f>
        <v>0</v>
      </c>
      <c r="D106">
        <f>+Crisis_construction!I107</f>
        <v>0</v>
      </c>
    </row>
    <row r="107" spans="1:4">
      <c r="A107" s="59">
        <v>38078</v>
      </c>
      <c r="B107">
        <f>Crisis_construction!F108</f>
        <v>0</v>
      </c>
      <c r="C107">
        <f>Crisis_construction!G108</f>
        <v>0</v>
      </c>
      <c r="D107">
        <f>+Crisis_construction!I108</f>
        <v>0</v>
      </c>
    </row>
    <row r="108" spans="1:4">
      <c r="A108" s="59">
        <v>38169</v>
      </c>
      <c r="B108">
        <f>Crisis_construction!F109</f>
        <v>0</v>
      </c>
      <c r="C108">
        <f>Crisis_construction!G109</f>
        <v>0</v>
      </c>
      <c r="D108">
        <f>+Crisis_construction!I109</f>
        <v>0</v>
      </c>
    </row>
    <row r="109" spans="1:4">
      <c r="A109" s="59">
        <v>38261</v>
      </c>
      <c r="B109">
        <f>Crisis_construction!F110</f>
        <v>0</v>
      </c>
      <c r="C109">
        <f>Crisis_construction!G110</f>
        <v>0</v>
      </c>
      <c r="D109">
        <f>+Crisis_construction!I110</f>
        <v>0</v>
      </c>
    </row>
    <row r="110" spans="1:4">
      <c r="A110" s="59">
        <v>38353</v>
      </c>
      <c r="B110">
        <f>Crisis_construction!F111</f>
        <v>0</v>
      </c>
      <c r="C110">
        <f>Crisis_construction!G111</f>
        <v>0</v>
      </c>
      <c r="D110">
        <f>+Crisis_construction!I111</f>
        <v>0</v>
      </c>
    </row>
    <row r="111" spans="1:4">
      <c r="A111" s="59">
        <v>38443</v>
      </c>
      <c r="B111">
        <f>Crisis_construction!F112</f>
        <v>0</v>
      </c>
      <c r="C111">
        <f>Crisis_construction!G112</f>
        <v>0</v>
      </c>
      <c r="D111">
        <f>+Crisis_construction!I112</f>
        <v>0</v>
      </c>
    </row>
    <row r="112" spans="1:4">
      <c r="A112" s="59">
        <v>38534</v>
      </c>
      <c r="B112">
        <f>Crisis_construction!F113</f>
        <v>0</v>
      </c>
      <c r="C112">
        <f>Crisis_construction!G113</f>
        <v>0</v>
      </c>
      <c r="D112">
        <f>+Crisis_construction!I113</f>
        <v>0</v>
      </c>
    </row>
    <row r="113" spans="1:5">
      <c r="A113" s="59">
        <v>38626</v>
      </c>
      <c r="B113">
        <f>Crisis_construction!F114</f>
        <v>0</v>
      </c>
      <c r="C113">
        <f>Crisis_construction!G114</f>
        <v>0</v>
      </c>
      <c r="D113">
        <f>+Crisis_construction!I114</f>
        <v>0</v>
      </c>
    </row>
    <row r="114" spans="1:5">
      <c r="A114" s="59">
        <v>38718</v>
      </c>
      <c r="B114">
        <f>Crisis_construction!F115</f>
        <v>0</v>
      </c>
      <c r="C114">
        <f>Crisis_construction!G115</f>
        <v>0</v>
      </c>
      <c r="D114">
        <f>+Crisis_construction!I115</f>
        <v>0</v>
      </c>
    </row>
    <row r="115" spans="1:5">
      <c r="A115" s="59">
        <v>38808</v>
      </c>
      <c r="B115">
        <f>Crisis_construction!F116</f>
        <v>0</v>
      </c>
      <c r="C115">
        <f>Crisis_construction!G116</f>
        <v>0</v>
      </c>
      <c r="D115">
        <f>+Crisis_construction!I116</f>
        <v>0</v>
      </c>
    </row>
    <row r="116" spans="1:5">
      <c r="A116" s="59">
        <v>38899</v>
      </c>
      <c r="B116">
        <f>Crisis_construction!F117</f>
        <v>0</v>
      </c>
      <c r="C116">
        <f>Crisis_construction!G117</f>
        <v>0</v>
      </c>
      <c r="D116">
        <f>+Crisis_construction!I117</f>
        <v>0</v>
      </c>
    </row>
    <row r="117" spans="1:5">
      <c r="A117" s="59">
        <v>38991</v>
      </c>
      <c r="B117">
        <f>Crisis_construction!F118</f>
        <v>0</v>
      </c>
      <c r="C117">
        <f>Crisis_construction!G118</f>
        <v>0</v>
      </c>
      <c r="D117">
        <f>+Crisis_construction!I118</f>
        <v>0</v>
      </c>
    </row>
    <row r="118" spans="1:5">
      <c r="A118" s="59">
        <v>39083</v>
      </c>
      <c r="B118">
        <f>Crisis_construction!F119</f>
        <v>0</v>
      </c>
      <c r="C118">
        <f>Crisis_construction!G119</f>
        <v>0</v>
      </c>
      <c r="D118">
        <f>+Crisis_construction!I119</f>
        <v>0</v>
      </c>
    </row>
    <row r="119" spans="1:5">
      <c r="A119" s="59">
        <v>39173</v>
      </c>
      <c r="B119">
        <f>Crisis_construction!F120</f>
        <v>0</v>
      </c>
      <c r="C119">
        <f>Crisis_construction!G120</f>
        <v>0</v>
      </c>
      <c r="D119">
        <f>+Crisis_construction!I120</f>
        <v>0</v>
      </c>
    </row>
    <row r="120" spans="1:5">
      <c r="A120" s="59">
        <v>39264</v>
      </c>
      <c r="B120">
        <f>Crisis_construction!F121</f>
        <v>0</v>
      </c>
      <c r="C120">
        <f>Crisis_construction!G121</f>
        <v>0</v>
      </c>
      <c r="D120">
        <f>+Crisis_construction!I121</f>
        <v>0</v>
      </c>
    </row>
    <row r="121" spans="1:5">
      <c r="A121" s="59">
        <v>39356</v>
      </c>
      <c r="B121">
        <f>Crisis_construction!F122</f>
        <v>0</v>
      </c>
      <c r="C121">
        <f>Crisis_construction!G122</f>
        <v>0</v>
      </c>
      <c r="D121">
        <f>+Crisis_construction!I122</f>
        <v>0</v>
      </c>
    </row>
    <row r="122" spans="1:5">
      <c r="A122" s="59">
        <v>39448</v>
      </c>
      <c r="B122">
        <f>Crisis_construction!F123</f>
        <v>1</v>
      </c>
      <c r="C122">
        <f>Crisis_construction!G123</f>
        <v>1</v>
      </c>
      <c r="D122" t="str">
        <f>+Crisis_construction!I123</f>
        <v xml:space="preserve">Laeven and Valencia (2020) - Systemic Banking Crisis - Anglo Irish Bank failed and was nationalized in 2009. </v>
      </c>
      <c r="E122">
        <v>0.7</v>
      </c>
    </row>
    <row r="123" spans="1:5">
      <c r="A123" s="59">
        <v>39539</v>
      </c>
      <c r="B123">
        <f>Crisis_construction!F124</f>
        <v>1</v>
      </c>
      <c r="C123">
        <f>Crisis_construction!G124</f>
        <v>1</v>
      </c>
      <c r="D123">
        <f>+Crisis_construction!I124</f>
        <v>0</v>
      </c>
    </row>
    <row r="124" spans="1:5">
      <c r="A124" s="59">
        <v>39630</v>
      </c>
      <c r="B124">
        <f>Crisis_construction!F125</f>
        <v>1</v>
      </c>
      <c r="C124">
        <f>Crisis_construction!G125</f>
        <v>1</v>
      </c>
      <c r="D124">
        <f>+Crisis_construction!I125</f>
        <v>0</v>
      </c>
    </row>
    <row r="125" spans="1:5">
      <c r="A125" s="59">
        <v>39722</v>
      </c>
      <c r="B125">
        <f>Crisis_construction!F126</f>
        <v>1</v>
      </c>
      <c r="C125">
        <f>Crisis_construction!G126</f>
        <v>1</v>
      </c>
      <c r="D125">
        <f>+Crisis_construction!I126</f>
        <v>0</v>
      </c>
    </row>
    <row r="126" spans="1:5">
      <c r="A126" s="59">
        <v>39814</v>
      </c>
      <c r="B126">
        <f>Crisis_construction!F127</f>
        <v>1</v>
      </c>
      <c r="C126">
        <f>Crisis_construction!G127</f>
        <v>1</v>
      </c>
      <c r="D126">
        <f>+Crisis_construction!I127</f>
        <v>0</v>
      </c>
    </row>
    <row r="127" spans="1:5">
      <c r="A127" s="59">
        <v>39904</v>
      </c>
      <c r="B127">
        <f>Crisis_construction!F128</f>
        <v>1</v>
      </c>
      <c r="C127">
        <f>Crisis_construction!G128</f>
        <v>1</v>
      </c>
      <c r="D127">
        <f>+Crisis_construction!I128</f>
        <v>0</v>
      </c>
    </row>
    <row r="128" spans="1:5">
      <c r="A128" s="59">
        <v>39995</v>
      </c>
      <c r="B128">
        <f>Crisis_construction!F129</f>
        <v>1</v>
      </c>
      <c r="C128">
        <f>Crisis_construction!G129</f>
        <v>1</v>
      </c>
      <c r="D128">
        <f>+Crisis_construction!I129</f>
        <v>0</v>
      </c>
    </row>
    <row r="129" spans="1:5">
      <c r="A129" s="59">
        <v>40087</v>
      </c>
      <c r="B129">
        <f>Crisis_construction!F130</f>
        <v>1</v>
      </c>
      <c r="C129">
        <f>Crisis_construction!G130</f>
        <v>1</v>
      </c>
      <c r="D129">
        <f>+Crisis_construction!I130</f>
        <v>0</v>
      </c>
    </row>
    <row r="130" spans="1:5">
      <c r="A130" s="59">
        <v>40179</v>
      </c>
      <c r="B130">
        <f>Crisis_construction!F131</f>
        <v>1</v>
      </c>
      <c r="C130">
        <f>Crisis_construction!G131</f>
        <v>1</v>
      </c>
      <c r="D130">
        <f>+Crisis_construction!I131</f>
        <v>0</v>
      </c>
    </row>
    <row r="131" spans="1:5">
      <c r="A131" s="59">
        <v>40269</v>
      </c>
      <c r="B131">
        <f>Crisis_construction!F132</f>
        <v>1</v>
      </c>
      <c r="C131">
        <f>Crisis_construction!G132</f>
        <v>1</v>
      </c>
      <c r="D131">
        <f>+Crisis_construction!I132</f>
        <v>0</v>
      </c>
    </row>
    <row r="132" spans="1:5">
      <c r="A132" s="59">
        <v>40360</v>
      </c>
      <c r="B132">
        <f>Crisis_construction!F133</f>
        <v>1</v>
      </c>
      <c r="C132">
        <f>Crisis_construction!G133</f>
        <v>1</v>
      </c>
      <c r="D132" t="str">
        <f>+Crisis_construction!I133</f>
        <v>Laeven and Valencia (2020) - Systemic Banking Crisis -Bank of Ireland was bailed out and EBS Building Society was nationalized.</v>
      </c>
      <c r="E132">
        <v>0.5</v>
      </c>
    </row>
    <row r="133" spans="1:5">
      <c r="A133" s="59">
        <v>40452</v>
      </c>
      <c r="B133">
        <f>Crisis_construction!F134</f>
        <v>1</v>
      </c>
      <c r="C133">
        <f>Crisis_construction!G134</f>
        <v>1</v>
      </c>
      <c r="D133">
        <f>+Crisis_construction!I134</f>
        <v>0</v>
      </c>
    </row>
    <row r="134" spans="1:5">
      <c r="A134" s="59">
        <v>40544</v>
      </c>
      <c r="B134">
        <f>Crisis_construction!F135</f>
        <v>1</v>
      </c>
      <c r="C134">
        <f>Crisis_construction!G135</f>
        <v>1</v>
      </c>
      <c r="D134">
        <f>+Crisis_construction!I135</f>
        <v>0</v>
      </c>
    </row>
    <row r="135" spans="1:5">
      <c r="A135" s="59">
        <v>40634</v>
      </c>
      <c r="B135">
        <f>Crisis_construction!F136</f>
        <v>1</v>
      </c>
      <c r="C135">
        <f>Crisis_construction!G136</f>
        <v>1</v>
      </c>
      <c r="D135">
        <f>+Crisis_construction!I136</f>
        <v>0</v>
      </c>
    </row>
    <row r="136" spans="1:5">
      <c r="A136" s="59">
        <v>40725</v>
      </c>
      <c r="B136">
        <f>Crisis_construction!F137</f>
        <v>1</v>
      </c>
      <c r="C136">
        <f>Crisis_construction!G137</f>
        <v>1</v>
      </c>
      <c r="D136">
        <f>+Crisis_construction!I137</f>
        <v>0</v>
      </c>
    </row>
    <row r="137" spans="1:5">
      <c r="A137" s="59">
        <v>40817</v>
      </c>
      <c r="B137">
        <f>Crisis_construction!F138</f>
        <v>1</v>
      </c>
      <c r="C137">
        <f>Crisis_construction!G138</f>
        <v>1</v>
      </c>
      <c r="D137">
        <f>+Crisis_construction!I138</f>
        <v>0</v>
      </c>
    </row>
    <row r="138" spans="1:5">
      <c r="A138" s="59">
        <v>40909</v>
      </c>
      <c r="B138">
        <f>Crisis_construction!F139</f>
        <v>1</v>
      </c>
      <c r="C138">
        <f>Crisis_construction!G139</f>
        <v>1</v>
      </c>
      <c r="D138">
        <f>+Crisis_construction!I139</f>
        <v>0</v>
      </c>
    </row>
    <row r="139" spans="1:5">
      <c r="A139" s="59">
        <v>41000</v>
      </c>
      <c r="B139">
        <f>Crisis_construction!F140</f>
        <v>1</v>
      </c>
      <c r="C139">
        <f>Crisis_construction!G140</f>
        <v>1</v>
      </c>
      <c r="D139">
        <f>+Crisis_construction!I140</f>
        <v>0</v>
      </c>
    </row>
    <row r="140" spans="1:5">
      <c r="A140" s="59">
        <v>41091</v>
      </c>
      <c r="B140">
        <f>Crisis_construction!F141</f>
        <v>1</v>
      </c>
      <c r="C140">
        <f>Crisis_construction!G141</f>
        <v>1</v>
      </c>
      <c r="D140">
        <f>+Crisis_construction!I141</f>
        <v>0</v>
      </c>
    </row>
    <row r="141" spans="1:5">
      <c r="A141" s="59">
        <v>41183</v>
      </c>
      <c r="B141">
        <f>Crisis_construction!F142</f>
        <v>1</v>
      </c>
      <c r="C141">
        <f>Crisis_construction!G142</f>
        <v>1</v>
      </c>
      <c r="D141">
        <f>+Crisis_construction!I142</f>
        <v>0</v>
      </c>
    </row>
    <row r="142" spans="1:5">
      <c r="A142" s="59">
        <v>41275</v>
      </c>
      <c r="B142">
        <f>Crisis_construction!F143</f>
        <v>0</v>
      </c>
      <c r="C142">
        <f>Crisis_construction!G143</f>
        <v>0</v>
      </c>
      <c r="D142">
        <f>+Crisis_construction!I143</f>
        <v>0</v>
      </c>
    </row>
    <row r="143" spans="1:5">
      <c r="A143" s="59">
        <v>41365</v>
      </c>
      <c r="B143">
        <f>Crisis_construction!F144</f>
        <v>0</v>
      </c>
      <c r="C143">
        <f>Crisis_construction!G144</f>
        <v>0</v>
      </c>
      <c r="D143">
        <f>+Crisis_construction!I144</f>
        <v>0</v>
      </c>
    </row>
    <row r="144" spans="1:5">
      <c r="A144" s="59">
        <v>41456</v>
      </c>
      <c r="B144">
        <f>Crisis_construction!F145</f>
        <v>0</v>
      </c>
      <c r="C144">
        <f>Crisis_construction!G145</f>
        <v>0</v>
      </c>
      <c r="D144">
        <f>+Crisis_construction!I145</f>
        <v>0</v>
      </c>
    </row>
    <row r="145" spans="1:5">
      <c r="A145" s="59">
        <v>41548</v>
      </c>
      <c r="B145">
        <f>Crisis_construction!F146</f>
        <v>0</v>
      </c>
      <c r="C145">
        <f>Crisis_construction!G146</f>
        <v>0</v>
      </c>
      <c r="D145">
        <f>+Crisis_construction!I146</f>
        <v>0</v>
      </c>
    </row>
    <row r="146" spans="1:5">
      <c r="A146" s="59">
        <v>41640</v>
      </c>
      <c r="B146">
        <f>Crisis_construction!F147</f>
        <v>0</v>
      </c>
      <c r="C146">
        <f>Crisis_construction!G147</f>
        <v>0</v>
      </c>
      <c r="D146">
        <f>+Crisis_construction!I147</f>
        <v>0</v>
      </c>
    </row>
    <row r="147" spans="1:5">
      <c r="A147" s="59">
        <v>41730</v>
      </c>
      <c r="B147">
        <f>Crisis_construction!F148</f>
        <v>0</v>
      </c>
      <c r="C147">
        <f>Crisis_construction!G148</f>
        <v>0</v>
      </c>
      <c r="D147">
        <f>+Crisis_construction!I148</f>
        <v>0</v>
      </c>
    </row>
    <row r="148" spans="1:5">
      <c r="A148" s="59">
        <v>41821</v>
      </c>
      <c r="B148">
        <f>Crisis_construction!F149</f>
        <v>0</v>
      </c>
      <c r="C148">
        <f>Crisis_construction!G149</f>
        <v>0</v>
      </c>
      <c r="D148">
        <f>+Crisis_construction!I149</f>
        <v>0</v>
      </c>
    </row>
    <row r="149" spans="1:5">
      <c r="A149" s="59">
        <v>41913</v>
      </c>
      <c r="B149">
        <f>Crisis_construction!F150</f>
        <v>0</v>
      </c>
      <c r="C149">
        <f>Crisis_construction!G150</f>
        <v>0</v>
      </c>
      <c r="D149">
        <f>+Crisis_construction!I150</f>
        <v>0</v>
      </c>
    </row>
    <row r="150" spans="1:5">
      <c r="A150" s="59">
        <v>42005</v>
      </c>
      <c r="B150">
        <f>Crisis_construction!F151</f>
        <v>0</v>
      </c>
      <c r="C150">
        <f>Crisis_construction!G151</f>
        <v>0</v>
      </c>
      <c r="D150">
        <f>+Crisis_construction!I151</f>
        <v>0</v>
      </c>
    </row>
    <row r="151" spans="1:5">
      <c r="A151" s="59">
        <v>42095</v>
      </c>
      <c r="B151">
        <f>Crisis_construction!F152</f>
        <v>0</v>
      </c>
      <c r="C151">
        <f>Crisis_construction!G152</f>
        <v>0</v>
      </c>
      <c r="D151">
        <f>+Crisis_construction!I152</f>
        <v>0</v>
      </c>
    </row>
    <row r="152" spans="1:5">
      <c r="A152" s="59">
        <v>42186</v>
      </c>
      <c r="B152">
        <f>Crisis_construction!F153</f>
        <v>0</v>
      </c>
      <c r="C152">
        <f>Crisis_construction!G153</f>
        <v>0</v>
      </c>
      <c r="D152">
        <f>+Crisis_construction!I153</f>
        <v>0</v>
      </c>
    </row>
    <row r="153" spans="1:5">
      <c r="A153" s="59">
        <v>42278</v>
      </c>
      <c r="B153">
        <f>Crisis_construction!F154</f>
        <v>0</v>
      </c>
      <c r="C153">
        <f>Crisis_construction!G154</f>
        <v>0</v>
      </c>
      <c r="D153">
        <f>+Crisis_construction!I154</f>
        <v>0</v>
      </c>
    </row>
    <row r="154" spans="1:5">
      <c r="A154" s="59">
        <v>42370</v>
      </c>
      <c r="B154">
        <f>Crisis_construction!F155</f>
        <v>0</v>
      </c>
      <c r="C154">
        <f>Crisis_construction!G155</f>
        <v>1</v>
      </c>
      <c r="D154" t="str">
        <f>+Crisis_construction!I155</f>
        <v>Baron and Dieckelmann (2022) -Bank Eq. 30% decline.</v>
      </c>
      <c r="E154">
        <v>0.3</v>
      </c>
    </row>
    <row r="155" spans="1:5">
      <c r="A155" s="59">
        <v>42461</v>
      </c>
      <c r="B155">
        <f>Crisis_construction!F156</f>
        <v>0</v>
      </c>
      <c r="C155">
        <f>Crisis_construction!G156</f>
        <v>1</v>
      </c>
      <c r="D155">
        <f>+Crisis_construction!I156</f>
        <v>0</v>
      </c>
    </row>
    <row r="156" spans="1:5">
      <c r="A156" s="59">
        <v>42552</v>
      </c>
      <c r="B156">
        <f>Crisis_construction!F157</f>
        <v>0</v>
      </c>
      <c r="C156">
        <f>Crisis_construction!G157</f>
        <v>1</v>
      </c>
      <c r="D156">
        <f>+Crisis_construction!I157</f>
        <v>0</v>
      </c>
    </row>
    <row r="157" spans="1:5">
      <c r="A157" s="59">
        <v>42644</v>
      </c>
      <c r="B157">
        <f>Crisis_construction!F158</f>
        <v>0</v>
      </c>
      <c r="C157">
        <f>Crisis_construction!G158</f>
        <v>1</v>
      </c>
      <c r="D157">
        <f>+Crisis_construction!I158</f>
        <v>0</v>
      </c>
    </row>
    <row r="158" spans="1:5">
      <c r="A158" s="59">
        <v>42736</v>
      </c>
      <c r="B158">
        <f>Crisis_construction!F159</f>
        <v>0</v>
      </c>
      <c r="C158">
        <f>Crisis_construction!G159</f>
        <v>0</v>
      </c>
      <c r="D158">
        <f>+Crisis_construction!I159</f>
        <v>0</v>
      </c>
    </row>
    <row r="159" spans="1:5">
      <c r="A159" s="59">
        <v>42826</v>
      </c>
      <c r="B159">
        <f>Crisis_construction!F160</f>
        <v>0</v>
      </c>
      <c r="C159">
        <f>Crisis_construction!G160</f>
        <v>0</v>
      </c>
      <c r="D159">
        <f>+Crisis_construction!I160</f>
        <v>0</v>
      </c>
    </row>
    <row r="160" spans="1:5">
      <c r="A160" s="59">
        <v>42917</v>
      </c>
      <c r="B160">
        <f>Crisis_construction!F161</f>
        <v>0</v>
      </c>
      <c r="C160">
        <f>Crisis_construction!G161</f>
        <v>0</v>
      </c>
      <c r="D160">
        <f>+Crisis_construction!I161</f>
        <v>0</v>
      </c>
    </row>
    <row r="161" spans="1:4">
      <c r="A161" s="59">
        <v>43009</v>
      </c>
      <c r="B161">
        <f>Crisis_construction!F162</f>
        <v>0</v>
      </c>
      <c r="C161">
        <f>Crisis_construction!G162</f>
        <v>0</v>
      </c>
      <c r="D161">
        <f>+Crisis_construction!I162</f>
        <v>0</v>
      </c>
    </row>
    <row r="162" spans="1:4">
      <c r="A162" s="59">
        <v>43101</v>
      </c>
      <c r="B162">
        <f>Crisis_construction!F163</f>
        <v>0</v>
      </c>
      <c r="C162">
        <f>Crisis_construction!G163</f>
        <v>0</v>
      </c>
      <c r="D162">
        <f>+Crisis_construction!I163</f>
        <v>0</v>
      </c>
    </row>
    <row r="163" spans="1:4">
      <c r="A163" s="59">
        <v>43191</v>
      </c>
      <c r="B163">
        <f>Crisis_construction!F164</f>
        <v>0</v>
      </c>
      <c r="C163">
        <f>Crisis_construction!G164</f>
        <v>0</v>
      </c>
      <c r="D163">
        <f>+Crisis_construction!I164</f>
        <v>0</v>
      </c>
    </row>
    <row r="164" spans="1:4">
      <c r="A164" s="59">
        <v>43282</v>
      </c>
      <c r="B164">
        <f>Crisis_construction!F165</f>
        <v>0</v>
      </c>
      <c r="C164">
        <f>Crisis_construction!G165</f>
        <v>0</v>
      </c>
      <c r="D164">
        <f>+Crisis_construction!I165</f>
        <v>0</v>
      </c>
    </row>
    <row r="165" spans="1:4">
      <c r="A165" s="59">
        <v>43374</v>
      </c>
      <c r="B165">
        <f>Crisis_construction!F166</f>
        <v>0</v>
      </c>
      <c r="C165">
        <f>Crisis_construction!G166</f>
        <v>0</v>
      </c>
      <c r="D165">
        <f>+Crisis_construction!I166</f>
        <v>0</v>
      </c>
    </row>
    <row r="166" spans="1:4">
      <c r="A166" s="59">
        <v>43466</v>
      </c>
      <c r="B166">
        <f>Crisis_construction!F167</f>
        <v>0</v>
      </c>
      <c r="C166">
        <f>Crisis_construction!G167</f>
        <v>0</v>
      </c>
      <c r="D166">
        <f>+Crisis_construction!I167</f>
        <v>0</v>
      </c>
    </row>
    <row r="167" spans="1:4">
      <c r="A167" s="59">
        <v>43556</v>
      </c>
      <c r="B167">
        <f>Crisis_construction!F168</f>
        <v>0</v>
      </c>
      <c r="C167">
        <f>Crisis_construction!G168</f>
        <v>0</v>
      </c>
      <c r="D167">
        <f>+Crisis_construction!I168</f>
        <v>0</v>
      </c>
    </row>
    <row r="168" spans="1:4">
      <c r="A168" s="59">
        <v>43647</v>
      </c>
      <c r="B168">
        <f>Crisis_construction!F169</f>
        <v>0</v>
      </c>
      <c r="C168">
        <f>Crisis_construction!G169</f>
        <v>0</v>
      </c>
      <c r="D168">
        <f>+Crisis_construction!I169</f>
        <v>0</v>
      </c>
    </row>
    <row r="169" spans="1:4">
      <c r="A169" s="59">
        <v>43739</v>
      </c>
      <c r="B169">
        <f>Crisis_construction!F170</f>
        <v>0</v>
      </c>
      <c r="C169">
        <f>Crisis_construction!G170</f>
        <v>0</v>
      </c>
      <c r="D169">
        <f>+Crisis_construction!I170</f>
        <v>0</v>
      </c>
    </row>
    <row r="170" spans="1:4">
      <c r="A170" s="59">
        <v>43831</v>
      </c>
      <c r="B170">
        <f>Crisis_construction!F171</f>
        <v>0</v>
      </c>
      <c r="C170">
        <f>Crisis_construction!G171</f>
        <v>0</v>
      </c>
      <c r="D170">
        <f>+Crisis_construction!I171</f>
        <v>0</v>
      </c>
    </row>
    <row r="171" spans="1:4">
      <c r="A171" s="59">
        <v>43922</v>
      </c>
      <c r="B171">
        <f>Crisis_construction!F172</f>
        <v>0</v>
      </c>
      <c r="C171">
        <f>Crisis_construction!G172</f>
        <v>0</v>
      </c>
      <c r="D171">
        <f>+Crisis_construction!I172</f>
        <v>0</v>
      </c>
    </row>
    <row r="172" spans="1:4">
      <c r="A172" s="59">
        <v>44013</v>
      </c>
      <c r="B172">
        <f>Crisis_construction!F173</f>
        <v>0</v>
      </c>
      <c r="C172">
        <f>Crisis_construction!G173</f>
        <v>0</v>
      </c>
      <c r="D172">
        <f>+Crisis_construction!I173</f>
        <v>0</v>
      </c>
    </row>
    <row r="173" spans="1:4">
      <c r="A173" s="59">
        <v>44105</v>
      </c>
      <c r="B173">
        <f>Crisis_construction!F174</f>
        <v>0</v>
      </c>
      <c r="C173">
        <f>Crisis_construction!G174</f>
        <v>0</v>
      </c>
      <c r="D173">
        <f>+Crisis_construction!I174</f>
        <v>0</v>
      </c>
    </row>
    <row r="174" spans="1:4">
      <c r="A174" s="59">
        <v>44197</v>
      </c>
      <c r="B174">
        <f>Crisis_construction!F175</f>
        <v>0</v>
      </c>
      <c r="C174">
        <f>Crisis_construction!G175</f>
        <v>0</v>
      </c>
      <c r="D174">
        <f>+Crisis_construction!I175</f>
        <v>0</v>
      </c>
    </row>
    <row r="175" spans="1:4">
      <c r="A175" s="59">
        <v>44287</v>
      </c>
      <c r="B175">
        <f>Crisis_construction!F176</f>
        <v>0</v>
      </c>
      <c r="C175">
        <f>Crisis_construction!G176</f>
        <v>0</v>
      </c>
      <c r="D175">
        <f>+Crisis_construction!I176</f>
        <v>0</v>
      </c>
    </row>
    <row r="176" spans="1:4">
      <c r="A176" s="59">
        <v>44378</v>
      </c>
      <c r="B176">
        <f>Crisis_construction!F177</f>
        <v>0</v>
      </c>
      <c r="C176">
        <f>Crisis_construction!G177</f>
        <v>0</v>
      </c>
      <c r="D176">
        <f>+Crisis_construction!I177</f>
        <v>0</v>
      </c>
    </row>
    <row r="177" spans="1:4">
      <c r="A177" s="59">
        <v>44470</v>
      </c>
      <c r="B177">
        <f>Crisis_construction!F178</f>
        <v>0</v>
      </c>
      <c r="C177">
        <f>Crisis_construction!G178</f>
        <v>0</v>
      </c>
      <c r="D177">
        <f>+Crisis_construction!I178</f>
        <v>0</v>
      </c>
    </row>
    <row r="178" spans="1:4">
      <c r="A178" s="59">
        <v>44562</v>
      </c>
      <c r="B178">
        <f>Crisis_construction!F179</f>
        <v>0</v>
      </c>
      <c r="C178">
        <f>Crisis_construction!G179</f>
        <v>0</v>
      </c>
      <c r="D178">
        <f>+Crisis_construction!I179</f>
        <v>0</v>
      </c>
    </row>
    <row r="179" spans="1:4">
      <c r="A179" s="59">
        <v>44652</v>
      </c>
      <c r="B179">
        <f>Crisis_construction!F180</f>
        <v>0</v>
      </c>
      <c r="C179">
        <f>Crisis_construction!G180</f>
        <v>0</v>
      </c>
      <c r="D179">
        <f>+Crisis_construction!I180</f>
        <v>0</v>
      </c>
    </row>
    <row r="180" spans="1:4">
      <c r="A180" s="62">
        <v>44743</v>
      </c>
      <c r="B180">
        <f>Crisis_construction!F181</f>
        <v>0</v>
      </c>
      <c r="C180">
        <f>Crisis_construction!G181</f>
        <v>0</v>
      </c>
      <c r="D180">
        <f>+Crisis_construction!I181</f>
        <v>0</v>
      </c>
    </row>
    <row r="181" spans="1:4">
      <c r="A181" s="62">
        <v>44835</v>
      </c>
      <c r="B181">
        <f>Crisis_construction!F182</f>
        <v>0</v>
      </c>
      <c r="C181">
        <f>Crisis_construction!G182</f>
        <v>0</v>
      </c>
      <c r="D181">
        <f>+Crisis_construction!I182</f>
        <v>0</v>
      </c>
    </row>
    <row r="182" spans="1:4">
      <c r="A182" s="62">
        <v>44927</v>
      </c>
      <c r="B182">
        <f>Crisis_construction!F183</f>
        <v>0</v>
      </c>
      <c r="C182">
        <f>Crisis_construction!G183</f>
        <v>0</v>
      </c>
      <c r="D182">
        <f>+Crisis_construction!I183</f>
        <v>0</v>
      </c>
    </row>
    <row r="183" spans="1:4">
      <c r="A183" s="62">
        <v>45017</v>
      </c>
      <c r="B183">
        <f>Crisis_construction!F184</f>
        <v>0</v>
      </c>
      <c r="C183">
        <f>Crisis_construction!G184</f>
        <v>0</v>
      </c>
      <c r="D183">
        <f>+Crisis_construction!I184</f>
        <v>0</v>
      </c>
    </row>
    <row r="184" spans="1:4">
      <c r="A184" s="59">
        <v>45108</v>
      </c>
      <c r="B184">
        <f>Crisis_construction!F185</f>
        <v>0</v>
      </c>
      <c r="C184">
        <f>Crisis_construction!G185</f>
        <v>0</v>
      </c>
      <c r="D184">
        <f>+Crisis_construction!I185</f>
        <v>0</v>
      </c>
    </row>
    <row r="185" spans="1:4">
      <c r="A185" s="59">
        <v>45200</v>
      </c>
      <c r="B185">
        <f>Crisis_construction!F186</f>
        <v>0</v>
      </c>
      <c r="C185">
        <f>Crisis_construction!G186</f>
        <v>0</v>
      </c>
      <c r="D185">
        <f>+Crisis_construction!I186</f>
        <v>0</v>
      </c>
    </row>
    <row r="186" spans="1:4">
      <c r="A186" s="59">
        <v>45292</v>
      </c>
      <c r="B186">
        <f>Crisis_construction!F187</f>
        <v>0</v>
      </c>
      <c r="C186">
        <f>Crisis_construction!G187</f>
        <v>0</v>
      </c>
      <c r="D186">
        <f>+Crisis_construction!I187</f>
        <v>0</v>
      </c>
    </row>
    <row r="187" spans="1:4">
      <c r="A187" s="59">
        <v>45383</v>
      </c>
      <c r="B187">
        <f>Crisis_construction!F188</f>
        <v>0</v>
      </c>
      <c r="C187">
        <f>Crisis_construction!G188</f>
        <v>0</v>
      </c>
      <c r="D187">
        <f>+Crisis_construction!I188</f>
        <v>0</v>
      </c>
    </row>
    <row r="188" spans="1:4">
      <c r="A188" s="59">
        <v>45474</v>
      </c>
      <c r="B188">
        <f>Crisis_construction!F189</f>
        <v>0</v>
      </c>
      <c r="C188">
        <f>Crisis_construction!G189</f>
        <v>0</v>
      </c>
      <c r="D188">
        <f>+Crisis_construction!I189</f>
        <v>0</v>
      </c>
    </row>
    <row r="189" spans="1:4">
      <c r="A189" s="59">
        <v>45566</v>
      </c>
      <c r="B189">
        <f>Crisis_construction!F190</f>
        <v>0</v>
      </c>
      <c r="C189">
        <f>Crisis_construction!G190</f>
        <v>0</v>
      </c>
      <c r="D189">
        <f>+Crisis_construction!I190</f>
        <v>0</v>
      </c>
    </row>
    <row r="190" spans="1:4">
      <c r="A190" s="59">
        <v>45658</v>
      </c>
      <c r="B190">
        <f>Crisis_construction!F191</f>
        <v>0</v>
      </c>
      <c r="C190">
        <f>Crisis_construction!G191</f>
        <v>0</v>
      </c>
      <c r="D190">
        <f>+Crisis_construction!I191</f>
        <v>0</v>
      </c>
    </row>
    <row r="191" spans="1:4">
      <c r="A191" s="59">
        <v>45748</v>
      </c>
      <c r="B191">
        <f>Crisis_construction!F192</f>
        <v>0</v>
      </c>
      <c r="C191">
        <f>Crisis_construction!G192</f>
        <v>0</v>
      </c>
      <c r="D191">
        <f>+Crisis_construction!I192</f>
        <v>0</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I192"/>
  <sheetViews>
    <sheetView tabSelected="1" zoomScaleNormal="100" workbookViewId="0">
      <pane xSplit="1" ySplit="2" topLeftCell="B185" activePane="bottomRight" state="frozen"/>
      <selection pane="topRight" activeCell="B1" sqref="B1"/>
      <selection pane="bottomLeft" activeCell="A2" sqref="A2"/>
      <selection pane="bottomRight" activeCell="B192" sqref="B192"/>
    </sheetView>
  </sheetViews>
  <sheetFormatPr defaultRowHeight="14.5"/>
  <cols>
    <col min="1" max="7" width="10" customWidth="1"/>
    <col min="8" max="8" width="2.81640625" customWidth="1"/>
    <col min="9" max="9" width="10.36328125" customWidth="1"/>
  </cols>
  <sheetData>
    <row r="1" spans="1:9">
      <c r="A1" s="67"/>
      <c r="B1" s="66" t="s">
        <v>364</v>
      </c>
      <c r="C1" s="64"/>
      <c r="D1" s="64"/>
      <c r="E1" s="64"/>
      <c r="F1" s="64"/>
      <c r="G1" s="64"/>
    </row>
    <row r="2" spans="1:9" s="65" customFormat="1" ht="58">
      <c r="A2" s="67" t="s">
        <v>354</v>
      </c>
      <c r="B2" s="64" t="s">
        <v>360</v>
      </c>
      <c r="C2" s="64" t="s">
        <v>349</v>
      </c>
      <c r="D2" s="64" t="s">
        <v>355</v>
      </c>
      <c r="E2" s="64" t="s">
        <v>365</v>
      </c>
      <c r="F2" s="68" t="s">
        <v>1452</v>
      </c>
      <c r="G2" s="68" t="s">
        <v>1453</v>
      </c>
      <c r="I2" s="91" t="s">
        <v>1447</v>
      </c>
    </row>
    <row r="3" spans="1:9">
      <c r="A3" s="59">
        <v>28491</v>
      </c>
      <c r="B3">
        <f>'Babecky ·et al. (2012)'!B34</f>
        <v>0</v>
      </c>
      <c r="D3">
        <f>FX!F2</f>
        <v>0</v>
      </c>
      <c r="E3">
        <v>0</v>
      </c>
      <c r="F3">
        <f>+IF(SUM(B3:D3)=0,0,1)</f>
        <v>0</v>
      </c>
      <c r="G3">
        <f>+IF(SUM(B3:E3)=0,0,1)</f>
        <v>0</v>
      </c>
    </row>
    <row r="4" spans="1:9">
      <c r="A4" s="59">
        <v>28581</v>
      </c>
      <c r="B4">
        <f>'Babecky ·et al. (2012)'!B35</f>
        <v>0</v>
      </c>
      <c r="D4">
        <f>FX!F3</f>
        <v>0</v>
      </c>
      <c r="E4">
        <v>0</v>
      </c>
      <c r="F4">
        <f t="shared" ref="F4:F67" si="0">+IF(SUM(B4:D4)=0,0,1)</f>
        <v>0</v>
      </c>
      <c r="G4">
        <f t="shared" ref="G4:G66" si="1">+IF(SUM(B4:E4)=0,0,1)</f>
        <v>0</v>
      </c>
    </row>
    <row r="5" spans="1:9">
      <c r="A5" s="59">
        <v>28672</v>
      </c>
      <c r="B5">
        <f>'Babecky ·et al. (2012)'!B36</f>
        <v>0</v>
      </c>
      <c r="D5">
        <f>FX!F4</f>
        <v>0</v>
      </c>
      <c r="E5">
        <v>0</v>
      </c>
      <c r="F5">
        <f t="shared" si="0"/>
        <v>0</v>
      </c>
      <c r="G5">
        <f t="shared" si="1"/>
        <v>0</v>
      </c>
    </row>
    <row r="6" spans="1:9">
      <c r="A6" s="59">
        <v>28764</v>
      </c>
      <c r="B6">
        <f>'Babecky ·et al. (2012)'!B37</f>
        <v>0</v>
      </c>
      <c r="D6">
        <f>FX!F5</f>
        <v>0</v>
      </c>
      <c r="E6">
        <v>0</v>
      </c>
      <c r="F6">
        <f t="shared" si="0"/>
        <v>0</v>
      </c>
      <c r="G6">
        <f t="shared" si="1"/>
        <v>0</v>
      </c>
    </row>
    <row r="7" spans="1:9">
      <c r="A7" s="59">
        <v>28856</v>
      </c>
      <c r="B7">
        <f>'Babecky ·et al. (2012)'!B38</f>
        <v>0</v>
      </c>
      <c r="D7">
        <f>FX!F6</f>
        <v>0</v>
      </c>
      <c r="E7">
        <v>0</v>
      </c>
      <c r="F7">
        <f t="shared" si="0"/>
        <v>0</v>
      </c>
      <c r="G7">
        <f t="shared" si="1"/>
        <v>0</v>
      </c>
    </row>
    <row r="8" spans="1:9">
      <c r="A8" s="59">
        <v>28946</v>
      </c>
      <c r="B8">
        <f>'Babecky ·et al. (2012)'!B39</f>
        <v>0</v>
      </c>
      <c r="D8">
        <f>FX!F7</f>
        <v>0</v>
      </c>
      <c r="E8">
        <v>0</v>
      </c>
      <c r="F8">
        <f t="shared" si="0"/>
        <v>0</v>
      </c>
      <c r="G8">
        <f t="shared" si="1"/>
        <v>0</v>
      </c>
    </row>
    <row r="9" spans="1:9">
      <c r="A9" s="59">
        <v>29037</v>
      </c>
      <c r="B9">
        <f>'Babecky ·et al. (2012)'!B40</f>
        <v>0</v>
      </c>
      <c r="D9">
        <f>FX!F8</f>
        <v>0</v>
      </c>
      <c r="E9">
        <v>0</v>
      </c>
      <c r="F9">
        <f t="shared" si="0"/>
        <v>0</v>
      </c>
      <c r="G9">
        <f t="shared" si="1"/>
        <v>0</v>
      </c>
    </row>
    <row r="10" spans="1:9">
      <c r="A10" s="59">
        <v>29129</v>
      </c>
      <c r="B10">
        <f>'Babecky ·et al. (2012)'!B41</f>
        <v>0</v>
      </c>
      <c r="D10">
        <f>FX!F9</f>
        <v>0</v>
      </c>
      <c r="E10">
        <v>0</v>
      </c>
      <c r="F10">
        <f t="shared" si="0"/>
        <v>0</v>
      </c>
      <c r="G10">
        <f t="shared" si="1"/>
        <v>0</v>
      </c>
    </row>
    <row r="11" spans="1:9">
      <c r="A11" s="59">
        <v>29221</v>
      </c>
      <c r="B11">
        <f>'Babecky ·et al. (2012)'!B42</f>
        <v>0</v>
      </c>
      <c r="D11">
        <f>FX!F10</f>
        <v>0</v>
      </c>
      <c r="E11">
        <v>0</v>
      </c>
      <c r="F11">
        <f t="shared" si="0"/>
        <v>0</v>
      </c>
      <c r="G11">
        <f t="shared" si="1"/>
        <v>0</v>
      </c>
    </row>
    <row r="12" spans="1:9">
      <c r="A12" s="59">
        <v>29312</v>
      </c>
      <c r="B12">
        <f>'Babecky ·et al. (2012)'!B43</f>
        <v>0</v>
      </c>
      <c r="D12">
        <f>FX!F11</f>
        <v>0</v>
      </c>
      <c r="E12">
        <v>0</v>
      </c>
      <c r="F12">
        <f t="shared" si="0"/>
        <v>0</v>
      </c>
      <c r="G12">
        <f t="shared" si="1"/>
        <v>0</v>
      </c>
    </row>
    <row r="13" spans="1:9">
      <c r="A13" s="59">
        <v>29403</v>
      </c>
      <c r="B13">
        <f>'Babecky ·et al. (2012)'!B44</f>
        <v>0</v>
      </c>
      <c r="D13">
        <f>FX!F12</f>
        <v>0</v>
      </c>
      <c r="E13">
        <v>0</v>
      </c>
      <c r="F13">
        <f t="shared" si="0"/>
        <v>0</v>
      </c>
      <c r="G13">
        <f t="shared" si="1"/>
        <v>0</v>
      </c>
    </row>
    <row r="14" spans="1:9">
      <c r="A14" s="59">
        <v>29495</v>
      </c>
      <c r="B14">
        <f>'Babecky ·et al. (2012)'!B45</f>
        <v>0</v>
      </c>
      <c r="D14">
        <f>FX!F13</f>
        <v>0</v>
      </c>
      <c r="E14">
        <v>0</v>
      </c>
      <c r="F14">
        <f t="shared" si="0"/>
        <v>0</v>
      </c>
      <c r="G14">
        <f t="shared" si="1"/>
        <v>0</v>
      </c>
    </row>
    <row r="15" spans="1:9">
      <c r="A15" s="59">
        <v>29587</v>
      </c>
      <c r="B15">
        <f>'Babecky ·et al. (2012)'!B46</f>
        <v>0</v>
      </c>
      <c r="D15">
        <f>FX!F14</f>
        <v>0</v>
      </c>
      <c r="E15">
        <v>0</v>
      </c>
      <c r="F15">
        <f t="shared" si="0"/>
        <v>0</v>
      </c>
      <c r="G15">
        <f t="shared" si="1"/>
        <v>0</v>
      </c>
    </row>
    <row r="16" spans="1:9">
      <c r="A16" s="59">
        <v>29677</v>
      </c>
      <c r="B16">
        <f>'Babecky ·et al. (2012)'!B47</f>
        <v>0</v>
      </c>
      <c r="D16">
        <f>FX!F15</f>
        <v>0</v>
      </c>
      <c r="E16">
        <v>0</v>
      </c>
      <c r="F16">
        <f t="shared" si="0"/>
        <v>0</v>
      </c>
      <c r="G16">
        <f t="shared" si="1"/>
        <v>0</v>
      </c>
    </row>
    <row r="17" spans="1:9">
      <c r="A17" s="59">
        <v>29768</v>
      </c>
      <c r="B17">
        <f>'Babecky ·et al. (2012)'!B48</f>
        <v>0</v>
      </c>
      <c r="D17">
        <f>FX!F16</f>
        <v>0</v>
      </c>
      <c r="E17">
        <v>0</v>
      </c>
      <c r="F17">
        <f t="shared" si="0"/>
        <v>0</v>
      </c>
      <c r="G17">
        <f t="shared" si="1"/>
        <v>0</v>
      </c>
    </row>
    <row r="18" spans="1:9">
      <c r="A18" s="59">
        <v>29860</v>
      </c>
      <c r="B18">
        <f>'Babecky ·et al. (2012)'!B49</f>
        <v>0</v>
      </c>
      <c r="D18">
        <f>FX!F17</f>
        <v>0</v>
      </c>
      <c r="E18">
        <v>0</v>
      </c>
      <c r="F18">
        <f t="shared" si="0"/>
        <v>0</v>
      </c>
      <c r="G18">
        <f t="shared" si="1"/>
        <v>0</v>
      </c>
    </row>
    <row r="19" spans="1:9">
      <c r="A19" s="59">
        <v>29952</v>
      </c>
      <c r="B19">
        <f>'Babecky ·et al. (2012)'!B50</f>
        <v>0</v>
      </c>
      <c r="D19">
        <f>FX!F18</f>
        <v>0</v>
      </c>
      <c r="E19">
        <v>0</v>
      </c>
      <c r="F19">
        <f t="shared" si="0"/>
        <v>0</v>
      </c>
      <c r="G19">
        <f t="shared" si="1"/>
        <v>0</v>
      </c>
    </row>
    <row r="20" spans="1:9">
      <c r="A20" s="59">
        <v>30042</v>
      </c>
      <c r="B20">
        <f>'Babecky ·et al. (2012)'!B51</f>
        <v>0</v>
      </c>
      <c r="D20">
        <f>FX!F19</f>
        <v>0</v>
      </c>
      <c r="E20">
        <v>0</v>
      </c>
      <c r="F20">
        <f t="shared" si="0"/>
        <v>0</v>
      </c>
      <c r="G20">
        <f t="shared" si="1"/>
        <v>0</v>
      </c>
    </row>
    <row r="21" spans="1:9">
      <c r="A21" s="59">
        <v>30133</v>
      </c>
      <c r="B21">
        <f>'Babecky ·et al. (2012)'!B52</f>
        <v>0</v>
      </c>
      <c r="D21">
        <f>FX!F20</f>
        <v>0</v>
      </c>
      <c r="E21">
        <v>0</v>
      </c>
      <c r="F21">
        <f t="shared" si="0"/>
        <v>0</v>
      </c>
      <c r="G21">
        <f t="shared" si="1"/>
        <v>0</v>
      </c>
    </row>
    <row r="22" spans="1:9">
      <c r="A22" s="59">
        <v>30225</v>
      </c>
      <c r="B22">
        <f>'Babecky ·et al. (2012)'!B53</f>
        <v>0</v>
      </c>
      <c r="D22">
        <f>FX!F21</f>
        <v>0</v>
      </c>
      <c r="E22">
        <v>0</v>
      </c>
      <c r="F22">
        <f t="shared" si="0"/>
        <v>0</v>
      </c>
      <c r="G22">
        <f t="shared" si="1"/>
        <v>0</v>
      </c>
    </row>
    <row r="23" spans="1:9">
      <c r="A23" s="59">
        <v>30317</v>
      </c>
      <c r="B23">
        <f>'Babecky ·et al. (2012)'!B54</f>
        <v>0</v>
      </c>
      <c r="D23">
        <f>FX!F22</f>
        <v>0</v>
      </c>
      <c r="E23">
        <v>0</v>
      </c>
      <c r="F23">
        <f t="shared" si="0"/>
        <v>0</v>
      </c>
      <c r="G23">
        <f t="shared" si="1"/>
        <v>0</v>
      </c>
    </row>
    <row r="24" spans="1:9">
      <c r="A24" s="59">
        <v>30407</v>
      </c>
      <c r="B24">
        <f>'Babecky ·et al. (2012)'!B55</f>
        <v>0</v>
      </c>
      <c r="D24">
        <f>FX!F23</f>
        <v>0</v>
      </c>
      <c r="E24">
        <v>0</v>
      </c>
      <c r="F24">
        <f t="shared" si="0"/>
        <v>0</v>
      </c>
      <c r="G24">
        <f t="shared" si="1"/>
        <v>0</v>
      </c>
    </row>
    <row r="25" spans="1:9">
      <c r="A25" s="59">
        <v>30498</v>
      </c>
      <c r="B25">
        <f>'Babecky ·et al. (2012)'!B56</f>
        <v>0</v>
      </c>
      <c r="D25">
        <f>FX!F24</f>
        <v>0</v>
      </c>
      <c r="E25">
        <v>0</v>
      </c>
      <c r="F25">
        <f t="shared" si="0"/>
        <v>0</v>
      </c>
      <c r="G25">
        <f t="shared" si="1"/>
        <v>0</v>
      </c>
    </row>
    <row r="26" spans="1:9">
      <c r="A26" s="59">
        <v>30590</v>
      </c>
      <c r="B26">
        <f>'Babecky ·et al. (2012)'!B57</f>
        <v>0</v>
      </c>
      <c r="D26">
        <f>FX!F25</f>
        <v>0</v>
      </c>
      <c r="E26">
        <v>0</v>
      </c>
      <c r="F26">
        <f t="shared" si="0"/>
        <v>0</v>
      </c>
      <c r="G26">
        <f t="shared" si="1"/>
        <v>0</v>
      </c>
    </row>
    <row r="27" spans="1:9">
      <c r="A27" s="59">
        <v>30682</v>
      </c>
      <c r="B27">
        <f>'Babecky ·et al. (2012)'!B58</f>
        <v>0</v>
      </c>
      <c r="D27">
        <f>FX!F26</f>
        <v>0</v>
      </c>
      <c r="E27">
        <v>0</v>
      </c>
      <c r="F27">
        <f t="shared" si="0"/>
        <v>0</v>
      </c>
      <c r="G27">
        <f t="shared" si="1"/>
        <v>0</v>
      </c>
    </row>
    <row r="28" spans="1:9">
      <c r="A28" s="59">
        <v>30773</v>
      </c>
      <c r="B28">
        <f>'Babecky ·et al. (2012)'!B59</f>
        <v>0</v>
      </c>
      <c r="D28">
        <f>FX!F27</f>
        <v>0</v>
      </c>
      <c r="E28">
        <v>0</v>
      </c>
      <c r="F28">
        <f t="shared" si="0"/>
        <v>0</v>
      </c>
      <c r="G28">
        <f t="shared" si="1"/>
        <v>0</v>
      </c>
    </row>
    <row r="29" spans="1:9">
      <c r="A29" s="59">
        <v>30864</v>
      </c>
      <c r="B29">
        <f>'Babecky ·et al. (2012)'!B60</f>
        <v>0</v>
      </c>
      <c r="D29">
        <f>FX!F28</f>
        <v>0</v>
      </c>
      <c r="E29">
        <v>0</v>
      </c>
      <c r="F29">
        <f t="shared" si="0"/>
        <v>0</v>
      </c>
      <c r="G29">
        <f t="shared" si="1"/>
        <v>0</v>
      </c>
    </row>
    <row r="30" spans="1:9">
      <c r="A30" s="59">
        <v>30956</v>
      </c>
      <c r="B30">
        <f>'Babecky ·et al. (2012)'!B61</f>
        <v>0</v>
      </c>
      <c r="D30">
        <f>FX!F29</f>
        <v>0</v>
      </c>
      <c r="E30">
        <v>0</v>
      </c>
      <c r="F30">
        <f t="shared" si="0"/>
        <v>0</v>
      </c>
      <c r="G30">
        <f t="shared" si="1"/>
        <v>0</v>
      </c>
    </row>
    <row r="31" spans="1:9">
      <c r="A31" s="59">
        <v>31048</v>
      </c>
      <c r="B31">
        <f>'Babecky ·et al. (2012)'!B62</f>
        <v>1</v>
      </c>
      <c r="D31">
        <f>FX!F30</f>
        <v>0</v>
      </c>
      <c r="E31">
        <v>0</v>
      </c>
      <c r="F31">
        <f t="shared" si="0"/>
        <v>1</v>
      </c>
      <c r="G31">
        <f t="shared" si="1"/>
        <v>1</v>
      </c>
      <c r="I31" t="s">
        <v>1448</v>
      </c>
    </row>
    <row r="32" spans="1:9">
      <c r="A32" s="59">
        <v>31138</v>
      </c>
      <c r="B32">
        <f>'Babecky ·et al. (2012)'!B63</f>
        <v>0</v>
      </c>
      <c r="D32">
        <f>FX!F31</f>
        <v>0</v>
      </c>
      <c r="E32">
        <v>0</v>
      </c>
      <c r="F32">
        <f t="shared" si="0"/>
        <v>0</v>
      </c>
      <c r="G32">
        <f t="shared" si="1"/>
        <v>0</v>
      </c>
    </row>
    <row r="33" spans="1:9">
      <c r="A33" s="59">
        <v>31229</v>
      </c>
      <c r="B33">
        <f>'Babecky ·et al. (2012)'!B64</f>
        <v>0</v>
      </c>
      <c r="D33">
        <f>FX!F32</f>
        <v>1</v>
      </c>
      <c r="E33">
        <v>0</v>
      </c>
      <c r="F33">
        <f t="shared" si="0"/>
        <v>1</v>
      </c>
      <c r="G33">
        <f t="shared" si="1"/>
        <v>1</v>
      </c>
      <c r="I33" t="s">
        <v>1449</v>
      </c>
    </row>
    <row r="34" spans="1:9">
      <c r="A34" s="59">
        <v>31321</v>
      </c>
      <c r="B34">
        <f>'Babecky ·et al. (2012)'!B65</f>
        <v>0</v>
      </c>
      <c r="D34">
        <f>FX!F33</f>
        <v>1</v>
      </c>
      <c r="E34">
        <v>0</v>
      </c>
      <c r="F34">
        <f t="shared" si="0"/>
        <v>1</v>
      </c>
      <c r="G34">
        <f t="shared" si="1"/>
        <v>1</v>
      </c>
    </row>
    <row r="35" spans="1:9">
      <c r="A35" s="59">
        <v>31413</v>
      </c>
      <c r="B35">
        <f>'Babecky ·et al. (2012)'!B66</f>
        <v>0</v>
      </c>
      <c r="D35">
        <f>FX!F34</f>
        <v>1</v>
      </c>
      <c r="E35">
        <v>0</v>
      </c>
      <c r="F35">
        <f t="shared" si="0"/>
        <v>1</v>
      </c>
      <c r="G35">
        <f t="shared" si="1"/>
        <v>1</v>
      </c>
    </row>
    <row r="36" spans="1:9">
      <c r="A36" s="59">
        <v>31503</v>
      </c>
      <c r="B36">
        <f>'Babecky ·et al. (2012)'!B67</f>
        <v>0</v>
      </c>
      <c r="D36">
        <f>FX!F35</f>
        <v>1</v>
      </c>
      <c r="E36">
        <v>0</v>
      </c>
      <c r="F36">
        <f t="shared" si="0"/>
        <v>1</v>
      </c>
      <c r="G36">
        <f t="shared" si="1"/>
        <v>1</v>
      </c>
    </row>
    <row r="37" spans="1:9">
      <c r="A37" s="59">
        <v>31594</v>
      </c>
      <c r="B37">
        <f>'Babecky ·et al. (2012)'!B68</f>
        <v>0</v>
      </c>
      <c r="D37">
        <f>FX!F36</f>
        <v>1</v>
      </c>
      <c r="E37">
        <v>0</v>
      </c>
      <c r="F37">
        <f t="shared" si="0"/>
        <v>1</v>
      </c>
      <c r="G37">
        <f t="shared" si="1"/>
        <v>1</v>
      </c>
    </row>
    <row r="38" spans="1:9">
      <c r="A38" s="59">
        <v>31686</v>
      </c>
      <c r="B38">
        <f>'Babecky ·et al. (2012)'!B69</f>
        <v>0</v>
      </c>
      <c r="D38">
        <f>FX!F37</f>
        <v>1</v>
      </c>
      <c r="E38">
        <v>0</v>
      </c>
      <c r="F38">
        <f t="shared" si="0"/>
        <v>1</v>
      </c>
      <c r="G38">
        <f t="shared" si="1"/>
        <v>1</v>
      </c>
    </row>
    <row r="39" spans="1:9">
      <c r="A39" s="59">
        <v>31778</v>
      </c>
      <c r="B39">
        <f>'Babecky ·et al. (2012)'!B70</f>
        <v>0</v>
      </c>
      <c r="D39">
        <f>FX!F38</f>
        <v>1</v>
      </c>
      <c r="E39">
        <v>0</v>
      </c>
      <c r="F39">
        <f t="shared" si="0"/>
        <v>1</v>
      </c>
      <c r="G39">
        <f t="shared" si="1"/>
        <v>1</v>
      </c>
    </row>
    <row r="40" spans="1:9">
      <c r="A40" s="59">
        <v>31868</v>
      </c>
      <c r="B40">
        <f>'Babecky ·et al. (2012)'!B71</f>
        <v>0</v>
      </c>
      <c r="D40">
        <f>FX!F39</f>
        <v>1</v>
      </c>
      <c r="E40">
        <v>0</v>
      </c>
      <c r="F40">
        <f t="shared" si="0"/>
        <v>1</v>
      </c>
      <c r="G40">
        <f t="shared" si="1"/>
        <v>1</v>
      </c>
    </row>
    <row r="41" spans="1:9">
      <c r="A41" s="59">
        <v>31959</v>
      </c>
      <c r="B41">
        <f>'Babecky ·et al. (2012)'!B72</f>
        <v>0</v>
      </c>
      <c r="D41">
        <f>FX!F40</f>
        <v>1</v>
      </c>
      <c r="E41">
        <v>0</v>
      </c>
      <c r="F41">
        <f t="shared" si="0"/>
        <v>1</v>
      </c>
      <c r="G41">
        <f t="shared" si="1"/>
        <v>1</v>
      </c>
    </row>
    <row r="42" spans="1:9">
      <c r="A42" s="59">
        <v>32051</v>
      </c>
      <c r="B42">
        <f>'Babecky ·et al. (2012)'!B73</f>
        <v>0</v>
      </c>
      <c r="D42">
        <f>FX!F41</f>
        <v>1</v>
      </c>
      <c r="E42">
        <v>0</v>
      </c>
      <c r="F42">
        <f t="shared" si="0"/>
        <v>1</v>
      </c>
      <c r="G42">
        <f t="shared" si="1"/>
        <v>1</v>
      </c>
    </row>
    <row r="43" spans="1:9">
      <c r="A43" s="59">
        <v>32143</v>
      </c>
      <c r="B43">
        <f>'Babecky ·et al. (2012)'!B74</f>
        <v>0</v>
      </c>
      <c r="D43">
        <f>FX!F42</f>
        <v>1</v>
      </c>
      <c r="E43">
        <v>0</v>
      </c>
      <c r="F43">
        <f t="shared" si="0"/>
        <v>1</v>
      </c>
      <c r="G43">
        <f t="shared" si="1"/>
        <v>1</v>
      </c>
    </row>
    <row r="44" spans="1:9">
      <c r="A44" s="59">
        <v>32234</v>
      </c>
      <c r="B44">
        <f>'Babecky ·et al. (2012)'!B75</f>
        <v>0</v>
      </c>
      <c r="D44">
        <f>FX!F43</f>
        <v>1</v>
      </c>
      <c r="E44">
        <v>0</v>
      </c>
      <c r="F44">
        <f t="shared" si="0"/>
        <v>1</v>
      </c>
      <c r="G44">
        <f t="shared" si="1"/>
        <v>1</v>
      </c>
    </row>
    <row r="45" spans="1:9">
      <c r="A45" s="59">
        <v>32325</v>
      </c>
      <c r="B45">
        <f>'Babecky ·et al. (2012)'!B76</f>
        <v>0</v>
      </c>
      <c r="D45">
        <f>FX!F44</f>
        <v>0</v>
      </c>
      <c r="E45">
        <v>0</v>
      </c>
      <c r="F45">
        <f t="shared" si="0"/>
        <v>0</v>
      </c>
      <c r="G45">
        <f t="shared" si="1"/>
        <v>0</v>
      </c>
    </row>
    <row r="46" spans="1:9">
      <c r="A46" s="59">
        <v>32417</v>
      </c>
      <c r="B46">
        <f>'Babecky ·et al. (2012)'!B77</f>
        <v>0</v>
      </c>
      <c r="D46">
        <f>FX!F45</f>
        <v>0</v>
      </c>
      <c r="E46">
        <v>0</v>
      </c>
      <c r="F46">
        <f t="shared" si="0"/>
        <v>0</v>
      </c>
      <c r="G46">
        <f t="shared" si="1"/>
        <v>0</v>
      </c>
    </row>
    <row r="47" spans="1:9">
      <c r="A47" s="59">
        <v>32509</v>
      </c>
      <c r="B47">
        <f>'Babecky ·et al. (2012)'!B78</f>
        <v>0</v>
      </c>
      <c r="D47">
        <f>FX!F46</f>
        <v>0</v>
      </c>
      <c r="E47">
        <v>0</v>
      </c>
      <c r="F47">
        <f t="shared" si="0"/>
        <v>0</v>
      </c>
      <c r="G47">
        <f t="shared" si="1"/>
        <v>0</v>
      </c>
    </row>
    <row r="48" spans="1:9">
      <c r="A48" s="59">
        <v>32599</v>
      </c>
      <c r="B48">
        <f>'Babecky ·et al. (2012)'!B79</f>
        <v>0</v>
      </c>
      <c r="D48">
        <f>FX!F47</f>
        <v>0</v>
      </c>
      <c r="E48">
        <v>0</v>
      </c>
      <c r="F48">
        <f t="shared" si="0"/>
        <v>0</v>
      </c>
      <c r="G48">
        <f t="shared" si="1"/>
        <v>0</v>
      </c>
    </row>
    <row r="49" spans="1:9">
      <c r="A49" s="59">
        <v>32690</v>
      </c>
      <c r="B49">
        <f>'Babecky ·et al. (2012)'!B80</f>
        <v>0</v>
      </c>
      <c r="D49">
        <f>FX!F48</f>
        <v>0</v>
      </c>
      <c r="E49">
        <v>0</v>
      </c>
      <c r="F49">
        <f t="shared" si="0"/>
        <v>0</v>
      </c>
      <c r="G49">
        <f t="shared" si="1"/>
        <v>0</v>
      </c>
    </row>
    <row r="50" spans="1:9">
      <c r="A50" s="59">
        <v>32782</v>
      </c>
      <c r="B50">
        <f>'Babecky ·et al. (2012)'!B81</f>
        <v>0</v>
      </c>
      <c r="D50">
        <f>FX!F49</f>
        <v>0</v>
      </c>
      <c r="E50">
        <v>0</v>
      </c>
      <c r="F50">
        <f t="shared" si="0"/>
        <v>0</v>
      </c>
      <c r="G50">
        <f t="shared" si="1"/>
        <v>0</v>
      </c>
    </row>
    <row r="51" spans="1:9">
      <c r="A51" s="59">
        <v>32874</v>
      </c>
      <c r="B51">
        <f>'Babecky ·et al. (2012)'!B82</f>
        <v>0</v>
      </c>
      <c r="D51">
        <f>FX!F50</f>
        <v>0</v>
      </c>
      <c r="E51">
        <v>1</v>
      </c>
      <c r="F51">
        <f t="shared" si="0"/>
        <v>0</v>
      </c>
      <c r="G51">
        <f t="shared" si="1"/>
        <v>1</v>
      </c>
      <c r="I51" t="s">
        <v>1450</v>
      </c>
    </row>
    <row r="52" spans="1:9">
      <c r="A52" s="59">
        <v>32964</v>
      </c>
      <c r="B52">
        <f>'Babecky ·et al. (2012)'!B83</f>
        <v>0</v>
      </c>
      <c r="D52">
        <f>FX!F51</f>
        <v>0</v>
      </c>
      <c r="E52">
        <v>1</v>
      </c>
      <c r="F52">
        <f t="shared" si="0"/>
        <v>0</v>
      </c>
      <c r="G52">
        <f t="shared" si="1"/>
        <v>1</v>
      </c>
    </row>
    <row r="53" spans="1:9">
      <c r="A53" s="59">
        <v>33055</v>
      </c>
      <c r="B53">
        <f>'Babecky ·et al. (2012)'!B84</f>
        <v>0</v>
      </c>
      <c r="D53">
        <f>FX!F52</f>
        <v>0</v>
      </c>
      <c r="E53">
        <v>1</v>
      </c>
      <c r="F53">
        <f t="shared" si="0"/>
        <v>0</v>
      </c>
      <c r="G53">
        <f t="shared" si="1"/>
        <v>1</v>
      </c>
    </row>
    <row r="54" spans="1:9">
      <c r="A54" s="59">
        <v>33147</v>
      </c>
      <c r="B54">
        <f>'Babecky ·et al. (2012)'!B85</f>
        <v>0</v>
      </c>
      <c r="D54">
        <f>FX!F53</f>
        <v>0</v>
      </c>
      <c r="E54">
        <v>1</v>
      </c>
      <c r="F54">
        <f t="shared" si="0"/>
        <v>0</v>
      </c>
      <c r="G54">
        <f t="shared" si="1"/>
        <v>1</v>
      </c>
    </row>
    <row r="55" spans="1:9">
      <c r="A55" s="59">
        <v>33239</v>
      </c>
      <c r="B55">
        <f>'Babecky ·et al. (2012)'!B86</f>
        <v>0</v>
      </c>
      <c r="D55">
        <f>FX!F54</f>
        <v>0</v>
      </c>
      <c r="E55">
        <v>0</v>
      </c>
      <c r="F55">
        <f t="shared" si="0"/>
        <v>0</v>
      </c>
      <c r="G55">
        <f t="shared" si="1"/>
        <v>0</v>
      </c>
    </row>
    <row r="56" spans="1:9">
      <c r="A56" s="59">
        <v>33329</v>
      </c>
      <c r="B56">
        <f>'Babecky ·et al. (2012)'!B87</f>
        <v>0</v>
      </c>
      <c r="D56">
        <f>FX!F55</f>
        <v>0</v>
      </c>
      <c r="E56">
        <v>0</v>
      </c>
      <c r="F56">
        <f t="shared" si="0"/>
        <v>0</v>
      </c>
      <c r="G56">
        <f t="shared" si="1"/>
        <v>0</v>
      </c>
    </row>
    <row r="57" spans="1:9">
      <c r="A57" s="59">
        <v>33420</v>
      </c>
      <c r="B57">
        <f>'Babecky ·et al. (2012)'!B88</f>
        <v>0</v>
      </c>
      <c r="D57">
        <f>FX!F56</f>
        <v>0</v>
      </c>
      <c r="E57">
        <v>0</v>
      </c>
      <c r="F57">
        <f t="shared" si="0"/>
        <v>0</v>
      </c>
      <c r="G57">
        <f t="shared" si="1"/>
        <v>0</v>
      </c>
    </row>
    <row r="58" spans="1:9">
      <c r="A58" s="59">
        <v>33512</v>
      </c>
      <c r="B58">
        <f>'Babecky ·et al. (2012)'!B89</f>
        <v>0</v>
      </c>
      <c r="D58">
        <f>FX!F57</f>
        <v>0</v>
      </c>
      <c r="E58">
        <v>0</v>
      </c>
      <c r="F58">
        <f t="shared" si="0"/>
        <v>0</v>
      </c>
      <c r="G58">
        <f t="shared" si="1"/>
        <v>0</v>
      </c>
    </row>
    <row r="59" spans="1:9">
      <c r="A59" s="59">
        <v>33604</v>
      </c>
      <c r="B59">
        <f>'Babecky ·et al. (2012)'!B90</f>
        <v>0</v>
      </c>
      <c r="D59">
        <f>FX!F58</f>
        <v>0</v>
      </c>
      <c r="E59">
        <v>0</v>
      </c>
      <c r="F59">
        <f t="shared" si="0"/>
        <v>0</v>
      </c>
      <c r="G59">
        <f t="shared" si="1"/>
        <v>0</v>
      </c>
    </row>
    <row r="60" spans="1:9">
      <c r="A60" s="59">
        <v>33695</v>
      </c>
      <c r="B60">
        <f>'Babecky ·et al. (2012)'!B91</f>
        <v>0</v>
      </c>
      <c r="D60">
        <f>FX!F59</f>
        <v>0</v>
      </c>
      <c r="E60">
        <v>0</v>
      </c>
      <c r="F60">
        <f t="shared" si="0"/>
        <v>0</v>
      </c>
      <c r="G60">
        <f t="shared" si="1"/>
        <v>0</v>
      </c>
    </row>
    <row r="61" spans="1:9">
      <c r="A61" s="59">
        <v>33786</v>
      </c>
      <c r="B61">
        <f>'Babecky ·et al. (2012)'!B92</f>
        <v>0</v>
      </c>
      <c r="D61">
        <f>FX!F60</f>
        <v>0</v>
      </c>
      <c r="E61">
        <v>0</v>
      </c>
      <c r="F61">
        <f t="shared" si="0"/>
        <v>0</v>
      </c>
      <c r="G61">
        <f t="shared" si="1"/>
        <v>0</v>
      </c>
    </row>
    <row r="62" spans="1:9">
      <c r="A62" s="59">
        <v>33878</v>
      </c>
      <c r="B62">
        <f>'Babecky ·et al. (2012)'!B93</f>
        <v>0</v>
      </c>
      <c r="D62">
        <f>FX!F61</f>
        <v>0</v>
      </c>
      <c r="E62">
        <v>0</v>
      </c>
      <c r="F62">
        <f t="shared" si="0"/>
        <v>0</v>
      </c>
      <c r="G62">
        <f t="shared" si="1"/>
        <v>0</v>
      </c>
    </row>
    <row r="63" spans="1:9">
      <c r="A63" s="59">
        <v>33970</v>
      </c>
      <c r="B63">
        <f>'Babecky ·et al. (2012)'!B94</f>
        <v>0</v>
      </c>
      <c r="D63">
        <f>FX!F62</f>
        <v>0</v>
      </c>
      <c r="E63">
        <v>0</v>
      </c>
      <c r="F63">
        <f t="shared" si="0"/>
        <v>0</v>
      </c>
      <c r="G63">
        <f t="shared" si="1"/>
        <v>0</v>
      </c>
    </row>
    <row r="64" spans="1:9">
      <c r="A64" s="59">
        <v>34060</v>
      </c>
      <c r="B64">
        <f>'Babecky ·et al. (2012)'!B95</f>
        <v>0</v>
      </c>
      <c r="D64">
        <f>FX!F63</f>
        <v>0</v>
      </c>
      <c r="E64">
        <v>0</v>
      </c>
      <c r="F64">
        <f t="shared" si="0"/>
        <v>0</v>
      </c>
      <c r="G64">
        <f t="shared" si="1"/>
        <v>0</v>
      </c>
    </row>
    <row r="65" spans="1:7">
      <c r="A65" s="59">
        <v>34151</v>
      </c>
      <c r="B65">
        <f>'Babecky ·et al. (2012)'!B96</f>
        <v>0</v>
      </c>
      <c r="D65">
        <f>FX!F64</f>
        <v>0</v>
      </c>
      <c r="E65">
        <v>0</v>
      </c>
      <c r="F65">
        <f t="shared" si="0"/>
        <v>0</v>
      </c>
      <c r="G65">
        <f t="shared" si="1"/>
        <v>0</v>
      </c>
    </row>
    <row r="66" spans="1:7">
      <c r="A66" s="59">
        <v>34243</v>
      </c>
      <c r="B66">
        <f>'Babecky ·et al. (2012)'!B97</f>
        <v>0</v>
      </c>
      <c r="D66">
        <f>FX!F65</f>
        <v>0</v>
      </c>
      <c r="E66">
        <v>0</v>
      </c>
      <c r="F66">
        <f t="shared" si="0"/>
        <v>0</v>
      </c>
      <c r="G66">
        <f t="shared" si="1"/>
        <v>0</v>
      </c>
    </row>
    <row r="67" spans="1:7">
      <c r="A67" s="59">
        <v>34335</v>
      </c>
      <c r="B67">
        <f>'Babecky ·et al. (2012)'!B98</f>
        <v>0</v>
      </c>
      <c r="D67">
        <f>FX!F66</f>
        <v>0</v>
      </c>
      <c r="E67">
        <v>0</v>
      </c>
      <c r="F67">
        <f t="shared" si="0"/>
        <v>0</v>
      </c>
      <c r="G67">
        <f t="shared" ref="G67:G130" si="2">+IF(SUM(B67:E67)=0,0,1)</f>
        <v>0</v>
      </c>
    </row>
    <row r="68" spans="1:7">
      <c r="A68" s="59">
        <v>34425</v>
      </c>
      <c r="B68">
        <f>'Babecky ·et al. (2012)'!B99</f>
        <v>0</v>
      </c>
      <c r="D68">
        <f>FX!F67</f>
        <v>0</v>
      </c>
      <c r="E68">
        <v>0</v>
      </c>
      <c r="F68">
        <f t="shared" ref="F68:F131" si="3">+IF(SUM(B68:D68)=0,0,1)</f>
        <v>0</v>
      </c>
      <c r="G68">
        <f t="shared" si="2"/>
        <v>0</v>
      </c>
    </row>
    <row r="69" spans="1:7">
      <c r="A69" s="59">
        <v>34516</v>
      </c>
      <c r="B69">
        <f>'Babecky ·et al. (2012)'!B100</f>
        <v>0</v>
      </c>
      <c r="D69">
        <f>FX!F68</f>
        <v>0</v>
      </c>
      <c r="E69">
        <v>0</v>
      </c>
      <c r="F69">
        <f t="shared" si="3"/>
        <v>0</v>
      </c>
      <c r="G69">
        <f t="shared" si="2"/>
        <v>0</v>
      </c>
    </row>
    <row r="70" spans="1:7">
      <c r="A70" s="59">
        <v>34608</v>
      </c>
      <c r="B70">
        <f>'Babecky ·et al. (2012)'!B101</f>
        <v>0</v>
      </c>
      <c r="D70">
        <f>FX!F69</f>
        <v>0</v>
      </c>
      <c r="E70">
        <v>0</v>
      </c>
      <c r="F70">
        <f t="shared" si="3"/>
        <v>0</v>
      </c>
      <c r="G70">
        <f t="shared" si="2"/>
        <v>0</v>
      </c>
    </row>
    <row r="71" spans="1:7">
      <c r="A71" s="59">
        <v>34700</v>
      </c>
      <c r="B71">
        <f>'Babecky ·et al. (2012)'!B102</f>
        <v>0</v>
      </c>
      <c r="D71">
        <f>FX!F70</f>
        <v>0</v>
      </c>
      <c r="E71">
        <v>0</v>
      </c>
      <c r="F71">
        <f t="shared" si="3"/>
        <v>0</v>
      </c>
      <c r="G71">
        <f t="shared" si="2"/>
        <v>0</v>
      </c>
    </row>
    <row r="72" spans="1:7">
      <c r="A72" s="59">
        <v>34790</v>
      </c>
      <c r="B72">
        <f>'Babecky ·et al. (2012)'!B103</f>
        <v>0</v>
      </c>
      <c r="D72">
        <f>FX!F71</f>
        <v>0</v>
      </c>
      <c r="E72">
        <v>0</v>
      </c>
      <c r="F72">
        <f t="shared" si="3"/>
        <v>0</v>
      </c>
      <c r="G72">
        <f t="shared" si="2"/>
        <v>0</v>
      </c>
    </row>
    <row r="73" spans="1:7">
      <c r="A73" s="59">
        <v>34881</v>
      </c>
      <c r="B73">
        <f>'Babecky ·et al. (2012)'!B104</f>
        <v>0</v>
      </c>
      <c r="D73">
        <f>FX!F72</f>
        <v>0</v>
      </c>
      <c r="E73">
        <v>0</v>
      </c>
      <c r="F73">
        <f t="shared" si="3"/>
        <v>0</v>
      </c>
      <c r="G73">
        <f t="shared" si="2"/>
        <v>0</v>
      </c>
    </row>
    <row r="74" spans="1:7">
      <c r="A74" s="59">
        <v>34973</v>
      </c>
      <c r="B74">
        <f>'Babecky ·et al. (2012)'!B105</f>
        <v>0</v>
      </c>
      <c r="D74">
        <f>FX!F73</f>
        <v>0</v>
      </c>
      <c r="E74">
        <v>0</v>
      </c>
      <c r="F74">
        <f t="shared" si="3"/>
        <v>0</v>
      </c>
      <c r="G74">
        <f t="shared" si="2"/>
        <v>0</v>
      </c>
    </row>
    <row r="75" spans="1:7">
      <c r="A75" s="59">
        <v>35065</v>
      </c>
      <c r="B75">
        <f>'Babecky ·et al. (2012)'!B106</f>
        <v>0</v>
      </c>
      <c r="D75">
        <f>FX!F74</f>
        <v>0</v>
      </c>
      <c r="E75">
        <v>0</v>
      </c>
      <c r="F75">
        <f t="shared" si="3"/>
        <v>0</v>
      </c>
      <c r="G75">
        <f t="shared" si="2"/>
        <v>0</v>
      </c>
    </row>
    <row r="76" spans="1:7">
      <c r="A76" s="59">
        <v>35156</v>
      </c>
      <c r="B76">
        <f>'Babecky ·et al. (2012)'!B107</f>
        <v>0</v>
      </c>
      <c r="D76">
        <f>FX!F75</f>
        <v>0</v>
      </c>
      <c r="E76">
        <v>0</v>
      </c>
      <c r="F76">
        <f t="shared" si="3"/>
        <v>0</v>
      </c>
      <c r="G76">
        <f t="shared" si="2"/>
        <v>0</v>
      </c>
    </row>
    <row r="77" spans="1:7">
      <c r="A77" s="59">
        <v>35247</v>
      </c>
      <c r="B77">
        <f>'Babecky ·et al. (2012)'!B108</f>
        <v>0</v>
      </c>
      <c r="D77">
        <f>FX!F76</f>
        <v>0</v>
      </c>
      <c r="E77">
        <v>0</v>
      </c>
      <c r="F77">
        <f t="shared" si="3"/>
        <v>0</v>
      </c>
      <c r="G77">
        <f t="shared" si="2"/>
        <v>0</v>
      </c>
    </row>
    <row r="78" spans="1:7">
      <c r="A78" s="59">
        <v>35339</v>
      </c>
      <c r="B78">
        <f>'Babecky ·et al. (2012)'!B109</f>
        <v>0</v>
      </c>
      <c r="D78">
        <f>FX!F77</f>
        <v>0</v>
      </c>
      <c r="E78">
        <v>0</v>
      </c>
      <c r="F78">
        <f t="shared" si="3"/>
        <v>0</v>
      </c>
      <c r="G78">
        <f t="shared" si="2"/>
        <v>0</v>
      </c>
    </row>
    <row r="79" spans="1:7">
      <c r="A79" s="59">
        <v>35431</v>
      </c>
      <c r="B79">
        <f>'Babecky ·et al. (2012)'!B110</f>
        <v>0</v>
      </c>
      <c r="D79">
        <f>FX!F78</f>
        <v>0</v>
      </c>
      <c r="E79">
        <v>0</v>
      </c>
      <c r="F79">
        <f t="shared" si="3"/>
        <v>0</v>
      </c>
      <c r="G79">
        <f t="shared" si="2"/>
        <v>0</v>
      </c>
    </row>
    <row r="80" spans="1:7">
      <c r="A80" s="59">
        <v>35521</v>
      </c>
      <c r="B80">
        <f>'Babecky ·et al. (2012)'!B111</f>
        <v>0</v>
      </c>
      <c r="D80">
        <f>FX!F79</f>
        <v>0</v>
      </c>
      <c r="E80">
        <v>0</v>
      </c>
      <c r="F80">
        <f t="shared" si="3"/>
        <v>0</v>
      </c>
      <c r="G80">
        <f t="shared" si="2"/>
        <v>0</v>
      </c>
    </row>
    <row r="81" spans="1:7">
      <c r="A81" s="59">
        <v>35612</v>
      </c>
      <c r="B81">
        <f>'Babecky ·et al. (2012)'!B112</f>
        <v>0</v>
      </c>
      <c r="D81">
        <f>FX!F80</f>
        <v>0</v>
      </c>
      <c r="E81">
        <v>0</v>
      </c>
      <c r="F81">
        <f t="shared" si="3"/>
        <v>0</v>
      </c>
      <c r="G81">
        <f t="shared" si="2"/>
        <v>0</v>
      </c>
    </row>
    <row r="82" spans="1:7">
      <c r="A82" s="59">
        <v>35704</v>
      </c>
      <c r="B82">
        <f>'Babecky ·et al. (2012)'!B113</f>
        <v>0</v>
      </c>
      <c r="D82">
        <f>FX!F81</f>
        <v>0</v>
      </c>
      <c r="E82">
        <v>0</v>
      </c>
      <c r="F82">
        <f t="shared" si="3"/>
        <v>0</v>
      </c>
      <c r="G82">
        <f t="shared" si="2"/>
        <v>0</v>
      </c>
    </row>
    <row r="83" spans="1:7">
      <c r="A83" s="59">
        <v>35796</v>
      </c>
      <c r="B83">
        <f>'Babecky ·et al. (2012)'!B114</f>
        <v>0</v>
      </c>
      <c r="D83">
        <f>FX!F82</f>
        <v>0</v>
      </c>
      <c r="E83">
        <v>0</v>
      </c>
      <c r="F83">
        <f t="shared" si="3"/>
        <v>0</v>
      </c>
      <c r="G83">
        <f t="shared" si="2"/>
        <v>0</v>
      </c>
    </row>
    <row r="84" spans="1:7">
      <c r="A84" s="59">
        <v>35886</v>
      </c>
      <c r="B84">
        <f>'Babecky ·et al. (2012)'!B115</f>
        <v>0</v>
      </c>
      <c r="D84">
        <f>FX!F83</f>
        <v>0</v>
      </c>
      <c r="E84">
        <v>0</v>
      </c>
      <c r="F84">
        <f t="shared" si="3"/>
        <v>0</v>
      </c>
      <c r="G84">
        <f t="shared" si="2"/>
        <v>0</v>
      </c>
    </row>
    <row r="85" spans="1:7">
      <c r="A85" s="59">
        <v>35977</v>
      </c>
      <c r="B85">
        <f>'Babecky ·et al. (2012)'!B116</f>
        <v>0</v>
      </c>
      <c r="D85">
        <f>FX!F84</f>
        <v>0</v>
      </c>
      <c r="E85">
        <v>0</v>
      </c>
      <c r="F85">
        <f t="shared" si="3"/>
        <v>0</v>
      </c>
      <c r="G85">
        <f t="shared" si="2"/>
        <v>0</v>
      </c>
    </row>
    <row r="86" spans="1:7">
      <c r="A86" s="59">
        <v>36069</v>
      </c>
      <c r="B86">
        <f>'Babecky ·et al. (2012)'!B117</f>
        <v>0</v>
      </c>
      <c r="D86">
        <f>FX!F85</f>
        <v>0</v>
      </c>
      <c r="E86">
        <v>0</v>
      </c>
      <c r="F86">
        <f t="shared" si="3"/>
        <v>0</v>
      </c>
      <c r="G86">
        <f t="shared" si="2"/>
        <v>0</v>
      </c>
    </row>
    <row r="87" spans="1:7">
      <c r="A87" s="59">
        <v>36161</v>
      </c>
      <c r="B87">
        <f>'Babecky ·et al. (2012)'!B118</f>
        <v>0</v>
      </c>
      <c r="D87">
        <f>FX!F86</f>
        <v>0</v>
      </c>
      <c r="E87">
        <v>0</v>
      </c>
      <c r="F87">
        <f t="shared" si="3"/>
        <v>0</v>
      </c>
      <c r="G87">
        <f t="shared" si="2"/>
        <v>0</v>
      </c>
    </row>
    <row r="88" spans="1:7">
      <c r="A88" s="59">
        <v>36251</v>
      </c>
      <c r="B88">
        <f>'Babecky ·et al. (2012)'!B119</f>
        <v>0</v>
      </c>
      <c r="D88">
        <f>FX!F87</f>
        <v>0</v>
      </c>
      <c r="E88">
        <v>0</v>
      </c>
      <c r="F88">
        <f t="shared" si="3"/>
        <v>0</v>
      </c>
      <c r="G88">
        <f t="shared" si="2"/>
        <v>0</v>
      </c>
    </row>
    <row r="89" spans="1:7">
      <c r="A89" s="59">
        <v>36342</v>
      </c>
      <c r="B89">
        <f>'Babecky ·et al. (2012)'!B120</f>
        <v>0</v>
      </c>
      <c r="D89">
        <f>FX!F88</f>
        <v>0</v>
      </c>
      <c r="E89">
        <v>0</v>
      </c>
      <c r="F89">
        <f t="shared" si="3"/>
        <v>0</v>
      </c>
      <c r="G89">
        <f t="shared" si="2"/>
        <v>0</v>
      </c>
    </row>
    <row r="90" spans="1:7">
      <c r="A90" s="59">
        <v>36434</v>
      </c>
      <c r="B90">
        <f>'Babecky ·et al. (2012)'!B121</f>
        <v>0</v>
      </c>
      <c r="D90">
        <f>FX!F89</f>
        <v>0</v>
      </c>
      <c r="E90">
        <v>0</v>
      </c>
      <c r="F90">
        <f t="shared" si="3"/>
        <v>0</v>
      </c>
      <c r="G90">
        <f t="shared" si="2"/>
        <v>0</v>
      </c>
    </row>
    <row r="91" spans="1:7">
      <c r="A91" s="59">
        <v>36526</v>
      </c>
      <c r="B91">
        <f>'Babecky ·et al. (2012)'!B122</f>
        <v>0</v>
      </c>
      <c r="D91">
        <f>FX!F90</f>
        <v>0</v>
      </c>
      <c r="E91">
        <v>0</v>
      </c>
      <c r="F91">
        <f t="shared" si="3"/>
        <v>0</v>
      </c>
      <c r="G91">
        <f t="shared" si="2"/>
        <v>0</v>
      </c>
    </row>
    <row r="92" spans="1:7">
      <c r="A92" s="59">
        <v>36617</v>
      </c>
      <c r="B92">
        <f>'Babecky ·et al. (2012)'!B123</f>
        <v>0</v>
      </c>
      <c r="D92">
        <f>FX!F91</f>
        <v>0</v>
      </c>
      <c r="E92">
        <v>0</v>
      </c>
      <c r="F92">
        <f t="shared" si="3"/>
        <v>0</v>
      </c>
      <c r="G92">
        <f t="shared" si="2"/>
        <v>0</v>
      </c>
    </row>
    <row r="93" spans="1:7">
      <c r="A93" s="59">
        <v>36708</v>
      </c>
      <c r="B93">
        <f>'Babecky ·et al. (2012)'!B124</f>
        <v>0</v>
      </c>
      <c r="D93">
        <f>FX!F92</f>
        <v>0</v>
      </c>
      <c r="E93">
        <v>0</v>
      </c>
      <c r="F93">
        <f t="shared" si="3"/>
        <v>0</v>
      </c>
      <c r="G93">
        <f t="shared" si="2"/>
        <v>0</v>
      </c>
    </row>
    <row r="94" spans="1:7">
      <c r="A94" s="59">
        <v>36800</v>
      </c>
      <c r="B94">
        <f>'Babecky ·et al. (2012)'!B125</f>
        <v>0</v>
      </c>
      <c r="D94">
        <f>FX!F93</f>
        <v>0</v>
      </c>
      <c r="E94">
        <v>0</v>
      </c>
      <c r="F94">
        <f t="shared" si="3"/>
        <v>0</v>
      </c>
      <c r="G94">
        <f t="shared" si="2"/>
        <v>0</v>
      </c>
    </row>
    <row r="95" spans="1:7">
      <c r="A95" s="59">
        <v>36892</v>
      </c>
      <c r="B95">
        <f>'Babecky ·et al. (2012)'!B126</f>
        <v>0</v>
      </c>
      <c r="D95">
        <f>FX!F94</f>
        <v>0</v>
      </c>
      <c r="E95">
        <v>0</v>
      </c>
      <c r="F95">
        <f t="shared" si="3"/>
        <v>0</v>
      </c>
      <c r="G95">
        <f t="shared" si="2"/>
        <v>0</v>
      </c>
    </row>
    <row r="96" spans="1:7">
      <c r="A96" s="59">
        <v>36982</v>
      </c>
      <c r="B96">
        <f>'Babecky ·et al. (2012)'!B127</f>
        <v>0</v>
      </c>
      <c r="D96">
        <f>FX!F95</f>
        <v>0</v>
      </c>
      <c r="E96">
        <v>0</v>
      </c>
      <c r="F96">
        <f t="shared" si="3"/>
        <v>0</v>
      </c>
      <c r="G96">
        <f t="shared" si="2"/>
        <v>0</v>
      </c>
    </row>
    <row r="97" spans="1:7">
      <c r="A97" s="59">
        <v>37073</v>
      </c>
      <c r="B97">
        <f>'Babecky ·et al. (2012)'!B128</f>
        <v>0</v>
      </c>
      <c r="D97">
        <f>FX!F96</f>
        <v>0</v>
      </c>
      <c r="E97">
        <v>0</v>
      </c>
      <c r="F97">
        <f t="shared" si="3"/>
        <v>0</v>
      </c>
      <c r="G97">
        <f t="shared" si="2"/>
        <v>0</v>
      </c>
    </row>
    <row r="98" spans="1:7">
      <c r="A98" s="60">
        <v>37165</v>
      </c>
      <c r="B98">
        <f>'Babecky ·et al. (2012)'!B129</f>
        <v>0</v>
      </c>
      <c r="D98">
        <f>FX!F97</f>
        <v>0</v>
      </c>
      <c r="E98">
        <v>0</v>
      </c>
      <c r="F98">
        <f t="shared" si="3"/>
        <v>0</v>
      </c>
      <c r="G98">
        <f t="shared" si="2"/>
        <v>0</v>
      </c>
    </row>
    <row r="99" spans="1:7">
      <c r="A99" s="59">
        <v>37257</v>
      </c>
      <c r="B99">
        <f>'Babecky ·et al. (2012)'!B130</f>
        <v>0</v>
      </c>
      <c r="D99">
        <f>FX!F98</f>
        <v>0</v>
      </c>
      <c r="E99">
        <v>0</v>
      </c>
      <c r="F99">
        <f t="shared" si="3"/>
        <v>0</v>
      </c>
      <c r="G99">
        <f t="shared" si="2"/>
        <v>0</v>
      </c>
    </row>
    <row r="100" spans="1:7">
      <c r="A100" s="59">
        <v>37347</v>
      </c>
      <c r="B100">
        <f>'Babecky ·et al. (2012)'!B131</f>
        <v>0</v>
      </c>
      <c r="D100">
        <f>FX!F99</f>
        <v>0</v>
      </c>
      <c r="E100">
        <v>0</v>
      </c>
      <c r="F100">
        <f t="shared" si="3"/>
        <v>0</v>
      </c>
      <c r="G100">
        <f t="shared" si="2"/>
        <v>0</v>
      </c>
    </row>
    <row r="101" spans="1:7">
      <c r="A101" s="59">
        <v>37438</v>
      </c>
      <c r="B101">
        <f>'Babecky ·et al. (2012)'!B132</f>
        <v>0</v>
      </c>
      <c r="D101">
        <f>FX!F100</f>
        <v>0</v>
      </c>
      <c r="E101">
        <v>0</v>
      </c>
      <c r="F101">
        <f t="shared" si="3"/>
        <v>0</v>
      </c>
      <c r="G101">
        <f t="shared" si="2"/>
        <v>0</v>
      </c>
    </row>
    <row r="102" spans="1:7">
      <c r="A102" s="59">
        <v>37530</v>
      </c>
      <c r="B102">
        <f>'Babecky ·et al. (2012)'!B133</f>
        <v>0</v>
      </c>
      <c r="D102">
        <f>FX!F101</f>
        <v>0</v>
      </c>
      <c r="E102">
        <v>0</v>
      </c>
      <c r="F102">
        <f t="shared" si="3"/>
        <v>0</v>
      </c>
      <c r="G102">
        <f t="shared" si="2"/>
        <v>0</v>
      </c>
    </row>
    <row r="103" spans="1:7">
      <c r="A103" s="59">
        <v>37622</v>
      </c>
      <c r="B103">
        <f>'Babecky ·et al. (2012)'!B134</f>
        <v>0</v>
      </c>
      <c r="D103">
        <f>FX!F102</f>
        <v>0</v>
      </c>
      <c r="E103">
        <v>0</v>
      </c>
      <c r="F103">
        <f t="shared" si="3"/>
        <v>0</v>
      </c>
      <c r="G103">
        <f t="shared" si="2"/>
        <v>0</v>
      </c>
    </row>
    <row r="104" spans="1:7">
      <c r="A104" s="59">
        <v>37712</v>
      </c>
      <c r="B104">
        <f>'Babecky ·et al. (2012)'!B135</f>
        <v>0</v>
      </c>
      <c r="D104">
        <f>FX!F103</f>
        <v>0</v>
      </c>
      <c r="E104">
        <v>0</v>
      </c>
      <c r="F104">
        <f t="shared" si="3"/>
        <v>0</v>
      </c>
      <c r="G104">
        <f t="shared" si="2"/>
        <v>0</v>
      </c>
    </row>
    <row r="105" spans="1:7">
      <c r="A105" s="59">
        <v>37803</v>
      </c>
      <c r="B105">
        <f>'Babecky ·et al. (2012)'!B136</f>
        <v>0</v>
      </c>
      <c r="D105">
        <f>FX!F104</f>
        <v>0</v>
      </c>
      <c r="E105">
        <v>0</v>
      </c>
      <c r="F105">
        <f t="shared" si="3"/>
        <v>0</v>
      </c>
      <c r="G105">
        <f t="shared" si="2"/>
        <v>0</v>
      </c>
    </row>
    <row r="106" spans="1:7">
      <c r="A106" s="59">
        <v>37895</v>
      </c>
      <c r="B106">
        <f>'Babecky ·et al. (2012)'!B137</f>
        <v>0</v>
      </c>
      <c r="D106">
        <f>FX!F105</f>
        <v>0</v>
      </c>
      <c r="E106">
        <v>0</v>
      </c>
      <c r="F106">
        <f t="shared" si="3"/>
        <v>0</v>
      </c>
      <c r="G106">
        <f t="shared" si="2"/>
        <v>0</v>
      </c>
    </row>
    <row r="107" spans="1:7">
      <c r="A107" s="59">
        <v>37987</v>
      </c>
      <c r="B107">
        <f>'Babecky ·et al. (2012)'!B138</f>
        <v>0</v>
      </c>
      <c r="D107">
        <f>FX!F106</f>
        <v>0</v>
      </c>
      <c r="E107">
        <v>0</v>
      </c>
      <c r="F107">
        <f t="shared" si="3"/>
        <v>0</v>
      </c>
      <c r="G107">
        <f t="shared" si="2"/>
        <v>0</v>
      </c>
    </row>
    <row r="108" spans="1:7">
      <c r="A108" s="59">
        <v>38078</v>
      </c>
      <c r="B108">
        <f>'Babecky ·et al. (2012)'!B139</f>
        <v>0</v>
      </c>
      <c r="D108">
        <f>FX!F107</f>
        <v>0</v>
      </c>
      <c r="E108">
        <v>0</v>
      </c>
      <c r="F108">
        <f t="shared" si="3"/>
        <v>0</v>
      </c>
      <c r="G108">
        <f t="shared" si="2"/>
        <v>0</v>
      </c>
    </row>
    <row r="109" spans="1:7">
      <c r="A109" s="59">
        <v>38169</v>
      </c>
      <c r="B109">
        <f>'Babecky ·et al. (2012)'!B140</f>
        <v>0</v>
      </c>
      <c r="D109">
        <f>FX!F108</f>
        <v>0</v>
      </c>
      <c r="E109">
        <v>0</v>
      </c>
      <c r="F109">
        <f t="shared" si="3"/>
        <v>0</v>
      </c>
      <c r="G109">
        <f t="shared" si="2"/>
        <v>0</v>
      </c>
    </row>
    <row r="110" spans="1:7">
      <c r="A110" s="59">
        <v>38261</v>
      </c>
      <c r="B110">
        <f>'Babecky ·et al. (2012)'!B141</f>
        <v>0</v>
      </c>
      <c r="D110">
        <f>FX!F109</f>
        <v>0</v>
      </c>
      <c r="E110">
        <v>0</v>
      </c>
      <c r="F110">
        <f t="shared" si="3"/>
        <v>0</v>
      </c>
      <c r="G110">
        <f t="shared" si="2"/>
        <v>0</v>
      </c>
    </row>
    <row r="111" spans="1:7">
      <c r="A111" s="59">
        <v>38353</v>
      </c>
      <c r="B111">
        <f>'Babecky ·et al. (2012)'!B142</f>
        <v>0</v>
      </c>
      <c r="D111">
        <f>FX!F110</f>
        <v>0</v>
      </c>
      <c r="E111">
        <v>0</v>
      </c>
      <c r="F111">
        <f t="shared" si="3"/>
        <v>0</v>
      </c>
      <c r="G111">
        <f t="shared" si="2"/>
        <v>0</v>
      </c>
    </row>
    <row r="112" spans="1:7">
      <c r="A112" s="59">
        <v>38443</v>
      </c>
      <c r="B112">
        <f>'Babecky ·et al. (2012)'!B143</f>
        <v>0</v>
      </c>
      <c r="D112">
        <f>FX!F111</f>
        <v>0</v>
      </c>
      <c r="E112">
        <v>0</v>
      </c>
      <c r="F112">
        <f t="shared" si="3"/>
        <v>0</v>
      </c>
      <c r="G112">
        <f t="shared" si="2"/>
        <v>0</v>
      </c>
    </row>
    <row r="113" spans="1:9">
      <c r="A113" s="59">
        <v>38534</v>
      </c>
      <c r="B113">
        <f>'Babecky ·et al. (2012)'!B144</f>
        <v>0</v>
      </c>
      <c r="D113">
        <f>FX!F112</f>
        <v>0</v>
      </c>
      <c r="E113">
        <v>0</v>
      </c>
      <c r="F113">
        <f t="shared" si="3"/>
        <v>0</v>
      </c>
      <c r="G113">
        <f t="shared" si="2"/>
        <v>0</v>
      </c>
    </row>
    <row r="114" spans="1:9">
      <c r="A114" s="59">
        <v>38626</v>
      </c>
      <c r="B114">
        <f>'Babecky ·et al. (2012)'!B145</f>
        <v>0</v>
      </c>
      <c r="D114">
        <f>FX!F113</f>
        <v>0</v>
      </c>
      <c r="E114">
        <v>0</v>
      </c>
      <c r="F114">
        <f t="shared" si="3"/>
        <v>0</v>
      </c>
      <c r="G114">
        <f t="shared" si="2"/>
        <v>0</v>
      </c>
    </row>
    <row r="115" spans="1:9">
      <c r="A115" s="59">
        <v>38718</v>
      </c>
      <c r="B115">
        <f>'Babecky ·et al. (2012)'!B146</f>
        <v>0</v>
      </c>
      <c r="D115">
        <f>FX!F114</f>
        <v>0</v>
      </c>
      <c r="E115">
        <v>0</v>
      </c>
      <c r="F115">
        <f t="shared" si="3"/>
        <v>0</v>
      </c>
      <c r="G115">
        <f t="shared" si="2"/>
        <v>0</v>
      </c>
    </row>
    <row r="116" spans="1:9">
      <c r="A116" s="59">
        <v>38808</v>
      </c>
      <c r="B116">
        <f>'Babecky ·et al. (2012)'!B147</f>
        <v>0</v>
      </c>
      <c r="D116">
        <f>FX!F115</f>
        <v>0</v>
      </c>
      <c r="E116">
        <v>0</v>
      </c>
      <c r="F116">
        <f t="shared" si="3"/>
        <v>0</v>
      </c>
      <c r="G116">
        <f t="shared" si="2"/>
        <v>0</v>
      </c>
    </row>
    <row r="117" spans="1:9">
      <c r="A117" s="59">
        <v>38899</v>
      </c>
      <c r="B117">
        <f>'Babecky ·et al. (2012)'!B148</f>
        <v>0</v>
      </c>
      <c r="D117">
        <f>FX!F116</f>
        <v>0</v>
      </c>
      <c r="E117">
        <v>0</v>
      </c>
      <c r="F117">
        <f t="shared" si="3"/>
        <v>0</v>
      </c>
      <c r="G117">
        <f t="shared" si="2"/>
        <v>0</v>
      </c>
    </row>
    <row r="118" spans="1:9">
      <c r="A118" s="59">
        <v>38991</v>
      </c>
      <c r="B118">
        <f>'Babecky ·et al. (2012)'!B149</f>
        <v>0</v>
      </c>
      <c r="D118">
        <f>FX!F117</f>
        <v>0</v>
      </c>
      <c r="E118">
        <v>0</v>
      </c>
      <c r="F118">
        <f t="shared" si="3"/>
        <v>0</v>
      </c>
      <c r="G118">
        <f t="shared" si="2"/>
        <v>0</v>
      </c>
    </row>
    <row r="119" spans="1:9">
      <c r="A119" s="59">
        <v>39083</v>
      </c>
      <c r="B119">
        <f>'Babecky ·et al. (2012)'!B150</f>
        <v>0</v>
      </c>
      <c r="D119">
        <f>FX!F118</f>
        <v>0</v>
      </c>
      <c r="E119">
        <v>0</v>
      </c>
      <c r="F119">
        <f t="shared" si="3"/>
        <v>0</v>
      </c>
      <c r="G119">
        <f t="shared" si="2"/>
        <v>0</v>
      </c>
    </row>
    <row r="120" spans="1:9">
      <c r="A120" s="59">
        <v>39173</v>
      </c>
      <c r="B120">
        <f>'Babecky ·et al. (2012)'!B151</f>
        <v>0</v>
      </c>
      <c r="D120">
        <f>FX!F119</f>
        <v>0</v>
      </c>
      <c r="E120">
        <v>0</v>
      </c>
      <c r="F120">
        <f t="shared" si="3"/>
        <v>0</v>
      </c>
      <c r="G120">
        <f t="shared" si="2"/>
        <v>0</v>
      </c>
    </row>
    <row r="121" spans="1:9">
      <c r="A121" s="59">
        <v>39264</v>
      </c>
      <c r="B121">
        <f>'Babecky ·et al. (2012)'!B152</f>
        <v>0</v>
      </c>
      <c r="D121">
        <f>FX!F120</f>
        <v>0</v>
      </c>
      <c r="E121">
        <v>0</v>
      </c>
      <c r="F121">
        <f t="shared" si="3"/>
        <v>0</v>
      </c>
      <c r="G121">
        <f t="shared" si="2"/>
        <v>0</v>
      </c>
    </row>
    <row r="122" spans="1:9">
      <c r="A122" s="59">
        <v>39356</v>
      </c>
      <c r="B122">
        <f>'Babecky ·et al. (2012)'!B153</f>
        <v>0</v>
      </c>
      <c r="D122">
        <f>FX!F121</f>
        <v>0</v>
      </c>
      <c r="E122">
        <v>0</v>
      </c>
      <c r="F122">
        <f t="shared" si="3"/>
        <v>0</v>
      </c>
      <c r="G122">
        <f t="shared" si="2"/>
        <v>0</v>
      </c>
    </row>
    <row r="123" spans="1:9">
      <c r="A123" s="59">
        <v>39448</v>
      </c>
      <c r="B123">
        <f>'Babecky ·et al. (2012)'!B154</f>
        <v>1</v>
      </c>
      <c r="C123">
        <v>1</v>
      </c>
      <c r="D123">
        <f>FX!F122</f>
        <v>0</v>
      </c>
      <c r="E123">
        <v>0</v>
      </c>
      <c r="F123">
        <f>+IF(SUM(B123:D123)=0,0,1)</f>
        <v>1</v>
      </c>
      <c r="G123">
        <f t="shared" si="2"/>
        <v>1</v>
      </c>
      <c r="I123" t="s">
        <v>1445</v>
      </c>
    </row>
    <row r="124" spans="1:9">
      <c r="A124" s="59">
        <v>39539</v>
      </c>
      <c r="B124">
        <f>'Babecky ·et al. (2012)'!B155</f>
        <v>1</v>
      </c>
      <c r="C124">
        <v>1</v>
      </c>
      <c r="D124">
        <f>FX!F123</f>
        <v>0</v>
      </c>
      <c r="E124">
        <v>0</v>
      </c>
      <c r="F124">
        <f t="shared" si="3"/>
        <v>1</v>
      </c>
      <c r="G124">
        <f t="shared" si="2"/>
        <v>1</v>
      </c>
    </row>
    <row r="125" spans="1:9">
      <c r="A125" s="59">
        <v>39630</v>
      </c>
      <c r="B125">
        <f>'Babecky ·et al. (2012)'!B156</f>
        <v>1</v>
      </c>
      <c r="C125">
        <v>1</v>
      </c>
      <c r="D125">
        <f>FX!F124</f>
        <v>0</v>
      </c>
      <c r="E125">
        <v>1</v>
      </c>
      <c r="F125">
        <f t="shared" si="3"/>
        <v>1</v>
      </c>
      <c r="G125">
        <f t="shared" si="2"/>
        <v>1</v>
      </c>
    </row>
    <row r="126" spans="1:9">
      <c r="A126" s="59">
        <v>39722</v>
      </c>
      <c r="B126">
        <f>'Babecky ·et al. (2012)'!B157</f>
        <v>1</v>
      </c>
      <c r="C126">
        <v>1</v>
      </c>
      <c r="D126">
        <f>FX!F125</f>
        <v>0</v>
      </c>
      <c r="E126">
        <v>0</v>
      </c>
      <c r="F126">
        <f t="shared" si="3"/>
        <v>1</v>
      </c>
      <c r="G126">
        <f t="shared" si="2"/>
        <v>1</v>
      </c>
    </row>
    <row r="127" spans="1:9">
      <c r="A127" s="59">
        <v>39814</v>
      </c>
      <c r="B127">
        <f>'Babecky ·et al. (2012)'!B158</f>
        <v>1</v>
      </c>
      <c r="C127">
        <v>1</v>
      </c>
      <c r="D127">
        <f>FX!F126</f>
        <v>0</v>
      </c>
      <c r="E127">
        <v>0</v>
      </c>
      <c r="F127">
        <f t="shared" si="3"/>
        <v>1</v>
      </c>
      <c r="G127">
        <f t="shared" si="2"/>
        <v>1</v>
      </c>
    </row>
    <row r="128" spans="1:9">
      <c r="A128" s="59">
        <v>39904</v>
      </c>
      <c r="B128">
        <f>'Babecky ·et al. (2012)'!B159</f>
        <v>1</v>
      </c>
      <c r="C128">
        <v>1</v>
      </c>
      <c r="D128">
        <f>FX!F127</f>
        <v>0</v>
      </c>
      <c r="E128">
        <v>0</v>
      </c>
      <c r="F128">
        <f t="shared" si="3"/>
        <v>1</v>
      </c>
      <c r="G128">
        <f t="shared" si="2"/>
        <v>1</v>
      </c>
    </row>
    <row r="129" spans="1:9">
      <c r="A129" s="59">
        <v>39995</v>
      </c>
      <c r="B129">
        <f>'Babecky ·et al. (2012)'!B160</f>
        <v>1</v>
      </c>
      <c r="C129">
        <v>1</v>
      </c>
      <c r="D129">
        <f>FX!F128</f>
        <v>0</v>
      </c>
      <c r="E129">
        <v>0</v>
      </c>
      <c r="F129">
        <f t="shared" si="3"/>
        <v>1</v>
      </c>
      <c r="G129">
        <f t="shared" si="2"/>
        <v>1</v>
      </c>
    </row>
    <row r="130" spans="1:9">
      <c r="A130" s="59">
        <v>40087</v>
      </c>
      <c r="B130">
        <f>'Babecky ·et al. (2012)'!B161</f>
        <v>1</v>
      </c>
      <c r="C130">
        <v>1</v>
      </c>
      <c r="D130">
        <f>FX!F129</f>
        <v>0</v>
      </c>
      <c r="E130">
        <v>0</v>
      </c>
      <c r="F130">
        <f t="shared" si="3"/>
        <v>1</v>
      </c>
      <c r="G130">
        <f t="shared" si="2"/>
        <v>1</v>
      </c>
    </row>
    <row r="131" spans="1:9">
      <c r="A131" s="59">
        <v>40179</v>
      </c>
      <c r="B131">
        <f>'Babecky ·et al. (2012)'!B162</f>
        <v>1</v>
      </c>
      <c r="C131">
        <v>1</v>
      </c>
      <c r="D131">
        <f>FX!F130</f>
        <v>0</v>
      </c>
      <c r="E131">
        <v>0</v>
      </c>
      <c r="F131">
        <f t="shared" si="3"/>
        <v>1</v>
      </c>
      <c r="G131">
        <f t="shared" ref="G131:G154" si="4">+IF(SUM(B131:E131)=0,0,1)</f>
        <v>1</v>
      </c>
    </row>
    <row r="132" spans="1:9">
      <c r="A132" s="59">
        <v>40269</v>
      </c>
      <c r="B132">
        <f>'Babecky ·et al. (2012)'!B163</f>
        <v>0</v>
      </c>
      <c r="C132">
        <v>1</v>
      </c>
      <c r="D132">
        <f>FX!F131</f>
        <v>0</v>
      </c>
      <c r="E132">
        <v>0</v>
      </c>
      <c r="F132">
        <f t="shared" ref="F132:F189" si="5">+IF(SUM(B132:D132)=0,0,1)</f>
        <v>1</v>
      </c>
      <c r="G132">
        <f t="shared" si="4"/>
        <v>1</v>
      </c>
    </row>
    <row r="133" spans="1:9">
      <c r="A133" s="59">
        <v>40360</v>
      </c>
      <c r="B133">
        <f>'Babecky ·et al. (2012)'!B164</f>
        <v>1</v>
      </c>
      <c r="C133">
        <v>1</v>
      </c>
      <c r="D133">
        <f>FX!F132</f>
        <v>0</v>
      </c>
      <c r="E133">
        <v>0</v>
      </c>
      <c r="F133">
        <f t="shared" si="5"/>
        <v>1</v>
      </c>
      <c r="G133">
        <f t="shared" si="4"/>
        <v>1</v>
      </c>
      <c r="I133" t="s">
        <v>1446</v>
      </c>
    </row>
    <row r="134" spans="1:9">
      <c r="A134" s="59">
        <v>40452</v>
      </c>
      <c r="B134">
        <f>'Babecky ·et al. (2012)'!B165</f>
        <v>1</v>
      </c>
      <c r="C134">
        <v>1</v>
      </c>
      <c r="D134">
        <f>FX!F133</f>
        <v>0</v>
      </c>
      <c r="E134">
        <v>1</v>
      </c>
      <c r="F134">
        <f t="shared" si="5"/>
        <v>1</v>
      </c>
      <c r="G134">
        <f t="shared" si="4"/>
        <v>1</v>
      </c>
    </row>
    <row r="135" spans="1:9">
      <c r="A135" s="59">
        <v>40544</v>
      </c>
      <c r="B135">
        <f>'Babecky ·et al. (2012)'!B166</f>
        <v>0</v>
      </c>
      <c r="C135">
        <v>1</v>
      </c>
      <c r="D135">
        <f>FX!F134</f>
        <v>0</v>
      </c>
      <c r="E135">
        <v>0</v>
      </c>
      <c r="F135">
        <f t="shared" si="5"/>
        <v>1</v>
      </c>
      <c r="G135">
        <f t="shared" si="4"/>
        <v>1</v>
      </c>
    </row>
    <row r="136" spans="1:9">
      <c r="A136" s="59">
        <v>40634</v>
      </c>
      <c r="B136">
        <f>'Babecky ·et al. (2012)'!B167</f>
        <v>0</v>
      </c>
      <c r="C136">
        <v>1</v>
      </c>
      <c r="D136">
        <f>FX!F135</f>
        <v>0</v>
      </c>
      <c r="E136">
        <v>0</v>
      </c>
      <c r="F136">
        <f t="shared" si="5"/>
        <v>1</v>
      </c>
      <c r="G136">
        <f t="shared" si="4"/>
        <v>1</v>
      </c>
    </row>
    <row r="137" spans="1:9">
      <c r="A137" s="59">
        <v>40725</v>
      </c>
      <c r="B137">
        <f>'Babecky ·et al. (2012)'!B168</f>
        <v>0</v>
      </c>
      <c r="C137">
        <v>1</v>
      </c>
      <c r="D137">
        <f>FX!F136</f>
        <v>0</v>
      </c>
      <c r="E137">
        <v>0</v>
      </c>
      <c r="F137">
        <f t="shared" si="5"/>
        <v>1</v>
      </c>
      <c r="G137">
        <f t="shared" si="4"/>
        <v>1</v>
      </c>
    </row>
    <row r="138" spans="1:9">
      <c r="A138" s="59">
        <v>40817</v>
      </c>
      <c r="B138">
        <f>'Babecky ·et al. (2012)'!B169</f>
        <v>0</v>
      </c>
      <c r="C138">
        <v>1</v>
      </c>
      <c r="D138">
        <f>FX!F137</f>
        <v>0</v>
      </c>
      <c r="E138">
        <v>0</v>
      </c>
      <c r="F138">
        <f t="shared" si="5"/>
        <v>1</v>
      </c>
      <c r="G138">
        <f t="shared" si="4"/>
        <v>1</v>
      </c>
    </row>
    <row r="139" spans="1:9">
      <c r="A139" s="59">
        <v>40909</v>
      </c>
      <c r="B139">
        <f>'Babecky ·et al. (2012)'!B170</f>
        <v>0</v>
      </c>
      <c r="C139">
        <v>1</v>
      </c>
      <c r="D139">
        <f>FX!F138</f>
        <v>0</v>
      </c>
      <c r="E139">
        <v>0</v>
      </c>
      <c r="F139">
        <f t="shared" si="5"/>
        <v>1</v>
      </c>
      <c r="G139">
        <f t="shared" si="4"/>
        <v>1</v>
      </c>
    </row>
    <row r="140" spans="1:9">
      <c r="A140" s="59">
        <v>41000</v>
      </c>
      <c r="B140">
        <f>'Babecky ·et al. (2012)'!B171</f>
        <v>0</v>
      </c>
      <c r="C140">
        <v>1</v>
      </c>
      <c r="D140">
        <f>FX!F139</f>
        <v>0</v>
      </c>
      <c r="E140">
        <v>0</v>
      </c>
      <c r="F140">
        <f t="shared" si="5"/>
        <v>1</v>
      </c>
      <c r="G140">
        <f t="shared" si="4"/>
        <v>1</v>
      </c>
    </row>
    <row r="141" spans="1:9">
      <c r="A141" s="59">
        <v>41091</v>
      </c>
      <c r="B141">
        <f>'Babecky ·et al. (2012)'!B172</f>
        <v>0</v>
      </c>
      <c r="C141">
        <v>1</v>
      </c>
      <c r="D141">
        <f>FX!F140</f>
        <v>0</v>
      </c>
      <c r="E141">
        <v>0</v>
      </c>
      <c r="F141">
        <f t="shared" si="5"/>
        <v>1</v>
      </c>
      <c r="G141">
        <f t="shared" si="4"/>
        <v>1</v>
      </c>
    </row>
    <row r="142" spans="1:9">
      <c r="A142" s="59">
        <v>41183</v>
      </c>
      <c r="B142">
        <f>'Babecky ·et al. (2012)'!B173</f>
        <v>0</v>
      </c>
      <c r="C142">
        <v>1</v>
      </c>
      <c r="D142">
        <f>FX!F141</f>
        <v>0</v>
      </c>
      <c r="E142">
        <v>0</v>
      </c>
      <c r="F142">
        <f t="shared" si="5"/>
        <v>1</v>
      </c>
      <c r="G142">
        <f t="shared" si="4"/>
        <v>1</v>
      </c>
    </row>
    <row r="143" spans="1:9">
      <c r="A143" s="59">
        <v>41275</v>
      </c>
      <c r="B143">
        <f>'Babecky ·et al. (2012)'!B174</f>
        <v>0</v>
      </c>
      <c r="D143">
        <f>FX!F142</f>
        <v>0</v>
      </c>
      <c r="E143">
        <v>0</v>
      </c>
      <c r="F143">
        <f t="shared" si="5"/>
        <v>0</v>
      </c>
      <c r="G143">
        <f t="shared" si="4"/>
        <v>0</v>
      </c>
    </row>
    <row r="144" spans="1:9">
      <c r="A144" s="59">
        <v>41365</v>
      </c>
      <c r="B144">
        <f>'Babecky ·et al. (2012)'!B175</f>
        <v>0</v>
      </c>
      <c r="D144">
        <f>FX!F143</f>
        <v>0</v>
      </c>
      <c r="E144">
        <v>0</v>
      </c>
      <c r="F144">
        <f t="shared" si="5"/>
        <v>0</v>
      </c>
      <c r="G144">
        <f t="shared" si="4"/>
        <v>0</v>
      </c>
    </row>
    <row r="145" spans="1:9">
      <c r="A145" s="59">
        <v>41456</v>
      </c>
      <c r="B145">
        <f>'Babecky ·et al. (2012)'!B176</f>
        <v>0</v>
      </c>
      <c r="D145">
        <f>FX!F144</f>
        <v>0</v>
      </c>
      <c r="E145">
        <v>0</v>
      </c>
      <c r="F145">
        <f t="shared" si="5"/>
        <v>0</v>
      </c>
      <c r="G145">
        <f t="shared" si="4"/>
        <v>0</v>
      </c>
    </row>
    <row r="146" spans="1:9">
      <c r="A146" s="59">
        <v>41548</v>
      </c>
      <c r="B146">
        <f>'Babecky ·et al. (2012)'!B177</f>
        <v>0</v>
      </c>
      <c r="D146">
        <f>FX!F145</f>
        <v>0</v>
      </c>
      <c r="E146">
        <v>0</v>
      </c>
      <c r="F146">
        <f t="shared" si="5"/>
        <v>0</v>
      </c>
      <c r="G146">
        <f t="shared" si="4"/>
        <v>0</v>
      </c>
    </row>
    <row r="147" spans="1:9">
      <c r="A147" s="59">
        <v>41640</v>
      </c>
      <c r="B147">
        <f>'Babecky ·et al. (2012)'!B178</f>
        <v>0</v>
      </c>
      <c r="D147">
        <f>FX!F146</f>
        <v>0</v>
      </c>
      <c r="E147">
        <v>0</v>
      </c>
      <c r="F147">
        <f t="shared" si="5"/>
        <v>0</v>
      </c>
      <c r="G147">
        <f t="shared" si="4"/>
        <v>0</v>
      </c>
    </row>
    <row r="148" spans="1:9">
      <c r="A148" s="59">
        <v>41730</v>
      </c>
      <c r="B148">
        <f>'Babecky ·et al. (2012)'!B179</f>
        <v>0</v>
      </c>
      <c r="D148">
        <f>FX!F147</f>
        <v>0</v>
      </c>
      <c r="E148">
        <v>0</v>
      </c>
      <c r="F148">
        <f t="shared" si="5"/>
        <v>0</v>
      </c>
      <c r="G148">
        <f t="shared" si="4"/>
        <v>0</v>
      </c>
    </row>
    <row r="149" spans="1:9">
      <c r="A149" s="59">
        <v>41821</v>
      </c>
      <c r="B149">
        <f>'Babecky ·et al. (2012)'!B180</f>
        <v>0</v>
      </c>
      <c r="D149">
        <f>FX!F148</f>
        <v>0</v>
      </c>
      <c r="E149">
        <v>0</v>
      </c>
      <c r="F149">
        <f t="shared" si="5"/>
        <v>0</v>
      </c>
      <c r="G149">
        <f t="shared" si="4"/>
        <v>0</v>
      </c>
    </row>
    <row r="150" spans="1:9">
      <c r="A150" s="59">
        <v>41913</v>
      </c>
      <c r="B150">
        <f>'Babecky ·et al. (2012)'!B181</f>
        <v>0</v>
      </c>
      <c r="D150">
        <f>FX!F149</f>
        <v>0</v>
      </c>
      <c r="E150">
        <v>0</v>
      </c>
      <c r="F150">
        <f t="shared" si="5"/>
        <v>0</v>
      </c>
      <c r="G150">
        <f t="shared" si="4"/>
        <v>0</v>
      </c>
    </row>
    <row r="151" spans="1:9">
      <c r="A151" s="59">
        <v>42005</v>
      </c>
      <c r="B151">
        <f>'Babecky ·et al. (2012)'!B182</f>
        <v>0</v>
      </c>
      <c r="D151">
        <f>FX!F150</f>
        <v>0</v>
      </c>
      <c r="E151">
        <v>0</v>
      </c>
      <c r="F151">
        <f t="shared" si="5"/>
        <v>0</v>
      </c>
      <c r="G151">
        <f t="shared" si="4"/>
        <v>0</v>
      </c>
    </row>
    <row r="152" spans="1:9">
      <c r="A152" s="59">
        <v>42095</v>
      </c>
      <c r="B152">
        <f>'Babecky ·et al. (2012)'!B183</f>
        <v>0</v>
      </c>
      <c r="D152">
        <f>FX!F151</f>
        <v>0</v>
      </c>
      <c r="E152">
        <v>0</v>
      </c>
      <c r="F152">
        <f t="shared" si="5"/>
        <v>0</v>
      </c>
      <c r="G152">
        <f t="shared" si="4"/>
        <v>0</v>
      </c>
    </row>
    <row r="153" spans="1:9">
      <c r="A153" s="59">
        <v>42186</v>
      </c>
      <c r="B153">
        <f>'Babecky ·et al. (2012)'!B184</f>
        <v>0</v>
      </c>
      <c r="D153">
        <f>FX!F152</f>
        <v>0</v>
      </c>
      <c r="E153">
        <v>0</v>
      </c>
      <c r="F153">
        <f t="shared" si="5"/>
        <v>0</v>
      </c>
      <c r="G153">
        <f t="shared" si="4"/>
        <v>0</v>
      </c>
    </row>
    <row r="154" spans="1:9">
      <c r="A154" s="59">
        <v>42278</v>
      </c>
      <c r="B154">
        <f>'Babecky ·et al. (2012)'!B185</f>
        <v>0</v>
      </c>
      <c r="D154">
        <f>FX!F153</f>
        <v>0</v>
      </c>
      <c r="E154">
        <v>0</v>
      </c>
      <c r="F154">
        <f t="shared" si="5"/>
        <v>0</v>
      </c>
      <c r="G154">
        <f t="shared" si="4"/>
        <v>0</v>
      </c>
    </row>
    <row r="155" spans="1:9">
      <c r="A155" s="59">
        <v>42370</v>
      </c>
      <c r="B155">
        <f>'Babecky ·et al. (2012)'!B186</f>
        <v>0</v>
      </c>
      <c r="D155">
        <f>FX!F154</f>
        <v>0</v>
      </c>
      <c r="E155">
        <v>1</v>
      </c>
      <c r="F155">
        <f t="shared" si="5"/>
        <v>0</v>
      </c>
      <c r="G155">
        <f>+IF(SUM(B155:E155)=0,0,1)</f>
        <v>1</v>
      </c>
      <c r="I155" t="s">
        <v>1450</v>
      </c>
    </row>
    <row r="156" spans="1:9">
      <c r="A156" s="59">
        <v>42461</v>
      </c>
      <c r="B156">
        <f>'Babecky ·et al. (2012)'!B187</f>
        <v>0</v>
      </c>
      <c r="D156">
        <f>FX!F155</f>
        <v>0</v>
      </c>
      <c r="E156">
        <v>1</v>
      </c>
      <c r="F156">
        <f t="shared" si="5"/>
        <v>0</v>
      </c>
      <c r="G156">
        <f t="shared" ref="G156:G189" si="6">+IF(SUM(B156:E156)=0,0,1)</f>
        <v>1</v>
      </c>
    </row>
    <row r="157" spans="1:9">
      <c r="A157" s="59">
        <v>42552</v>
      </c>
      <c r="B157">
        <f>'Babecky ·et al. (2012)'!B188</f>
        <v>0</v>
      </c>
      <c r="D157">
        <f>FX!F156</f>
        <v>0</v>
      </c>
      <c r="E157">
        <v>1</v>
      </c>
      <c r="F157">
        <f t="shared" si="5"/>
        <v>0</v>
      </c>
      <c r="G157">
        <f t="shared" si="6"/>
        <v>1</v>
      </c>
    </row>
    <row r="158" spans="1:9">
      <c r="A158" s="59">
        <v>42644</v>
      </c>
      <c r="B158">
        <f>'Babecky ·et al. (2012)'!B189</f>
        <v>0</v>
      </c>
      <c r="D158">
        <f>FX!F157</f>
        <v>0</v>
      </c>
      <c r="E158">
        <v>1</v>
      </c>
      <c r="F158">
        <f t="shared" si="5"/>
        <v>0</v>
      </c>
      <c r="G158">
        <f t="shared" si="6"/>
        <v>1</v>
      </c>
    </row>
    <row r="159" spans="1:9">
      <c r="A159" s="59">
        <v>42736</v>
      </c>
      <c r="B159">
        <f>'Babecky ·et al. (2012)'!B190</f>
        <v>0</v>
      </c>
      <c r="D159">
        <f>FX!F158</f>
        <v>0</v>
      </c>
      <c r="E159">
        <v>0</v>
      </c>
      <c r="F159">
        <f t="shared" si="5"/>
        <v>0</v>
      </c>
      <c r="G159">
        <f t="shared" si="6"/>
        <v>0</v>
      </c>
    </row>
    <row r="160" spans="1:9">
      <c r="A160" s="59">
        <v>42826</v>
      </c>
      <c r="B160">
        <f>'Babecky ·et al. (2012)'!B191</f>
        <v>0</v>
      </c>
      <c r="D160">
        <f>FX!F159</f>
        <v>0</v>
      </c>
      <c r="E160">
        <v>0</v>
      </c>
      <c r="F160">
        <f t="shared" si="5"/>
        <v>0</v>
      </c>
      <c r="G160">
        <f t="shared" si="6"/>
        <v>0</v>
      </c>
    </row>
    <row r="161" spans="1:7">
      <c r="A161" s="59">
        <v>42917</v>
      </c>
      <c r="B161">
        <f>'Babecky ·et al. (2012)'!B192</f>
        <v>0</v>
      </c>
      <c r="D161">
        <f>FX!F160</f>
        <v>0</v>
      </c>
      <c r="E161">
        <v>0</v>
      </c>
      <c r="F161">
        <f t="shared" si="5"/>
        <v>0</v>
      </c>
      <c r="G161">
        <f t="shared" si="6"/>
        <v>0</v>
      </c>
    </row>
    <row r="162" spans="1:7">
      <c r="A162" s="59">
        <v>43009</v>
      </c>
      <c r="B162">
        <f>'Babecky ·et al. (2012)'!B193</f>
        <v>0</v>
      </c>
      <c r="D162">
        <f>FX!F161</f>
        <v>0</v>
      </c>
      <c r="E162">
        <v>0</v>
      </c>
      <c r="F162">
        <f t="shared" si="5"/>
        <v>0</v>
      </c>
      <c r="G162">
        <f t="shared" si="6"/>
        <v>0</v>
      </c>
    </row>
    <row r="163" spans="1:7">
      <c r="A163" s="59">
        <v>43101</v>
      </c>
      <c r="B163">
        <f>'Babecky ·et al. (2012)'!B194</f>
        <v>0</v>
      </c>
      <c r="D163">
        <f>FX!F162</f>
        <v>0</v>
      </c>
      <c r="E163">
        <v>0</v>
      </c>
      <c r="F163">
        <f t="shared" si="5"/>
        <v>0</v>
      </c>
      <c r="G163">
        <f t="shared" si="6"/>
        <v>0</v>
      </c>
    </row>
    <row r="164" spans="1:7">
      <c r="A164" s="59">
        <v>43191</v>
      </c>
      <c r="B164">
        <f>'Babecky ·et al. (2012)'!B195</f>
        <v>0</v>
      </c>
      <c r="D164">
        <f>FX!F163</f>
        <v>0</v>
      </c>
      <c r="E164">
        <v>0</v>
      </c>
      <c r="F164">
        <f t="shared" si="5"/>
        <v>0</v>
      </c>
      <c r="G164">
        <f t="shared" si="6"/>
        <v>0</v>
      </c>
    </row>
    <row r="165" spans="1:7">
      <c r="A165" s="59">
        <v>43282</v>
      </c>
      <c r="B165">
        <f>'Babecky ·et al. (2012)'!B196</f>
        <v>0</v>
      </c>
      <c r="D165">
        <f>FX!F164</f>
        <v>0</v>
      </c>
      <c r="E165">
        <v>0</v>
      </c>
      <c r="F165">
        <f t="shared" si="5"/>
        <v>0</v>
      </c>
      <c r="G165">
        <f t="shared" si="6"/>
        <v>0</v>
      </c>
    </row>
    <row r="166" spans="1:7">
      <c r="A166" s="59">
        <v>43374</v>
      </c>
      <c r="B166">
        <f>'Babecky ·et al. (2012)'!B197</f>
        <v>0</v>
      </c>
      <c r="D166">
        <f>FX!F165</f>
        <v>0</v>
      </c>
      <c r="E166">
        <v>0</v>
      </c>
      <c r="F166">
        <f t="shared" si="5"/>
        <v>0</v>
      </c>
      <c r="G166">
        <f t="shared" si="6"/>
        <v>0</v>
      </c>
    </row>
    <row r="167" spans="1:7">
      <c r="A167" s="59">
        <v>43466</v>
      </c>
      <c r="B167">
        <f>'Babecky ·et al. (2012)'!B198</f>
        <v>0</v>
      </c>
      <c r="D167">
        <f>FX!F166</f>
        <v>0</v>
      </c>
      <c r="E167">
        <v>0</v>
      </c>
      <c r="F167">
        <f t="shared" si="5"/>
        <v>0</v>
      </c>
      <c r="G167">
        <f t="shared" si="6"/>
        <v>0</v>
      </c>
    </row>
    <row r="168" spans="1:7">
      <c r="A168" s="59">
        <v>43556</v>
      </c>
      <c r="B168">
        <f>'Babecky ·et al. (2012)'!B199</f>
        <v>0</v>
      </c>
      <c r="D168">
        <f>FX!F167</f>
        <v>0</v>
      </c>
      <c r="E168">
        <v>0</v>
      </c>
      <c r="F168">
        <f t="shared" si="5"/>
        <v>0</v>
      </c>
      <c r="G168">
        <f t="shared" si="6"/>
        <v>0</v>
      </c>
    </row>
    <row r="169" spans="1:7">
      <c r="A169" s="59">
        <v>43647</v>
      </c>
      <c r="B169">
        <f>'Babecky ·et al. (2012)'!B200</f>
        <v>0</v>
      </c>
      <c r="D169">
        <f>FX!F168</f>
        <v>0</v>
      </c>
      <c r="E169">
        <v>0</v>
      </c>
      <c r="F169">
        <f t="shared" si="5"/>
        <v>0</v>
      </c>
      <c r="G169">
        <f t="shared" si="6"/>
        <v>0</v>
      </c>
    </row>
    <row r="170" spans="1:7">
      <c r="A170" s="59">
        <v>43739</v>
      </c>
      <c r="B170">
        <f>'Babecky ·et al. (2012)'!B201</f>
        <v>0</v>
      </c>
      <c r="D170">
        <f>FX!F169</f>
        <v>0</v>
      </c>
      <c r="E170">
        <v>0</v>
      </c>
      <c r="F170">
        <f t="shared" si="5"/>
        <v>0</v>
      </c>
      <c r="G170">
        <f t="shared" si="6"/>
        <v>0</v>
      </c>
    </row>
    <row r="171" spans="1:7">
      <c r="A171" s="59">
        <v>43831</v>
      </c>
      <c r="B171">
        <f>'Babecky ·et al. (2012)'!B202</f>
        <v>0</v>
      </c>
      <c r="D171">
        <f>FX!F170</f>
        <v>0</v>
      </c>
      <c r="E171">
        <v>0</v>
      </c>
      <c r="F171">
        <f t="shared" si="5"/>
        <v>0</v>
      </c>
      <c r="G171">
        <f t="shared" si="6"/>
        <v>0</v>
      </c>
    </row>
    <row r="172" spans="1:7">
      <c r="A172" s="59">
        <v>43922</v>
      </c>
      <c r="B172">
        <f>'Babecky ·et al. (2012)'!B203</f>
        <v>0</v>
      </c>
      <c r="D172">
        <f>FX!F171</f>
        <v>0</v>
      </c>
      <c r="E172">
        <v>0</v>
      </c>
      <c r="F172">
        <f t="shared" si="5"/>
        <v>0</v>
      </c>
      <c r="G172">
        <f t="shared" si="6"/>
        <v>0</v>
      </c>
    </row>
    <row r="173" spans="1:7">
      <c r="A173" s="59">
        <v>44013</v>
      </c>
      <c r="B173">
        <f>'Babecky ·et al. (2012)'!B204</f>
        <v>0</v>
      </c>
      <c r="D173">
        <f>FX!F172</f>
        <v>0</v>
      </c>
      <c r="E173">
        <v>0</v>
      </c>
      <c r="F173">
        <f t="shared" si="5"/>
        <v>0</v>
      </c>
      <c r="G173">
        <f t="shared" si="6"/>
        <v>0</v>
      </c>
    </row>
    <row r="174" spans="1:7">
      <c r="A174" s="59">
        <v>44105</v>
      </c>
      <c r="B174">
        <f>'Babecky ·et al. (2012)'!B205</f>
        <v>0</v>
      </c>
      <c r="D174">
        <f>FX!F173</f>
        <v>0</v>
      </c>
      <c r="E174">
        <v>0</v>
      </c>
      <c r="F174">
        <f t="shared" si="5"/>
        <v>0</v>
      </c>
      <c r="G174">
        <f t="shared" si="6"/>
        <v>0</v>
      </c>
    </row>
    <row r="175" spans="1:7">
      <c r="A175" s="59">
        <v>44197</v>
      </c>
      <c r="B175">
        <f>'Babecky ·et al. (2012)'!B206</f>
        <v>0</v>
      </c>
      <c r="D175">
        <f>FX!F174</f>
        <v>0</v>
      </c>
      <c r="E175">
        <v>0</v>
      </c>
      <c r="F175">
        <f t="shared" si="5"/>
        <v>0</v>
      </c>
      <c r="G175">
        <f t="shared" si="6"/>
        <v>0</v>
      </c>
    </row>
    <row r="176" spans="1:7">
      <c r="A176" s="59">
        <v>44287</v>
      </c>
      <c r="B176">
        <f>'Babecky ·et al. (2012)'!B207</f>
        <v>0</v>
      </c>
      <c r="D176">
        <f>FX!F175</f>
        <v>0</v>
      </c>
      <c r="E176">
        <v>0</v>
      </c>
      <c r="F176">
        <f t="shared" si="5"/>
        <v>0</v>
      </c>
      <c r="G176">
        <f t="shared" si="6"/>
        <v>0</v>
      </c>
    </row>
    <row r="177" spans="1:7">
      <c r="A177" s="59">
        <v>44378</v>
      </c>
      <c r="B177">
        <f>'Babecky ·et al. (2012)'!B208</f>
        <v>0</v>
      </c>
      <c r="D177">
        <f>FX!F176</f>
        <v>0</v>
      </c>
      <c r="E177">
        <v>0</v>
      </c>
      <c r="F177">
        <f t="shared" si="5"/>
        <v>0</v>
      </c>
      <c r="G177">
        <f t="shared" si="6"/>
        <v>0</v>
      </c>
    </row>
    <row r="178" spans="1:7">
      <c r="A178" s="59">
        <v>44470</v>
      </c>
      <c r="B178">
        <f>'Babecky ·et al. (2012)'!B209</f>
        <v>0</v>
      </c>
      <c r="D178">
        <f>FX!F177</f>
        <v>0</v>
      </c>
      <c r="E178">
        <v>0</v>
      </c>
      <c r="F178">
        <f t="shared" si="5"/>
        <v>0</v>
      </c>
      <c r="G178">
        <f t="shared" si="6"/>
        <v>0</v>
      </c>
    </row>
    <row r="179" spans="1:7">
      <c r="A179" s="59">
        <v>44562</v>
      </c>
      <c r="B179">
        <f>'Babecky ·et al. (2012)'!B210</f>
        <v>0</v>
      </c>
      <c r="D179">
        <f>FX!F178</f>
        <v>0</v>
      </c>
      <c r="E179">
        <v>0</v>
      </c>
      <c r="F179">
        <f t="shared" si="5"/>
        <v>0</v>
      </c>
      <c r="G179">
        <f t="shared" si="6"/>
        <v>0</v>
      </c>
    </row>
    <row r="180" spans="1:7">
      <c r="A180" s="59">
        <v>44652</v>
      </c>
      <c r="B180">
        <f>'Babecky ·et al. (2012)'!B211</f>
        <v>0</v>
      </c>
      <c r="D180">
        <f>FX!F179</f>
        <v>0</v>
      </c>
      <c r="E180">
        <v>0</v>
      </c>
      <c r="F180">
        <f t="shared" si="5"/>
        <v>0</v>
      </c>
      <c r="G180">
        <f t="shared" si="6"/>
        <v>0</v>
      </c>
    </row>
    <row r="181" spans="1:7" s="63" customFormat="1">
      <c r="A181" s="62">
        <v>44743</v>
      </c>
      <c r="B181" s="63">
        <f>'Babecky ·et al. (2012)'!B212</f>
        <v>0</v>
      </c>
      <c r="D181" s="63">
        <f>FX!F180</f>
        <v>0</v>
      </c>
      <c r="E181">
        <v>0</v>
      </c>
      <c r="F181">
        <f t="shared" si="5"/>
        <v>0</v>
      </c>
      <c r="G181">
        <f t="shared" si="6"/>
        <v>0</v>
      </c>
    </row>
    <row r="182" spans="1:7" s="63" customFormat="1">
      <c r="A182" s="62">
        <v>44835</v>
      </c>
      <c r="B182" s="63">
        <f>'Babecky ·et al. (2012)'!B213</f>
        <v>0</v>
      </c>
      <c r="D182" s="63">
        <f>FX!F181</f>
        <v>0</v>
      </c>
      <c r="E182">
        <v>0</v>
      </c>
      <c r="F182">
        <f t="shared" si="5"/>
        <v>0</v>
      </c>
      <c r="G182">
        <f t="shared" si="6"/>
        <v>0</v>
      </c>
    </row>
    <row r="183" spans="1:7" s="63" customFormat="1">
      <c r="A183" s="62">
        <v>44927</v>
      </c>
      <c r="B183" s="63">
        <f>'Babecky ·et al. (2012)'!B214</f>
        <v>0</v>
      </c>
      <c r="D183" s="63">
        <f>FX!F182</f>
        <v>0</v>
      </c>
      <c r="E183">
        <v>0</v>
      </c>
      <c r="F183">
        <f t="shared" si="5"/>
        <v>0</v>
      </c>
      <c r="G183">
        <f t="shared" si="6"/>
        <v>0</v>
      </c>
    </row>
    <row r="184" spans="1:7" s="63" customFormat="1">
      <c r="A184" s="62">
        <v>45017</v>
      </c>
      <c r="B184" s="63">
        <f>'Babecky ·et al. (2012)'!B215</f>
        <v>0</v>
      </c>
      <c r="D184" s="63">
        <f>FX!F183</f>
        <v>0</v>
      </c>
      <c r="E184">
        <v>0</v>
      </c>
      <c r="F184">
        <f t="shared" si="5"/>
        <v>0</v>
      </c>
      <c r="G184">
        <f t="shared" si="6"/>
        <v>0</v>
      </c>
    </row>
    <row r="185" spans="1:7">
      <c r="A185" s="59">
        <v>45108</v>
      </c>
      <c r="B185">
        <f>'Babecky ·et al. (2012)'!B216</f>
        <v>0</v>
      </c>
      <c r="D185">
        <f>FX!F184</f>
        <v>0</v>
      </c>
      <c r="E185">
        <v>0</v>
      </c>
      <c r="F185">
        <f t="shared" si="5"/>
        <v>0</v>
      </c>
      <c r="G185">
        <f t="shared" si="6"/>
        <v>0</v>
      </c>
    </row>
    <row r="186" spans="1:7">
      <c r="A186" s="59">
        <v>45200</v>
      </c>
      <c r="B186">
        <f>'Babecky ·et al. (2012)'!B217</f>
        <v>0</v>
      </c>
      <c r="D186">
        <f>FX!F185</f>
        <v>0</v>
      </c>
      <c r="E186">
        <v>0</v>
      </c>
      <c r="F186">
        <f t="shared" si="5"/>
        <v>0</v>
      </c>
      <c r="G186">
        <f t="shared" si="6"/>
        <v>0</v>
      </c>
    </row>
    <row r="187" spans="1:7">
      <c r="A187" s="59">
        <v>45292</v>
      </c>
      <c r="B187">
        <f>'Babecky ·et al. (2012)'!B218</f>
        <v>0</v>
      </c>
      <c r="D187">
        <f>FX!F186</f>
        <v>0</v>
      </c>
      <c r="E187">
        <v>0</v>
      </c>
      <c r="F187">
        <f t="shared" si="5"/>
        <v>0</v>
      </c>
      <c r="G187">
        <f t="shared" si="6"/>
        <v>0</v>
      </c>
    </row>
    <row r="188" spans="1:7">
      <c r="A188" s="59">
        <v>45383</v>
      </c>
      <c r="B188">
        <f>'Babecky ·et al. (2012)'!B219</f>
        <v>0</v>
      </c>
      <c r="D188">
        <f>FX!F187</f>
        <v>0</v>
      </c>
      <c r="E188">
        <v>0</v>
      </c>
      <c r="F188">
        <f t="shared" si="5"/>
        <v>0</v>
      </c>
      <c r="G188">
        <f t="shared" si="6"/>
        <v>0</v>
      </c>
    </row>
    <row r="189" spans="1:7">
      <c r="A189" s="59">
        <v>45474</v>
      </c>
      <c r="B189">
        <f>'Babecky ·et al. (2012)'!B220</f>
        <v>0</v>
      </c>
      <c r="D189">
        <f>FX!F188</f>
        <v>0</v>
      </c>
      <c r="E189">
        <v>0</v>
      </c>
      <c r="F189">
        <f t="shared" si="5"/>
        <v>0</v>
      </c>
      <c r="G189">
        <f t="shared" si="6"/>
        <v>0</v>
      </c>
    </row>
    <row r="190" spans="1:7">
      <c r="A190" s="59">
        <v>45566</v>
      </c>
      <c r="B190">
        <f>'Babecky ·et al. (2012)'!B221</f>
        <v>0</v>
      </c>
      <c r="D190">
        <f>FX!F189</f>
        <v>0</v>
      </c>
      <c r="E190">
        <v>0</v>
      </c>
      <c r="F190">
        <f t="shared" ref="F190:F192" si="7">+IF(SUM(B190:D190)=0,0,1)</f>
        <v>0</v>
      </c>
      <c r="G190">
        <f t="shared" ref="G190:G192" si="8">+IF(SUM(B190:E190)=0,0,1)</f>
        <v>0</v>
      </c>
    </row>
    <row r="191" spans="1:7">
      <c r="A191" s="59">
        <v>45658</v>
      </c>
      <c r="B191">
        <f>'Babecky ·et al. (2012)'!B222</f>
        <v>0</v>
      </c>
      <c r="D191">
        <f>FX!F190</f>
        <v>0</v>
      </c>
      <c r="E191">
        <v>0</v>
      </c>
      <c r="F191">
        <f t="shared" si="7"/>
        <v>0</v>
      </c>
      <c r="G191">
        <f t="shared" si="8"/>
        <v>0</v>
      </c>
    </row>
    <row r="192" spans="1:7">
      <c r="A192" s="59">
        <v>45748</v>
      </c>
      <c r="B192">
        <f>'Babecky ·et al. (2012)'!B223</f>
        <v>0</v>
      </c>
      <c r="D192">
        <f>FX!F191</f>
        <v>0</v>
      </c>
      <c r="E192">
        <v>0</v>
      </c>
      <c r="F192">
        <f t="shared" si="7"/>
        <v>0</v>
      </c>
      <c r="G192">
        <f t="shared" si="8"/>
        <v>0</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autoPageBreaks="0"/>
  </sheetPr>
  <dimension ref="A1:H189"/>
  <sheetViews>
    <sheetView topLeftCell="A87" workbookViewId="0">
      <selection activeCell="B98" sqref="B98"/>
    </sheetView>
  </sheetViews>
  <sheetFormatPr defaultRowHeight="14.5"/>
  <cols>
    <col min="1" max="1" width="10.08984375" bestFit="1" customWidth="1"/>
    <col min="2" max="3" width="11.81640625" bestFit="1" customWidth="1"/>
    <col min="4" max="4" width="12.453125" bestFit="1" customWidth="1"/>
    <col min="5" max="6" width="8.7265625" style="17"/>
  </cols>
  <sheetData>
    <row r="1" spans="1:7">
      <c r="A1" t="s">
        <v>354</v>
      </c>
      <c r="B1" t="s">
        <v>355</v>
      </c>
      <c r="C1" t="s">
        <v>356</v>
      </c>
      <c r="D1" t="s">
        <v>357</v>
      </c>
      <c r="E1" s="17" t="s">
        <v>1457</v>
      </c>
      <c r="F1" s="17" t="s">
        <v>362</v>
      </c>
      <c r="G1" t="s">
        <v>1461</v>
      </c>
    </row>
    <row r="2" spans="1:7">
      <c r="A2" s="59">
        <v>28491</v>
      </c>
      <c r="B2">
        <v>0.65827454446030198</v>
      </c>
      <c r="C2">
        <v>0.57077995787186497</v>
      </c>
      <c r="D2">
        <v>8.7494586588437007E-2</v>
      </c>
    </row>
    <row r="3" spans="1:7">
      <c r="A3" s="59">
        <v>28581</v>
      </c>
      <c r="B3">
        <v>0.69183795433344697</v>
      </c>
      <c r="C3">
        <v>0.58566261944687203</v>
      </c>
      <c r="D3">
        <v>0.106175334886575</v>
      </c>
    </row>
    <row r="4" spans="1:7">
      <c r="A4" s="59">
        <v>28672</v>
      </c>
      <c r="B4">
        <v>0.65785129843415902</v>
      </c>
      <c r="C4">
        <v>0.600599965138498</v>
      </c>
      <c r="D4">
        <v>5.7251333295661101E-2</v>
      </c>
    </row>
    <row r="5" spans="1:7">
      <c r="A5" s="59">
        <v>28764</v>
      </c>
      <c r="B5">
        <v>0.64024426374660803</v>
      </c>
      <c r="C5">
        <v>0.61571303864766302</v>
      </c>
      <c r="D5">
        <v>2.45312250989452E-2</v>
      </c>
    </row>
    <row r="6" spans="1:7">
      <c r="A6" s="59">
        <v>28856</v>
      </c>
      <c r="B6">
        <v>0.63004403451655999</v>
      </c>
      <c r="C6">
        <v>0.63115866575859803</v>
      </c>
      <c r="D6">
        <v>-1.11463124203761E-3</v>
      </c>
      <c r="E6" s="17">
        <f>B6/B2-1</f>
        <v>-4.2885616922779923E-2</v>
      </c>
    </row>
    <row r="7" spans="1:7">
      <c r="A7" s="59">
        <v>28946</v>
      </c>
      <c r="B7">
        <v>0.63419184557276198</v>
      </c>
      <c r="C7">
        <v>0.64710900427122298</v>
      </c>
      <c r="D7">
        <v>-1.2917158698461301E-2</v>
      </c>
      <c r="E7" s="17">
        <f t="shared" ref="E7:E70" si="0">B7/B3-1</f>
        <v>-8.3323137158938132E-2</v>
      </c>
    </row>
    <row r="8" spans="1:7">
      <c r="A8" s="59">
        <v>29037</v>
      </c>
      <c r="B8">
        <v>0.612563973636851</v>
      </c>
      <c r="C8">
        <v>0.663735515340932</v>
      </c>
      <c r="D8">
        <v>-5.11715417040806E-2</v>
      </c>
      <c r="E8" s="17">
        <f t="shared" si="0"/>
        <v>-6.8841279032362701E-2</v>
      </c>
    </row>
    <row r="9" spans="1:7">
      <c r="A9" s="59">
        <v>29129</v>
      </c>
      <c r="B9">
        <v>0.60486089596104797</v>
      </c>
      <c r="C9">
        <v>0.68120158689892796</v>
      </c>
      <c r="D9">
        <v>-7.6340690937879901E-2</v>
      </c>
      <c r="E9" s="17">
        <f t="shared" si="0"/>
        <v>-5.5265419448668252E-2</v>
      </c>
    </row>
    <row r="10" spans="1:7">
      <c r="A10" s="59">
        <v>29221</v>
      </c>
      <c r="B10">
        <v>0.60837383797803501</v>
      </c>
      <c r="C10">
        <v>0.69963862466285198</v>
      </c>
      <c r="D10">
        <v>-9.1264786684817203E-2</v>
      </c>
      <c r="E10" s="17">
        <f t="shared" si="0"/>
        <v>-3.4394733306462921E-2</v>
      </c>
    </row>
    <row r="11" spans="1:7">
      <c r="A11" s="59">
        <v>29312</v>
      </c>
      <c r="B11">
        <v>0.61641551247475301</v>
      </c>
      <c r="C11">
        <v>0.71913032141851296</v>
      </c>
      <c r="D11">
        <v>-0.10271480894376001</v>
      </c>
      <c r="E11" s="17">
        <f t="shared" si="0"/>
        <v>-2.8029898558463051E-2</v>
      </c>
    </row>
    <row r="12" spans="1:7">
      <c r="A12" s="59">
        <v>29403</v>
      </c>
      <c r="B12">
        <v>0.59838523176105896</v>
      </c>
      <c r="C12">
        <v>0.73970332946003303</v>
      </c>
      <c r="D12">
        <v>-0.14131809769897399</v>
      </c>
      <c r="E12" s="17">
        <f t="shared" si="0"/>
        <v>-2.314654874593991E-2</v>
      </c>
    </row>
    <row r="13" spans="1:7">
      <c r="A13" s="59">
        <v>29495</v>
      </c>
      <c r="B13">
        <v>0.64862453506424</v>
      </c>
      <c r="C13">
        <v>0.76132010432594799</v>
      </c>
      <c r="D13">
        <v>-0.112695569261708</v>
      </c>
      <c r="E13" s="17">
        <f t="shared" si="0"/>
        <v>7.2353229305156308E-2</v>
      </c>
    </row>
    <row r="14" spans="1:7">
      <c r="A14" s="59">
        <v>29587</v>
      </c>
      <c r="B14">
        <v>0.71676714527327301</v>
      </c>
      <c r="C14">
        <v>0.78385477774373302</v>
      </c>
      <c r="D14">
        <v>-6.7087632470460498E-2</v>
      </c>
      <c r="E14" s="17">
        <f t="shared" si="0"/>
        <v>0.1781689160985116</v>
      </c>
    </row>
    <row r="15" spans="1:7">
      <c r="A15" s="59">
        <v>29677</v>
      </c>
      <c r="B15">
        <v>0.79062357683523699</v>
      </c>
      <c r="C15">
        <v>0.80711104671007505</v>
      </c>
      <c r="D15">
        <v>-1.64874698748383E-2</v>
      </c>
      <c r="E15" s="17">
        <f t="shared" si="0"/>
        <v>0.28261466630046739</v>
      </c>
    </row>
    <row r="16" spans="1:7">
      <c r="A16" s="59">
        <v>29768</v>
      </c>
      <c r="B16">
        <v>0.84687297370964998</v>
      </c>
      <c r="C16">
        <v>0.83085067845136695</v>
      </c>
      <c r="D16">
        <v>1.6022295258283598E-2</v>
      </c>
      <c r="E16" s="17">
        <f t="shared" si="0"/>
        <v>0.41526382798132722</v>
      </c>
    </row>
    <row r="17" spans="1:8">
      <c r="A17" s="59">
        <v>29860</v>
      </c>
      <c r="B17">
        <v>0.80310933460645695</v>
      </c>
      <c r="C17">
        <v>0.85482513552532702</v>
      </c>
      <c r="D17">
        <v>-5.1715800918869799E-2</v>
      </c>
      <c r="E17" s="17">
        <f t="shared" si="0"/>
        <v>0.2381729200652527</v>
      </c>
    </row>
    <row r="18" spans="1:8">
      <c r="A18" s="59">
        <v>29952</v>
      </c>
      <c r="B18">
        <v>0.84573020943906396</v>
      </c>
      <c r="C18">
        <v>0.87879589442421402</v>
      </c>
      <c r="D18">
        <v>-3.3065684985149502E-2</v>
      </c>
      <c r="E18" s="17">
        <f t="shared" si="0"/>
        <v>0.17992323590197867</v>
      </c>
    </row>
    <row r="19" spans="1:8">
      <c r="A19" s="59">
        <v>30042</v>
      </c>
      <c r="B19">
        <v>0.87421466699849204</v>
      </c>
      <c r="C19">
        <v>0.90249210926470902</v>
      </c>
      <c r="D19">
        <v>-2.8277442266217E-2</v>
      </c>
      <c r="E19" s="17">
        <f t="shared" si="0"/>
        <v>0.1057280513918637</v>
      </c>
    </row>
    <row r="20" spans="1:8">
      <c r="A20" s="59">
        <v>30133</v>
      </c>
      <c r="B20">
        <v>0.91632764659972599</v>
      </c>
      <c r="C20">
        <v>0.92562226811037995</v>
      </c>
      <c r="D20">
        <v>-9.2946215106540202E-3</v>
      </c>
      <c r="E20" s="17">
        <f t="shared" si="0"/>
        <v>8.2013094107651341E-2</v>
      </c>
    </row>
    <row r="21" spans="1:8">
      <c r="A21" s="59">
        <v>30225</v>
      </c>
      <c r="B21">
        <v>0.94104521452648104</v>
      </c>
      <c r="C21">
        <v>0.94787718562337697</v>
      </c>
      <c r="D21">
        <v>-6.83197109689615E-3</v>
      </c>
      <c r="E21" s="17">
        <f t="shared" si="0"/>
        <v>0.17175230566535005</v>
      </c>
    </row>
    <row r="22" spans="1:8">
      <c r="A22" s="59">
        <v>30317</v>
      </c>
      <c r="B22">
        <v>0.92771296470297404</v>
      </c>
      <c r="C22">
        <v>0.96894186732740695</v>
      </c>
      <c r="D22">
        <v>-4.1228902624432601E-2</v>
      </c>
      <c r="E22" s="17">
        <f t="shared" si="0"/>
        <v>9.6937243519166216E-2</v>
      </c>
    </row>
    <row r="23" spans="1:8">
      <c r="A23" s="59">
        <v>30407</v>
      </c>
      <c r="B23">
        <v>0.99847970027409405</v>
      </c>
      <c r="C23">
        <v>0.98849704876423905</v>
      </c>
      <c r="D23">
        <v>9.9826515098551394E-3</v>
      </c>
      <c r="E23" s="17">
        <f t="shared" si="0"/>
        <v>0.14214475913822255</v>
      </c>
    </row>
    <row r="24" spans="1:8">
      <c r="A24" s="59">
        <v>30498</v>
      </c>
      <c r="B24">
        <v>1.0659027922386799</v>
      </c>
      <c r="C24">
        <v>1.0061976974114999</v>
      </c>
      <c r="D24">
        <v>5.9705094827175502E-2</v>
      </c>
      <c r="E24" s="17">
        <f t="shared" si="0"/>
        <v>0.16323325635103525</v>
      </c>
    </row>
    <row r="25" spans="1:8">
      <c r="A25" s="59">
        <v>30590</v>
      </c>
      <c r="B25">
        <v>1.0951490926451699</v>
      </c>
      <c r="C25">
        <v>1.0217050199040201</v>
      </c>
      <c r="D25">
        <v>7.3444072741145297E-2</v>
      </c>
      <c r="E25" s="17">
        <f t="shared" si="0"/>
        <v>0.16375820814968112</v>
      </c>
    </row>
    <row r="26" spans="1:8">
      <c r="A26" s="59">
        <v>30682</v>
      </c>
      <c r="B26">
        <v>1.1137295931928499</v>
      </c>
      <c r="C26">
        <v>1.03471753856089</v>
      </c>
      <c r="D26">
        <v>7.9012054631956402E-2</v>
      </c>
      <c r="E26" s="17">
        <f t="shared" si="0"/>
        <v>0.20051097221588665</v>
      </c>
    </row>
    <row r="27" spans="1:8">
      <c r="A27" s="59">
        <v>30773</v>
      </c>
      <c r="B27">
        <v>1.1223214875235501</v>
      </c>
      <c r="C27">
        <v>1.04497967824666</v>
      </c>
      <c r="D27">
        <v>7.7341809276885998E-2</v>
      </c>
      <c r="E27" s="17">
        <f t="shared" si="0"/>
        <v>0.12403035055741252</v>
      </c>
    </row>
    <row r="28" spans="1:8">
      <c r="A28" s="59">
        <v>30864</v>
      </c>
      <c r="B28">
        <v>1.2027805570933501</v>
      </c>
      <c r="C28">
        <v>1.0522852463600401</v>
      </c>
      <c r="D28">
        <v>0.15049531073331199</v>
      </c>
      <c r="E28" s="17">
        <f t="shared" si="0"/>
        <v>0.12841486658196133</v>
      </c>
    </row>
    <row r="29" spans="1:8">
      <c r="A29" s="59">
        <v>30956</v>
      </c>
      <c r="B29">
        <v>1.2480678818906601</v>
      </c>
      <c r="C29">
        <v>1.05647638893051</v>
      </c>
      <c r="D29">
        <v>0.19159149296015099</v>
      </c>
      <c r="E29" s="17">
        <f t="shared" si="0"/>
        <v>0.13963285024154803</v>
      </c>
    </row>
    <row r="30" spans="1:8">
      <c r="A30" s="59">
        <v>31048</v>
      </c>
      <c r="B30">
        <v>1.32666466894542</v>
      </c>
      <c r="C30">
        <v>1.05748931155679</v>
      </c>
      <c r="D30">
        <v>0.26917535738863302</v>
      </c>
      <c r="E30" s="17">
        <f t="shared" si="0"/>
        <v>0.19119100098806374</v>
      </c>
      <c r="F30" s="96"/>
      <c r="G30" s="95">
        <v>1</v>
      </c>
      <c r="H30" s="95" t="s">
        <v>1458</v>
      </c>
    </row>
    <row r="31" spans="1:8">
      <c r="A31" s="59">
        <v>31138</v>
      </c>
      <c r="B31">
        <v>1.25208871913902</v>
      </c>
      <c r="C31">
        <v>1.0553799645206801</v>
      </c>
      <c r="D31">
        <v>0.196708754618342</v>
      </c>
      <c r="E31" s="17">
        <f t="shared" si="0"/>
        <v>0.1156239393596632</v>
      </c>
      <c r="F31" s="96"/>
    </row>
    <row r="32" spans="1:8">
      <c r="A32" s="59">
        <v>31229</v>
      </c>
      <c r="B32">
        <v>1.1616833679548599</v>
      </c>
      <c r="C32">
        <v>1.0503725327023501</v>
      </c>
      <c r="D32">
        <v>0.111310835252507</v>
      </c>
      <c r="E32" s="61">
        <f>B32/B28-1</f>
        <v>-3.4168484763177354E-2</v>
      </c>
      <c r="F32" s="61">
        <v>1</v>
      </c>
    </row>
    <row r="33" spans="1:6">
      <c r="A33" s="59">
        <v>31321</v>
      </c>
      <c r="B33">
        <v>1.0628977454530699</v>
      </c>
      <c r="C33">
        <v>1.04281414395362</v>
      </c>
      <c r="D33">
        <v>2.00836014994519E-2</v>
      </c>
      <c r="E33" s="61">
        <f t="shared" si="0"/>
        <v>-0.14836543678784653</v>
      </c>
      <c r="F33" s="61">
        <v>1</v>
      </c>
    </row>
    <row r="34" spans="1:6">
      <c r="A34" s="59">
        <v>31413</v>
      </c>
      <c r="B34">
        <v>0.98404701078261603</v>
      </c>
      <c r="C34">
        <v>1.0331214953983201</v>
      </c>
      <c r="D34">
        <v>-4.9074484615705197E-2</v>
      </c>
      <c r="E34" s="61">
        <f t="shared" si="0"/>
        <v>-0.25825490508852889</v>
      </c>
      <c r="F34" s="61">
        <v>1</v>
      </c>
    </row>
    <row r="35" spans="1:6">
      <c r="A35" s="59">
        <v>31503</v>
      </c>
      <c r="B35">
        <v>0.93867503678008002</v>
      </c>
      <c r="C35">
        <v>1.02172383641124</v>
      </c>
      <c r="D35">
        <v>-8.3048799631162296E-2</v>
      </c>
      <c r="E35" s="61">
        <f t="shared" si="0"/>
        <v>-0.25031267957949033</v>
      </c>
      <c r="F35" s="61">
        <v>1</v>
      </c>
    </row>
    <row r="36" spans="1:6">
      <c r="A36" s="59">
        <v>31594</v>
      </c>
      <c r="B36">
        <v>0.93435792731342004</v>
      </c>
      <c r="C36">
        <v>1.0090197448142799</v>
      </c>
      <c r="D36">
        <v>-7.4661817500855904E-2</v>
      </c>
      <c r="E36" s="61">
        <f t="shared" si="0"/>
        <v>-0.19568623164644738</v>
      </c>
      <c r="F36" s="61">
        <v>1</v>
      </c>
    </row>
    <row r="37" spans="1:6">
      <c r="A37" s="59">
        <v>31686</v>
      </c>
      <c r="B37">
        <v>0.934908147147406</v>
      </c>
      <c r="C37">
        <v>0.99535589292954696</v>
      </c>
      <c r="D37">
        <v>-6.0447745782141397E-2</v>
      </c>
      <c r="E37" s="61">
        <f t="shared" si="0"/>
        <v>-0.12041572094134712</v>
      </c>
      <c r="F37" s="61">
        <v>1</v>
      </c>
    </row>
    <row r="38" spans="1:6">
      <c r="A38" s="59">
        <v>31778</v>
      </c>
      <c r="B38">
        <v>0.87362212256189098</v>
      </c>
      <c r="C38">
        <v>0.98103228944324505</v>
      </c>
      <c r="D38">
        <v>-0.10741016688135401</v>
      </c>
      <c r="E38" s="61">
        <f t="shared" si="0"/>
        <v>-0.11221505376344143</v>
      </c>
      <c r="F38" s="61">
        <v>1</v>
      </c>
    </row>
    <row r="39" spans="1:6">
      <c r="A39" s="59">
        <v>31868</v>
      </c>
      <c r="B39">
        <v>0.85664995691355394</v>
      </c>
      <c r="C39">
        <v>0.96631116320044297</v>
      </c>
      <c r="D39">
        <v>-0.109661206286889</v>
      </c>
      <c r="E39" s="61">
        <f t="shared" si="0"/>
        <v>-8.7383893948959401E-2</v>
      </c>
      <c r="F39" s="61">
        <v>1</v>
      </c>
    </row>
    <row r="40" spans="1:6">
      <c r="A40" s="59">
        <v>31959</v>
      </c>
      <c r="B40">
        <v>0.87027847895536103</v>
      </c>
      <c r="C40">
        <v>0.95138761169191299</v>
      </c>
      <c r="D40">
        <v>-8.1109132736552E-2</v>
      </c>
      <c r="E40" s="61">
        <f t="shared" si="0"/>
        <v>-6.8581264721869539E-2</v>
      </c>
      <c r="F40" s="61">
        <v>1</v>
      </c>
    </row>
    <row r="41" spans="1:6">
      <c r="A41" s="59">
        <v>32051</v>
      </c>
      <c r="B41">
        <v>0.81500254794107696</v>
      </c>
      <c r="C41">
        <v>0.93638819415450003</v>
      </c>
      <c r="D41">
        <v>-0.121385646213423</v>
      </c>
      <c r="E41" s="61">
        <f t="shared" si="0"/>
        <v>-0.12825388202272625</v>
      </c>
      <c r="F41" s="61">
        <v>1</v>
      </c>
    </row>
    <row r="42" spans="1:6">
      <c r="A42" s="59">
        <v>32143</v>
      </c>
      <c r="B42">
        <v>0.80035823543652695</v>
      </c>
      <c r="C42">
        <v>0.89710242790123296</v>
      </c>
      <c r="D42">
        <v>-9.6744192464705905E-2</v>
      </c>
      <c r="E42" s="61">
        <f t="shared" si="0"/>
        <v>-8.3862215977908328E-2</v>
      </c>
      <c r="F42" s="61">
        <v>1</v>
      </c>
    </row>
    <row r="43" spans="1:6">
      <c r="A43" s="59">
        <v>32234</v>
      </c>
      <c r="B43">
        <v>0.81017754324304603</v>
      </c>
      <c r="C43">
        <v>0.86550675785493103</v>
      </c>
      <c r="D43">
        <v>-5.5329214611885197E-2</v>
      </c>
      <c r="E43" s="61">
        <f>B43/B39-1</f>
        <v>-5.4249011857707363E-2</v>
      </c>
      <c r="F43" s="61">
        <v>1</v>
      </c>
    </row>
    <row r="44" spans="1:6">
      <c r="A44" s="59">
        <v>32325</v>
      </c>
      <c r="B44">
        <v>0.88301818434226698</v>
      </c>
      <c r="C44">
        <v>0.85362822647649395</v>
      </c>
      <c r="D44">
        <v>2.9389957865773399E-2</v>
      </c>
      <c r="E44" s="17">
        <f t="shared" si="0"/>
        <v>1.4638653827448556E-2</v>
      </c>
    </row>
    <row r="45" spans="1:6">
      <c r="A45" s="59">
        <v>32417</v>
      </c>
      <c r="B45">
        <v>0.84285213646129098</v>
      </c>
      <c r="C45">
        <v>0.83673135834893497</v>
      </c>
      <c r="D45">
        <v>6.12077811235558E-3</v>
      </c>
      <c r="E45" s="17">
        <f t="shared" si="0"/>
        <v>3.4171167428334925E-2</v>
      </c>
    </row>
    <row r="46" spans="1:6">
      <c r="A46" s="59">
        <v>32509</v>
      </c>
      <c r="B46">
        <v>0.87967454073573703</v>
      </c>
      <c r="C46">
        <v>0.83074809252916604</v>
      </c>
      <c r="D46">
        <v>4.8926448206571299E-2</v>
      </c>
      <c r="E46" s="17">
        <f t="shared" si="0"/>
        <v>9.9101004759387212E-2</v>
      </c>
    </row>
    <row r="47" spans="1:6">
      <c r="A47" s="59">
        <v>32599</v>
      </c>
      <c r="B47">
        <v>0.91912107037226998</v>
      </c>
      <c r="C47">
        <v>0.83497152317997703</v>
      </c>
      <c r="D47">
        <v>8.4149547192293395E-2</v>
      </c>
      <c r="E47" s="17">
        <f t="shared" si="0"/>
        <v>0.13446870755406981</v>
      </c>
    </row>
    <row r="48" spans="1:6">
      <c r="A48" s="59">
        <v>32690</v>
      </c>
      <c r="B48">
        <v>0.91548115454743995</v>
      </c>
      <c r="C48">
        <v>0.839498070502949</v>
      </c>
      <c r="D48">
        <v>7.5983084044491195E-2</v>
      </c>
      <c r="E48" s="17">
        <f t="shared" si="0"/>
        <v>3.6763648564444473E-2</v>
      </c>
    </row>
    <row r="49" spans="1:5">
      <c r="A49" s="59">
        <v>32782</v>
      </c>
      <c r="B49">
        <v>0.86972825912137497</v>
      </c>
      <c r="C49">
        <v>0.83563728383286195</v>
      </c>
      <c r="D49">
        <v>3.4090975288513098E-2</v>
      </c>
      <c r="E49" s="17">
        <f t="shared" si="0"/>
        <v>3.18871145927484E-2</v>
      </c>
    </row>
    <row r="50" spans="1:5">
      <c r="A50" s="59">
        <v>32874</v>
      </c>
      <c r="B50">
        <v>0.80903477897246001</v>
      </c>
      <c r="C50">
        <v>0.82113893534016702</v>
      </c>
      <c r="D50">
        <v>-1.2104156367706899E-2</v>
      </c>
      <c r="E50" s="17">
        <f t="shared" si="0"/>
        <v>-8.0302155504234252E-2</v>
      </c>
    </row>
    <row r="51" spans="1:5">
      <c r="A51" s="59">
        <v>32964</v>
      </c>
      <c r="B51">
        <v>0.79506766010973895</v>
      </c>
      <c r="C51">
        <v>0.80647663552667703</v>
      </c>
      <c r="D51">
        <v>-1.1408975416937601E-2</v>
      </c>
      <c r="E51" s="17">
        <f t="shared" si="0"/>
        <v>-0.13496960766255295</v>
      </c>
    </row>
    <row r="52" spans="1:5">
      <c r="A52" s="59">
        <v>33055</v>
      </c>
      <c r="B52">
        <v>0.75375884795817605</v>
      </c>
      <c r="C52">
        <v>0.78621491945364896</v>
      </c>
      <c r="D52">
        <v>-3.2456071495472701E-2</v>
      </c>
      <c r="E52" s="17">
        <f t="shared" si="0"/>
        <v>-0.17665279704114711</v>
      </c>
    </row>
    <row r="53" spans="1:5">
      <c r="A53" s="59">
        <v>33147</v>
      </c>
      <c r="B53">
        <v>0.71325420325628597</v>
      </c>
      <c r="C53">
        <v>0.76116781396239197</v>
      </c>
      <c r="D53">
        <v>-4.7913610706105898E-2</v>
      </c>
      <c r="E53" s="17">
        <f t="shared" si="0"/>
        <v>-0.17991143121319719</v>
      </c>
    </row>
    <row r="54" spans="1:5">
      <c r="A54" s="59">
        <v>33239</v>
      </c>
      <c r="B54">
        <v>0.73005707049416502</v>
      </c>
      <c r="C54">
        <v>0.74344335527371896</v>
      </c>
      <c r="D54">
        <v>-1.33862847795544E-2</v>
      </c>
      <c r="E54" s="17">
        <f t="shared" si="0"/>
        <v>-9.7619670415903692E-2</v>
      </c>
    </row>
    <row r="55" spans="1:5">
      <c r="A55" s="59">
        <v>33329</v>
      </c>
      <c r="B55">
        <v>0.82579532160772495</v>
      </c>
      <c r="C55">
        <v>0.74817581025828295</v>
      </c>
      <c r="D55">
        <v>7.76195113494422E-2</v>
      </c>
      <c r="E55" s="17">
        <f t="shared" si="0"/>
        <v>3.8647857332978264E-2</v>
      </c>
    </row>
    <row r="56" spans="1:5">
      <c r="A56" s="59">
        <v>33420</v>
      </c>
      <c r="B56">
        <v>0.82765760412275502</v>
      </c>
      <c r="C56">
        <v>0.75406752338924099</v>
      </c>
      <c r="D56">
        <v>7.3590080733514404E-2</v>
      </c>
      <c r="E56" s="17">
        <f t="shared" si="0"/>
        <v>9.8040316693807306E-2</v>
      </c>
    </row>
    <row r="57" spans="1:5">
      <c r="A57" s="59">
        <v>33512</v>
      </c>
      <c r="B57">
        <v>0.77365141118689995</v>
      </c>
      <c r="C57">
        <v>0.74959110394073802</v>
      </c>
      <c r="D57">
        <v>2.4060307246161702E-2</v>
      </c>
      <c r="E57" s="17">
        <f t="shared" si="0"/>
        <v>8.467837645383236E-2</v>
      </c>
    </row>
    <row r="58" spans="1:5">
      <c r="A58" s="59">
        <v>33604</v>
      </c>
      <c r="B58">
        <v>0.77106961042742805</v>
      </c>
      <c r="C58">
        <v>0.74603246321738803</v>
      </c>
      <c r="D58">
        <v>2.5037147210039801E-2</v>
      </c>
      <c r="E58" s="17">
        <f t="shared" si="0"/>
        <v>5.6177169690997175E-2</v>
      </c>
    </row>
    <row r="59" spans="1:5">
      <c r="A59" s="59">
        <v>33695</v>
      </c>
      <c r="B59">
        <v>0.76615995652416802</v>
      </c>
      <c r="C59">
        <v>0.74276250804987598</v>
      </c>
      <c r="D59">
        <v>2.3397448474291802E-2</v>
      </c>
      <c r="E59" s="17">
        <f t="shared" si="0"/>
        <v>-7.2215673209983788E-2</v>
      </c>
    </row>
    <row r="60" spans="1:5">
      <c r="A60" s="59">
        <v>33786</v>
      </c>
      <c r="B60">
        <v>0.70047217326676503</v>
      </c>
      <c r="C60">
        <v>0.72749723403867395</v>
      </c>
      <c r="D60">
        <v>-2.70250607719093E-2</v>
      </c>
      <c r="E60" s="17">
        <f t="shared" si="0"/>
        <v>-0.15366913832779372</v>
      </c>
    </row>
    <row r="61" spans="1:5">
      <c r="A61" s="59">
        <v>33878</v>
      </c>
      <c r="B61">
        <v>0.74741015756603102</v>
      </c>
      <c r="C61">
        <v>0.72410314693188405</v>
      </c>
      <c r="D61">
        <v>2.3307010634146499E-2</v>
      </c>
      <c r="E61" s="17">
        <f t="shared" si="0"/>
        <v>-3.3918704524316445E-2</v>
      </c>
    </row>
    <row r="62" spans="1:5">
      <c r="A62" s="59">
        <v>33970</v>
      </c>
      <c r="B62">
        <v>0.8319323889868</v>
      </c>
      <c r="C62">
        <v>0.73886222740454699</v>
      </c>
      <c r="D62">
        <v>9.3070161582252703E-2</v>
      </c>
      <c r="E62" s="17">
        <f t="shared" si="0"/>
        <v>7.893292348226999E-2</v>
      </c>
    </row>
    <row r="63" spans="1:5">
      <c r="A63" s="59">
        <v>34060</v>
      </c>
      <c r="B63">
        <v>0.842598188845605</v>
      </c>
      <c r="C63">
        <v>0.75488076377673696</v>
      </c>
      <c r="D63">
        <v>8.7717425068867594E-2</v>
      </c>
      <c r="E63" s="17">
        <f t="shared" si="0"/>
        <v>9.9767981438515507E-2</v>
      </c>
    </row>
    <row r="64" spans="1:5">
      <c r="A64" s="59">
        <v>34151</v>
      </c>
      <c r="B64">
        <v>0.89969407777230404</v>
      </c>
      <c r="C64">
        <v>0.78109837225643797</v>
      </c>
      <c r="D64">
        <v>0.118595705515866</v>
      </c>
      <c r="E64" s="17">
        <f t="shared" si="0"/>
        <v>0.28441087613293115</v>
      </c>
    </row>
    <row r="65" spans="1:5">
      <c r="A65" s="59">
        <v>34243</v>
      </c>
      <c r="B65">
        <v>0.89618113575531599</v>
      </c>
      <c r="C65">
        <v>0.804004291965847</v>
      </c>
      <c r="D65">
        <v>9.2176843789468402E-2</v>
      </c>
      <c r="E65" s="17">
        <f t="shared" si="0"/>
        <v>0.19904864375106057</v>
      </c>
    </row>
    <row r="66" spans="1:5">
      <c r="A66" s="59">
        <v>34335</v>
      </c>
      <c r="B66">
        <v>0.89025569138931404</v>
      </c>
      <c r="C66">
        <v>0.82318832074544501</v>
      </c>
      <c r="D66">
        <v>6.7067370643868904E-2</v>
      </c>
      <c r="E66" s="17">
        <f t="shared" si="0"/>
        <v>7.0105820105820449E-2</v>
      </c>
    </row>
    <row r="67" spans="1:5">
      <c r="A67" s="59">
        <v>34425</v>
      </c>
      <c r="B67">
        <v>0.86706180915667397</v>
      </c>
      <c r="C67">
        <v>0.835372339598352</v>
      </c>
      <c r="D67">
        <v>3.1689469558321998E-2</v>
      </c>
      <c r="E67" s="17">
        <f t="shared" si="0"/>
        <v>2.9033554350010204E-2</v>
      </c>
    </row>
    <row r="68" spans="1:5">
      <c r="A68" s="59">
        <v>34516</v>
      </c>
      <c r="B68">
        <v>0.830578001703142</v>
      </c>
      <c r="C68">
        <v>0.83850406487520901</v>
      </c>
      <c r="D68">
        <v>-7.9260631720672308E-3</v>
      </c>
      <c r="E68" s="17">
        <f t="shared" si="0"/>
        <v>-7.6821752834360657E-2</v>
      </c>
    </row>
    <row r="69" spans="1:5">
      <c r="A69" s="59">
        <v>34608</v>
      </c>
      <c r="B69">
        <v>0.81360583605480497</v>
      </c>
      <c r="C69">
        <v>0.83742665467572597</v>
      </c>
      <c r="D69">
        <v>-2.3820818620920899E-2</v>
      </c>
      <c r="E69" s="17">
        <f t="shared" si="0"/>
        <v>-9.2141305374515814E-2</v>
      </c>
    </row>
    <row r="70" spans="1:5">
      <c r="A70" s="59">
        <v>34700</v>
      </c>
      <c r="B70">
        <v>0.80844223453585995</v>
      </c>
      <c r="C70">
        <v>0.83499726767551896</v>
      </c>
      <c r="D70">
        <v>-2.65550331396592E-2</v>
      </c>
      <c r="E70" s="17">
        <f t="shared" si="0"/>
        <v>-9.1898830464961945E-2</v>
      </c>
    </row>
    <row r="71" spans="1:5">
      <c r="A71" s="59">
        <v>34790</v>
      </c>
      <c r="B71">
        <v>0.78194703329930404</v>
      </c>
      <c r="C71">
        <v>0.82714774541279301</v>
      </c>
      <c r="D71">
        <v>-4.5200712113489298E-2</v>
      </c>
      <c r="E71" s="17">
        <f t="shared" ref="E71:E98" si="1">B71/B67-1</f>
        <v>-9.816460021478135E-2</v>
      </c>
    </row>
    <row r="72" spans="1:5">
      <c r="A72" s="59">
        <v>34881</v>
      </c>
      <c r="B72">
        <v>0.789099891141122</v>
      </c>
      <c r="C72">
        <v>0.82129667880783197</v>
      </c>
      <c r="D72">
        <v>-3.2196787666709498E-2</v>
      </c>
      <c r="E72" s="17">
        <f t="shared" si="1"/>
        <v>-4.9938850387280964E-2</v>
      </c>
    </row>
    <row r="73" spans="1:5">
      <c r="A73" s="59">
        <v>34973</v>
      </c>
      <c r="B73">
        <v>0.79210493792673797</v>
      </c>
      <c r="C73">
        <v>0.81650207038342604</v>
      </c>
      <c r="D73">
        <v>-2.4397132456688099E-2</v>
      </c>
      <c r="E73" s="17">
        <f t="shared" si="1"/>
        <v>-2.642667637725582E-2</v>
      </c>
    </row>
    <row r="74" spans="1:5">
      <c r="A74" s="59">
        <v>35065</v>
      </c>
      <c r="B74">
        <v>0.80463302030057204</v>
      </c>
      <c r="C74">
        <v>0.81463629059680898</v>
      </c>
      <c r="D74">
        <v>-1.00032702962365E-2</v>
      </c>
      <c r="E74" s="17">
        <f t="shared" si="1"/>
        <v>-4.7117951939693592E-3</v>
      </c>
    </row>
    <row r="75" spans="1:5">
      <c r="A75" s="59">
        <v>35156</v>
      </c>
      <c r="B75">
        <v>0.80873850675416004</v>
      </c>
      <c r="C75">
        <v>0.81374448386092302</v>
      </c>
      <c r="D75">
        <v>-5.0059771067628E-3</v>
      </c>
      <c r="E75" s="17">
        <f t="shared" si="1"/>
        <v>3.4262516914749908E-2</v>
      </c>
    </row>
    <row r="76" spans="1:5">
      <c r="A76" s="59">
        <v>35247</v>
      </c>
      <c r="B76">
        <v>0.78998870779602204</v>
      </c>
      <c r="C76">
        <v>0.80915924643945702</v>
      </c>
      <c r="D76">
        <v>-1.9170538643434799E-2</v>
      </c>
      <c r="E76" s="17">
        <f t="shared" si="1"/>
        <v>1.1263677322457255E-3</v>
      </c>
    </row>
    <row r="77" spans="1:5">
      <c r="A77" s="59">
        <v>35339</v>
      </c>
      <c r="B77">
        <v>0.77297421754507101</v>
      </c>
      <c r="C77">
        <v>0.80165272740348903</v>
      </c>
      <c r="D77">
        <v>-2.8678509858418601E-2</v>
      </c>
      <c r="E77" s="17">
        <f t="shared" si="1"/>
        <v>-2.4151749933209454E-2</v>
      </c>
    </row>
    <row r="78" spans="1:5">
      <c r="A78" s="59">
        <v>35431</v>
      </c>
      <c r="B78">
        <v>0.79722621484306899</v>
      </c>
      <c r="C78">
        <v>0.79987452988333096</v>
      </c>
      <c r="D78">
        <v>-2.6483150402612501E-3</v>
      </c>
      <c r="E78" s="17">
        <f t="shared" si="1"/>
        <v>-9.2051969912150255E-3</v>
      </c>
    </row>
    <row r="79" spans="1:5">
      <c r="A79" s="59">
        <v>35521</v>
      </c>
      <c r="B79">
        <v>0.83421791752797203</v>
      </c>
      <c r="C79">
        <v>0.80581268057646604</v>
      </c>
      <c r="D79">
        <v>2.8405236951506301E-2</v>
      </c>
      <c r="E79" s="17">
        <f t="shared" si="1"/>
        <v>3.1505128741887933E-2</v>
      </c>
    </row>
    <row r="80" spans="1:5">
      <c r="A80" s="59">
        <v>35612</v>
      </c>
      <c r="B80">
        <v>0.86147496161158499</v>
      </c>
      <c r="C80">
        <v>0.81666140769385098</v>
      </c>
      <c r="D80">
        <v>4.4813553917734401E-2</v>
      </c>
      <c r="E80" s="17">
        <f t="shared" si="1"/>
        <v>9.0490222341280457E-2</v>
      </c>
    </row>
    <row r="81" spans="1:5">
      <c r="A81" s="59">
        <v>35704</v>
      </c>
      <c r="B81">
        <v>0.861347987803742</v>
      </c>
      <c r="C81">
        <v>0.82631060239240095</v>
      </c>
      <c r="D81">
        <v>3.5037385411341403E-2</v>
      </c>
      <c r="E81" s="17">
        <f t="shared" si="1"/>
        <v>0.11432951869900898</v>
      </c>
    </row>
    <row r="82" spans="1:5">
      <c r="A82" s="59">
        <v>35796</v>
      </c>
      <c r="B82">
        <v>0.92386142586507303</v>
      </c>
      <c r="C82">
        <v>0.84734523750331703</v>
      </c>
      <c r="D82">
        <v>7.6516188361755999E-2</v>
      </c>
      <c r="E82" s="17">
        <f t="shared" si="1"/>
        <v>0.15884476534296077</v>
      </c>
    </row>
    <row r="83" spans="1:5">
      <c r="A83" s="59">
        <v>35886</v>
      </c>
      <c r="B83">
        <v>0.90422281025203399</v>
      </c>
      <c r="C83">
        <v>0.86193295778909096</v>
      </c>
      <c r="D83">
        <v>4.2289852462942597E-2</v>
      </c>
      <c r="E83" s="17">
        <f t="shared" si="1"/>
        <v>8.3916793505834253E-2</v>
      </c>
    </row>
    <row r="84" spans="1:5">
      <c r="A84" s="59">
        <v>35977</v>
      </c>
      <c r="B84">
        <v>0.89292214135401504</v>
      </c>
      <c r="C84">
        <v>0.87227390147703099</v>
      </c>
      <c r="D84">
        <v>2.0648239876984501E-2</v>
      </c>
      <c r="E84" s="17">
        <f t="shared" si="1"/>
        <v>3.6503881300973484E-2</v>
      </c>
    </row>
    <row r="85" spans="1:5">
      <c r="A85" s="59">
        <v>36069</v>
      </c>
      <c r="B85">
        <v>0.849285476058665</v>
      </c>
      <c r="C85">
        <v>0.87225084804094499</v>
      </c>
      <c r="D85">
        <v>-2.29653719822802E-2</v>
      </c>
      <c r="E85" s="17">
        <f t="shared" si="1"/>
        <v>-1.4004225836568018E-2</v>
      </c>
    </row>
    <row r="86" spans="1:5">
      <c r="A86" s="59">
        <v>36161</v>
      </c>
      <c r="B86">
        <v>0.89086503541231898</v>
      </c>
      <c r="C86">
        <v>0.88005811457424299</v>
      </c>
      <c r="D86">
        <v>1.0806920838076601E-2</v>
      </c>
      <c r="E86" s="17">
        <f t="shared" si="1"/>
        <v>-3.5715735638445212E-2</v>
      </c>
    </row>
    <row r="87" spans="1:5">
      <c r="A87" s="59">
        <v>36251</v>
      </c>
      <c r="B87">
        <v>0.94629742424170205</v>
      </c>
      <c r="C87">
        <v>0.89765846158467</v>
      </c>
      <c r="D87">
        <v>4.8638962657032297E-2</v>
      </c>
      <c r="E87" s="17">
        <f t="shared" si="1"/>
        <v>4.6531245963525869E-2</v>
      </c>
    </row>
    <row r="88" spans="1:5">
      <c r="A88" s="59">
        <v>36342</v>
      </c>
      <c r="B88">
        <v>0.95359079503030297</v>
      </c>
      <c r="C88">
        <v>0.91427890251590904</v>
      </c>
      <c r="D88">
        <v>3.9311892514394098E-2</v>
      </c>
      <c r="E88" s="17">
        <f t="shared" si="1"/>
        <v>6.7943945912563919E-2</v>
      </c>
    </row>
    <row r="89" spans="1:5">
      <c r="A89" s="59">
        <v>36434</v>
      </c>
      <c r="B89">
        <v>0.96349833776111105</v>
      </c>
      <c r="C89">
        <v>0.930431764966413</v>
      </c>
      <c r="D89">
        <v>3.3066572794698101E-2</v>
      </c>
      <c r="E89" s="17">
        <f t="shared" si="1"/>
        <v>0.13448111962597209</v>
      </c>
    </row>
    <row r="90" spans="1:5">
      <c r="A90" s="59">
        <v>36526</v>
      </c>
      <c r="B90">
        <v>1.0128999099450999</v>
      </c>
      <c r="C90">
        <v>0.95399199682718305</v>
      </c>
      <c r="D90">
        <v>5.8907913117917099E-2</v>
      </c>
      <c r="E90" s="17">
        <f t="shared" si="1"/>
        <v>0.1369846942935633</v>
      </c>
    </row>
    <row r="91" spans="1:5">
      <c r="A91" s="59">
        <v>36617</v>
      </c>
      <c r="B91">
        <v>1.0707995252575799</v>
      </c>
      <c r="C91">
        <v>0.98575596852265501</v>
      </c>
      <c r="D91">
        <v>8.50435567349246E-2</v>
      </c>
      <c r="E91" s="17">
        <f t="shared" si="1"/>
        <v>0.1315676211584802</v>
      </c>
    </row>
    <row r="92" spans="1:5">
      <c r="A92" s="59">
        <v>36708</v>
      </c>
      <c r="B92">
        <v>1.1065821814030401</v>
      </c>
      <c r="C92">
        <v>1.02022688292564</v>
      </c>
      <c r="D92">
        <v>8.6355298477396203E-2</v>
      </c>
      <c r="E92" s="17">
        <f t="shared" si="1"/>
        <v>0.16043714680349375</v>
      </c>
    </row>
    <row r="93" spans="1:5">
      <c r="A93" s="59">
        <v>36800</v>
      </c>
      <c r="B93">
        <v>1.15010266391508</v>
      </c>
      <c r="C93">
        <v>1.05844303627272</v>
      </c>
      <c r="D93">
        <v>9.1659627642360006E-2</v>
      </c>
      <c r="E93" s="17">
        <f t="shared" si="1"/>
        <v>0.19367373958068557</v>
      </c>
    </row>
    <row r="94" spans="1:5">
      <c r="A94" s="59">
        <v>36892</v>
      </c>
      <c r="B94">
        <v>1.0838351025848501</v>
      </c>
      <c r="C94">
        <v>1.0777531900157</v>
      </c>
      <c r="D94">
        <v>6.0819125691493501E-3</v>
      </c>
      <c r="E94" s="17">
        <f t="shared" si="1"/>
        <v>7.0031788870032363E-2</v>
      </c>
    </row>
    <row r="95" spans="1:5">
      <c r="A95" s="59">
        <v>36982</v>
      </c>
      <c r="B95">
        <v>1.1444160384127</v>
      </c>
      <c r="C95">
        <v>1.1054764041065099</v>
      </c>
      <c r="D95">
        <v>3.8939634306186202E-2</v>
      </c>
      <c r="E95" s="17">
        <f t="shared" si="1"/>
        <v>6.8749108884234689E-2</v>
      </c>
    </row>
    <row r="96" spans="1:5">
      <c r="A96" s="59">
        <v>37073</v>
      </c>
      <c r="B96">
        <v>1.12178594697451</v>
      </c>
      <c r="C96">
        <v>1.12397136367297</v>
      </c>
      <c r="D96">
        <v>-2.18541669846369E-3</v>
      </c>
      <c r="E96" s="17">
        <f t="shared" si="1"/>
        <v>1.3739391277919344E-2</v>
      </c>
    </row>
    <row r="97" spans="1:5">
      <c r="A97" s="60">
        <v>37165</v>
      </c>
      <c r="B97">
        <v>1.11648726537337</v>
      </c>
      <c r="C97">
        <v>1.1376455101640901</v>
      </c>
      <c r="D97">
        <v>-2.1158244790716801E-2</v>
      </c>
      <c r="E97" s="17">
        <f t="shared" si="1"/>
        <v>-2.9228172054901025E-2</v>
      </c>
    </row>
    <row r="98" spans="1:5">
      <c r="A98" s="59">
        <v>37257</v>
      </c>
      <c r="B98">
        <v>1.14073298545873</v>
      </c>
      <c r="C98">
        <v>1.1529669032257599</v>
      </c>
      <c r="D98">
        <v>-1.2233917767031401E-2</v>
      </c>
      <c r="E98" s="17">
        <f t="shared" si="1"/>
        <v>5.2496807621550179E-2</v>
      </c>
    </row>
    <row r="99" spans="1:5">
      <c r="A99" s="59"/>
    </row>
    <row r="100" spans="1:5">
      <c r="A100" s="59"/>
    </row>
    <row r="101" spans="1:5">
      <c r="A101" s="59"/>
    </row>
    <row r="102" spans="1:5">
      <c r="A102" s="59"/>
    </row>
    <row r="103" spans="1:5">
      <c r="A103" s="59"/>
    </row>
    <row r="104" spans="1:5">
      <c r="A104" s="59"/>
    </row>
    <row r="105" spans="1:5">
      <c r="A105" s="59"/>
    </row>
    <row r="106" spans="1:5">
      <c r="A106" s="59"/>
    </row>
    <row r="107" spans="1:5">
      <c r="A107" s="59"/>
    </row>
    <row r="108" spans="1:5">
      <c r="A108" s="59"/>
    </row>
    <row r="109" spans="1:5">
      <c r="A109" s="59"/>
    </row>
    <row r="110" spans="1:5">
      <c r="A110" s="59"/>
    </row>
    <row r="111" spans="1:5">
      <c r="A111" s="59"/>
    </row>
    <row r="112" spans="1:5">
      <c r="A112" s="59"/>
    </row>
    <row r="113" spans="1:1">
      <c r="A113" s="59"/>
    </row>
    <row r="114" spans="1:1">
      <c r="A114" s="59"/>
    </row>
    <row r="115" spans="1:1">
      <c r="A115" s="59"/>
    </row>
    <row r="116" spans="1:1">
      <c r="A116" s="59"/>
    </row>
    <row r="117" spans="1:1">
      <c r="A117" s="59"/>
    </row>
    <row r="118" spans="1:1">
      <c r="A118" s="59"/>
    </row>
    <row r="119" spans="1:1">
      <c r="A119" s="59"/>
    </row>
    <row r="120" spans="1:1">
      <c r="A120" s="59"/>
    </row>
    <row r="121" spans="1:1">
      <c r="A121" s="59"/>
    </row>
    <row r="122" spans="1:1">
      <c r="A122" s="59"/>
    </row>
    <row r="123" spans="1:1">
      <c r="A123" s="59"/>
    </row>
    <row r="124" spans="1:1">
      <c r="A124" s="59"/>
    </row>
    <row r="125" spans="1:1">
      <c r="A125" s="59"/>
    </row>
    <row r="126" spans="1:1">
      <c r="A126" s="59"/>
    </row>
    <row r="127" spans="1:1">
      <c r="A127" s="59"/>
    </row>
    <row r="128" spans="1:1">
      <c r="A128" s="59"/>
    </row>
    <row r="129" spans="1:1">
      <c r="A129" s="59"/>
    </row>
    <row r="130" spans="1:1">
      <c r="A130" s="59"/>
    </row>
    <row r="131" spans="1:1">
      <c r="A131" s="59"/>
    </row>
    <row r="132" spans="1:1">
      <c r="A132" s="59"/>
    </row>
    <row r="133" spans="1:1">
      <c r="A133" s="59"/>
    </row>
    <row r="134" spans="1:1">
      <c r="A134" s="59"/>
    </row>
    <row r="135" spans="1:1">
      <c r="A135" s="59"/>
    </row>
    <row r="136" spans="1:1">
      <c r="A136" s="59"/>
    </row>
    <row r="137" spans="1:1">
      <c r="A137" s="59"/>
    </row>
    <row r="138" spans="1:1">
      <c r="A138" s="59"/>
    </row>
    <row r="139" spans="1:1">
      <c r="A139" s="59"/>
    </row>
    <row r="140" spans="1:1">
      <c r="A140" s="59"/>
    </row>
    <row r="141" spans="1:1">
      <c r="A141" s="59"/>
    </row>
    <row r="142" spans="1:1">
      <c r="A142" s="59"/>
    </row>
    <row r="143" spans="1:1">
      <c r="A143" s="59"/>
    </row>
    <row r="144" spans="1:1">
      <c r="A144" s="59"/>
    </row>
    <row r="145" spans="1:1">
      <c r="A145" s="59"/>
    </row>
    <row r="146" spans="1:1">
      <c r="A146" s="59"/>
    </row>
    <row r="147" spans="1:1">
      <c r="A147" s="59"/>
    </row>
    <row r="148" spans="1:1">
      <c r="A148" s="59"/>
    </row>
    <row r="149" spans="1:1">
      <c r="A149" s="59"/>
    </row>
    <row r="150" spans="1:1">
      <c r="A150" s="59"/>
    </row>
    <row r="151" spans="1:1">
      <c r="A151" s="59"/>
    </row>
    <row r="152" spans="1:1">
      <c r="A152" s="59"/>
    </row>
    <row r="153" spans="1:1">
      <c r="A153" s="59"/>
    </row>
    <row r="154" spans="1:1">
      <c r="A154" s="59"/>
    </row>
    <row r="155" spans="1:1">
      <c r="A155" s="59"/>
    </row>
    <row r="156" spans="1:1">
      <c r="A156" s="59"/>
    </row>
    <row r="157" spans="1:1">
      <c r="A157" s="59"/>
    </row>
    <row r="158" spans="1:1">
      <c r="A158" s="59"/>
    </row>
    <row r="159" spans="1:1">
      <c r="A159" s="59"/>
    </row>
    <row r="160" spans="1:1">
      <c r="A160" s="59"/>
    </row>
    <row r="161" spans="1:1">
      <c r="A161" s="59"/>
    </row>
    <row r="162" spans="1:1">
      <c r="A162" s="59"/>
    </row>
    <row r="163" spans="1:1">
      <c r="A163" s="59"/>
    </row>
    <row r="164" spans="1:1">
      <c r="A164" s="59"/>
    </row>
    <row r="165" spans="1:1">
      <c r="A165" s="59"/>
    </row>
    <row r="166" spans="1:1">
      <c r="A166" s="59"/>
    </row>
    <row r="167" spans="1:1">
      <c r="A167" s="59"/>
    </row>
    <row r="168" spans="1:1">
      <c r="A168" s="59"/>
    </row>
    <row r="169" spans="1:1">
      <c r="A169" s="59"/>
    </row>
    <row r="170" spans="1:1">
      <c r="A170" s="59"/>
    </row>
    <row r="171" spans="1:1">
      <c r="A171" s="59"/>
    </row>
    <row r="172" spans="1:1">
      <c r="A172" s="59"/>
    </row>
    <row r="173" spans="1:1">
      <c r="A173" s="59"/>
    </row>
    <row r="174" spans="1:1">
      <c r="A174" s="59"/>
    </row>
    <row r="175" spans="1:1">
      <c r="A175" s="59"/>
    </row>
    <row r="176" spans="1:1">
      <c r="A176" s="59"/>
    </row>
    <row r="177" spans="1:1">
      <c r="A177" s="59"/>
    </row>
    <row r="178" spans="1:1">
      <c r="A178" s="59"/>
    </row>
    <row r="179" spans="1:1">
      <c r="A179" s="59"/>
    </row>
    <row r="180" spans="1:1">
      <c r="A180" s="59"/>
    </row>
    <row r="181" spans="1:1">
      <c r="A181" s="59"/>
    </row>
    <row r="182" spans="1:1">
      <c r="A182" s="59"/>
    </row>
    <row r="183" spans="1:1">
      <c r="A183" s="59"/>
    </row>
    <row r="184" spans="1:1">
      <c r="A184" s="59"/>
    </row>
    <row r="185" spans="1:1">
      <c r="A185" s="59"/>
    </row>
    <row r="186" spans="1:1">
      <c r="A186" s="59"/>
    </row>
    <row r="187" spans="1:1">
      <c r="A187" s="59"/>
    </row>
    <row r="188" spans="1:1">
      <c r="A188" s="59"/>
    </row>
    <row r="189" spans="1:1">
      <c r="A189" s="59"/>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autoPageBreaks="0"/>
  </sheetPr>
  <dimension ref="A1:F165"/>
  <sheetViews>
    <sheetView topLeftCell="A58" workbookViewId="0">
      <selection activeCell="B62" sqref="B62"/>
    </sheetView>
  </sheetViews>
  <sheetFormatPr defaultRowHeight="14.5"/>
  <cols>
    <col min="5" max="5" width="8.7265625" style="17"/>
  </cols>
  <sheetData>
    <row r="1" spans="1:6" ht="33" thickBot="1">
      <c r="A1" s="2" t="s">
        <v>0</v>
      </c>
      <c r="B1" s="3" t="s">
        <v>1</v>
      </c>
      <c r="C1" s="3" t="s">
        <v>2</v>
      </c>
      <c r="D1" s="3" t="s">
        <v>3</v>
      </c>
      <c r="E1" s="4" t="s">
        <v>4</v>
      </c>
      <c r="F1" s="5"/>
    </row>
    <row r="2" spans="1:6">
      <c r="A2" s="6" t="s">
        <v>5</v>
      </c>
      <c r="B2" s="7">
        <v>0</v>
      </c>
      <c r="C2" s="7">
        <v>0</v>
      </c>
      <c r="D2" s="7">
        <v>0</v>
      </c>
      <c r="E2" s="8">
        <f>IF(SUM(B2:D2)=0,0,1)</f>
        <v>0</v>
      </c>
    </row>
    <row r="3" spans="1:6">
      <c r="A3" s="6" t="s">
        <v>6</v>
      </c>
      <c r="B3" s="9">
        <v>0</v>
      </c>
      <c r="C3" s="9">
        <v>0</v>
      </c>
      <c r="D3" s="9">
        <v>0</v>
      </c>
      <c r="E3" s="10">
        <f t="shared" ref="E3:E66" si="0">IF(SUM(B3:D3)=0,0,1)</f>
        <v>0</v>
      </c>
    </row>
    <row r="4" spans="1:6">
      <c r="A4" s="6" t="s">
        <v>7</v>
      </c>
      <c r="B4" s="9">
        <v>0</v>
      </c>
      <c r="C4" s="9">
        <v>0</v>
      </c>
      <c r="D4" s="9">
        <v>0</v>
      </c>
      <c r="E4" s="10">
        <f t="shared" si="0"/>
        <v>0</v>
      </c>
    </row>
    <row r="5" spans="1:6" ht="15" thickBot="1">
      <c r="A5" s="11" t="s">
        <v>8</v>
      </c>
      <c r="B5" s="12">
        <v>0</v>
      </c>
      <c r="C5" s="12">
        <v>0</v>
      </c>
      <c r="D5" s="12">
        <v>0</v>
      </c>
      <c r="E5" s="13">
        <f t="shared" si="0"/>
        <v>0</v>
      </c>
    </row>
    <row r="6" spans="1:6">
      <c r="A6" s="6" t="s">
        <v>9</v>
      </c>
      <c r="B6" s="7">
        <v>0</v>
      </c>
      <c r="C6" s="7">
        <v>0</v>
      </c>
      <c r="D6" s="7">
        <v>0</v>
      </c>
      <c r="E6" s="8">
        <f t="shared" si="0"/>
        <v>0</v>
      </c>
    </row>
    <row r="7" spans="1:6">
      <c r="A7" s="6" t="s">
        <v>10</v>
      </c>
      <c r="B7" s="9">
        <v>0</v>
      </c>
      <c r="C7" s="9">
        <v>0</v>
      </c>
      <c r="D7" s="9">
        <v>0</v>
      </c>
      <c r="E7" s="10">
        <f t="shared" si="0"/>
        <v>0</v>
      </c>
    </row>
    <row r="8" spans="1:6">
      <c r="A8" s="6" t="s">
        <v>11</v>
      </c>
      <c r="B8" s="9">
        <v>0</v>
      </c>
      <c r="C8" s="9">
        <v>0</v>
      </c>
      <c r="D8" s="9">
        <v>0</v>
      </c>
      <c r="E8" s="10">
        <f t="shared" si="0"/>
        <v>0</v>
      </c>
    </row>
    <row r="9" spans="1:6" ht="15" thickBot="1">
      <c r="A9" s="11" t="s">
        <v>12</v>
      </c>
      <c r="B9" s="12">
        <v>0</v>
      </c>
      <c r="C9" s="12">
        <v>0</v>
      </c>
      <c r="D9" s="12">
        <v>0</v>
      </c>
      <c r="E9" s="13">
        <f t="shared" si="0"/>
        <v>0</v>
      </c>
    </row>
    <row r="10" spans="1:6">
      <c r="A10" s="6" t="s">
        <v>13</v>
      </c>
      <c r="B10" s="7">
        <v>0</v>
      </c>
      <c r="C10" s="7">
        <v>0</v>
      </c>
      <c r="D10" s="7">
        <v>0</v>
      </c>
      <c r="E10" s="8">
        <f t="shared" si="0"/>
        <v>0</v>
      </c>
    </row>
    <row r="11" spans="1:6">
      <c r="A11" s="6" t="s">
        <v>14</v>
      </c>
      <c r="B11" s="9">
        <v>0</v>
      </c>
      <c r="C11" s="9">
        <v>0</v>
      </c>
      <c r="D11" s="9">
        <v>0</v>
      </c>
      <c r="E11" s="10">
        <f t="shared" si="0"/>
        <v>0</v>
      </c>
    </row>
    <row r="12" spans="1:6">
      <c r="A12" s="6" t="s">
        <v>15</v>
      </c>
      <c r="B12" s="9">
        <v>0</v>
      </c>
      <c r="C12" s="9">
        <v>0</v>
      </c>
      <c r="D12" s="9">
        <v>0</v>
      </c>
      <c r="E12" s="10">
        <f t="shared" si="0"/>
        <v>0</v>
      </c>
    </row>
    <row r="13" spans="1:6" ht="15" thickBot="1">
      <c r="A13" s="11" t="s">
        <v>16</v>
      </c>
      <c r="B13" s="12">
        <v>0</v>
      </c>
      <c r="C13" s="12">
        <v>0</v>
      </c>
      <c r="D13" s="12">
        <v>0</v>
      </c>
      <c r="E13" s="13">
        <f t="shared" si="0"/>
        <v>0</v>
      </c>
    </row>
    <row r="14" spans="1:6">
      <c r="A14" s="6" t="s">
        <v>17</v>
      </c>
      <c r="B14" s="7">
        <v>0</v>
      </c>
      <c r="C14" s="7">
        <v>0</v>
      </c>
      <c r="D14" s="7">
        <v>0</v>
      </c>
      <c r="E14" s="8">
        <f t="shared" si="0"/>
        <v>0</v>
      </c>
    </row>
    <row r="15" spans="1:6">
      <c r="A15" s="6" t="s">
        <v>18</v>
      </c>
      <c r="B15" s="9">
        <v>0</v>
      </c>
      <c r="C15" s="9">
        <v>0</v>
      </c>
      <c r="D15" s="9">
        <v>0</v>
      </c>
      <c r="E15" s="10">
        <f t="shared" si="0"/>
        <v>0</v>
      </c>
    </row>
    <row r="16" spans="1:6">
      <c r="A16" s="6" t="s">
        <v>19</v>
      </c>
      <c r="B16" s="9">
        <v>0</v>
      </c>
      <c r="C16" s="9">
        <v>0</v>
      </c>
      <c r="D16" s="9">
        <v>0</v>
      </c>
      <c r="E16" s="10">
        <f t="shared" si="0"/>
        <v>0</v>
      </c>
    </row>
    <row r="17" spans="1:5" ht="15" thickBot="1">
      <c r="A17" s="11" t="s">
        <v>20</v>
      </c>
      <c r="B17" s="12">
        <v>0</v>
      </c>
      <c r="C17" s="12">
        <v>0</v>
      </c>
      <c r="D17" s="12">
        <v>0</v>
      </c>
      <c r="E17" s="13">
        <f t="shared" si="0"/>
        <v>0</v>
      </c>
    </row>
    <row r="18" spans="1:5">
      <c r="A18" s="6" t="s">
        <v>21</v>
      </c>
      <c r="B18" s="7">
        <v>0</v>
      </c>
      <c r="C18" s="7">
        <v>0</v>
      </c>
      <c r="D18" s="7">
        <v>0</v>
      </c>
      <c r="E18" s="8">
        <f t="shared" si="0"/>
        <v>0</v>
      </c>
    </row>
    <row r="19" spans="1:5">
      <c r="A19" s="6" t="s">
        <v>22</v>
      </c>
      <c r="B19" s="9">
        <v>0</v>
      </c>
      <c r="C19" s="9">
        <v>0</v>
      </c>
      <c r="D19" s="9">
        <v>0</v>
      </c>
      <c r="E19" s="10">
        <f t="shared" si="0"/>
        <v>0</v>
      </c>
    </row>
    <row r="20" spans="1:5">
      <c r="A20" s="6" t="s">
        <v>23</v>
      </c>
      <c r="B20" s="9">
        <v>0</v>
      </c>
      <c r="C20" s="9">
        <v>0</v>
      </c>
      <c r="D20" s="9">
        <v>0</v>
      </c>
      <c r="E20" s="10">
        <f t="shared" si="0"/>
        <v>0</v>
      </c>
    </row>
    <row r="21" spans="1:5" ht="15" thickBot="1">
      <c r="A21" s="11" t="s">
        <v>24</v>
      </c>
      <c r="B21" s="12">
        <v>0</v>
      </c>
      <c r="C21" s="12">
        <v>0</v>
      </c>
      <c r="D21" s="12">
        <v>0</v>
      </c>
      <c r="E21" s="13">
        <f t="shared" si="0"/>
        <v>0</v>
      </c>
    </row>
    <row r="22" spans="1:5">
      <c r="A22" s="6" t="s">
        <v>25</v>
      </c>
      <c r="B22" s="7">
        <v>0</v>
      </c>
      <c r="C22" s="7">
        <v>0</v>
      </c>
      <c r="D22" s="7">
        <v>0</v>
      </c>
      <c r="E22" s="8">
        <f t="shared" si="0"/>
        <v>0</v>
      </c>
    </row>
    <row r="23" spans="1:5">
      <c r="A23" s="6" t="s">
        <v>26</v>
      </c>
      <c r="B23" s="9">
        <v>0</v>
      </c>
      <c r="C23" s="9">
        <v>1</v>
      </c>
      <c r="D23" s="9">
        <v>0</v>
      </c>
      <c r="E23" s="10">
        <f t="shared" si="0"/>
        <v>1</v>
      </c>
    </row>
    <row r="24" spans="1:5">
      <c r="A24" s="6" t="s">
        <v>27</v>
      </c>
      <c r="B24" s="9">
        <v>0</v>
      </c>
      <c r="C24" s="9">
        <v>1</v>
      </c>
      <c r="D24" s="9">
        <v>0</v>
      </c>
      <c r="E24" s="10">
        <f t="shared" si="0"/>
        <v>1</v>
      </c>
    </row>
    <row r="25" spans="1:5" ht="15" thickBot="1">
      <c r="A25" s="11" t="s">
        <v>28</v>
      </c>
      <c r="B25" s="12">
        <v>0</v>
      </c>
      <c r="C25" s="12">
        <v>1</v>
      </c>
      <c r="D25" s="12">
        <v>0</v>
      </c>
      <c r="E25" s="13">
        <f t="shared" si="0"/>
        <v>1</v>
      </c>
    </row>
    <row r="26" spans="1:5">
      <c r="A26" s="6" t="s">
        <v>29</v>
      </c>
      <c r="B26" s="7">
        <v>0</v>
      </c>
      <c r="C26" s="7">
        <v>1</v>
      </c>
      <c r="D26" s="7">
        <v>0</v>
      </c>
      <c r="E26" s="8">
        <f t="shared" si="0"/>
        <v>1</v>
      </c>
    </row>
    <row r="27" spans="1:5">
      <c r="A27" s="6" t="s">
        <v>30</v>
      </c>
      <c r="B27" s="9">
        <v>0</v>
      </c>
      <c r="C27" s="9">
        <v>1</v>
      </c>
      <c r="D27" s="9">
        <v>0</v>
      </c>
      <c r="E27" s="10">
        <f t="shared" si="0"/>
        <v>1</v>
      </c>
    </row>
    <row r="28" spans="1:5">
      <c r="A28" s="6" t="s">
        <v>31</v>
      </c>
      <c r="B28" s="9">
        <v>0</v>
      </c>
      <c r="C28" s="9">
        <v>1</v>
      </c>
      <c r="D28" s="9">
        <v>0</v>
      </c>
      <c r="E28" s="10">
        <f t="shared" si="0"/>
        <v>1</v>
      </c>
    </row>
    <row r="29" spans="1:5" ht="15" thickBot="1">
      <c r="A29" s="11" t="s">
        <v>32</v>
      </c>
      <c r="B29" s="12">
        <v>0</v>
      </c>
      <c r="C29" s="12">
        <v>0</v>
      </c>
      <c r="D29" s="12">
        <v>0</v>
      </c>
      <c r="E29" s="13">
        <f t="shared" si="0"/>
        <v>0</v>
      </c>
    </row>
    <row r="30" spans="1:5">
      <c r="A30" s="6" t="s">
        <v>33</v>
      </c>
      <c r="B30" s="7">
        <v>0</v>
      </c>
      <c r="C30" s="7">
        <v>0</v>
      </c>
      <c r="D30" s="7">
        <v>0</v>
      </c>
      <c r="E30" s="8">
        <f t="shared" si="0"/>
        <v>0</v>
      </c>
    </row>
    <row r="31" spans="1:5">
      <c r="A31" s="6" t="s">
        <v>34</v>
      </c>
      <c r="B31" s="9">
        <v>0</v>
      </c>
      <c r="C31" s="9">
        <v>0</v>
      </c>
      <c r="D31" s="9">
        <v>0</v>
      </c>
      <c r="E31" s="10">
        <f t="shared" si="0"/>
        <v>0</v>
      </c>
    </row>
    <row r="32" spans="1:5">
      <c r="A32" s="6" t="s">
        <v>35</v>
      </c>
      <c r="B32" s="9">
        <v>0</v>
      </c>
      <c r="C32" s="9">
        <v>0</v>
      </c>
      <c r="D32" s="9">
        <v>0</v>
      </c>
      <c r="E32" s="10">
        <f t="shared" si="0"/>
        <v>0</v>
      </c>
    </row>
    <row r="33" spans="1:5" ht="15" thickBot="1">
      <c r="A33" s="11" t="s">
        <v>36</v>
      </c>
      <c r="B33" s="12">
        <v>0</v>
      </c>
      <c r="C33" s="12">
        <v>0</v>
      </c>
      <c r="D33" s="12">
        <v>0</v>
      </c>
      <c r="E33" s="13">
        <f t="shared" si="0"/>
        <v>0</v>
      </c>
    </row>
    <row r="34" spans="1:5">
      <c r="A34" s="6" t="s">
        <v>37</v>
      </c>
      <c r="B34" s="7">
        <v>0</v>
      </c>
      <c r="C34" s="7">
        <v>0</v>
      </c>
      <c r="D34" s="7">
        <v>0</v>
      </c>
      <c r="E34" s="8">
        <f t="shared" si="0"/>
        <v>0</v>
      </c>
    </row>
    <row r="35" spans="1:5">
      <c r="A35" s="6" t="s">
        <v>38</v>
      </c>
      <c r="B35" s="9">
        <v>0</v>
      </c>
      <c r="C35" s="9">
        <v>0</v>
      </c>
      <c r="D35" s="9">
        <v>0</v>
      </c>
      <c r="E35" s="10">
        <f t="shared" si="0"/>
        <v>0</v>
      </c>
    </row>
    <row r="36" spans="1:5">
      <c r="A36" s="6" t="s">
        <v>39</v>
      </c>
      <c r="B36" s="9">
        <v>0</v>
      </c>
      <c r="C36" s="9">
        <v>0</v>
      </c>
      <c r="D36" s="9">
        <v>0</v>
      </c>
      <c r="E36" s="10">
        <f t="shared" si="0"/>
        <v>0</v>
      </c>
    </row>
    <row r="37" spans="1:5" ht="15" thickBot="1">
      <c r="A37" s="11" t="s">
        <v>40</v>
      </c>
      <c r="B37" s="12">
        <v>0</v>
      </c>
      <c r="C37" s="12">
        <v>0</v>
      </c>
      <c r="D37" s="12">
        <v>0</v>
      </c>
      <c r="E37" s="13">
        <f t="shared" si="0"/>
        <v>0</v>
      </c>
    </row>
    <row r="38" spans="1:5">
      <c r="A38" s="6" t="s">
        <v>41</v>
      </c>
      <c r="B38" s="7">
        <v>0</v>
      </c>
      <c r="C38" s="7">
        <v>0</v>
      </c>
      <c r="D38" s="7">
        <v>0</v>
      </c>
      <c r="E38" s="8">
        <f t="shared" si="0"/>
        <v>0</v>
      </c>
    </row>
    <row r="39" spans="1:5">
      <c r="A39" s="6" t="s">
        <v>42</v>
      </c>
      <c r="B39" s="9">
        <v>0</v>
      </c>
      <c r="C39" s="9">
        <v>0</v>
      </c>
      <c r="D39" s="9">
        <v>0</v>
      </c>
      <c r="E39" s="10">
        <f t="shared" si="0"/>
        <v>0</v>
      </c>
    </row>
    <row r="40" spans="1:5">
      <c r="A40" s="6" t="s">
        <v>43</v>
      </c>
      <c r="B40" s="9">
        <v>0</v>
      </c>
      <c r="C40" s="9">
        <v>0</v>
      </c>
      <c r="D40" s="9">
        <v>0</v>
      </c>
      <c r="E40" s="10">
        <f t="shared" si="0"/>
        <v>0</v>
      </c>
    </row>
    <row r="41" spans="1:5" ht="15" thickBot="1">
      <c r="A41" s="11" t="s">
        <v>44</v>
      </c>
      <c r="B41" s="12">
        <v>0</v>
      </c>
      <c r="C41" s="12">
        <v>0</v>
      </c>
      <c r="D41" s="12">
        <v>0</v>
      </c>
      <c r="E41" s="13">
        <f t="shared" si="0"/>
        <v>0</v>
      </c>
    </row>
    <row r="42" spans="1:5">
      <c r="A42" s="6" t="s">
        <v>45</v>
      </c>
      <c r="B42" s="7">
        <v>0</v>
      </c>
      <c r="C42" s="7">
        <v>0</v>
      </c>
      <c r="D42" s="7">
        <v>0</v>
      </c>
      <c r="E42" s="8">
        <f t="shared" si="0"/>
        <v>0</v>
      </c>
    </row>
    <row r="43" spans="1:5">
      <c r="A43" s="6" t="s">
        <v>46</v>
      </c>
      <c r="B43" s="9">
        <v>0</v>
      </c>
      <c r="C43" s="9">
        <v>0</v>
      </c>
      <c r="D43" s="9">
        <v>0</v>
      </c>
      <c r="E43" s="10">
        <f t="shared" si="0"/>
        <v>0</v>
      </c>
    </row>
    <row r="44" spans="1:5">
      <c r="A44" s="6" t="s">
        <v>47</v>
      </c>
      <c r="B44" s="9">
        <v>0</v>
      </c>
      <c r="C44" s="9">
        <v>1</v>
      </c>
      <c r="D44" s="9">
        <v>0</v>
      </c>
      <c r="E44" s="10">
        <f t="shared" si="0"/>
        <v>1</v>
      </c>
    </row>
    <row r="45" spans="1:5" ht="15" thickBot="1">
      <c r="A45" s="11" t="s">
        <v>48</v>
      </c>
      <c r="B45" s="12">
        <v>0</v>
      </c>
      <c r="C45" s="12">
        <v>1</v>
      </c>
      <c r="D45" s="12">
        <v>0</v>
      </c>
      <c r="E45" s="13">
        <f t="shared" si="0"/>
        <v>1</v>
      </c>
    </row>
    <row r="46" spans="1:5">
      <c r="A46" s="6" t="s">
        <v>49</v>
      </c>
      <c r="B46" s="7">
        <v>0</v>
      </c>
      <c r="C46" s="7">
        <v>1</v>
      </c>
      <c r="D46" s="7">
        <v>0</v>
      </c>
      <c r="E46" s="8">
        <f t="shared" si="0"/>
        <v>1</v>
      </c>
    </row>
    <row r="47" spans="1:5">
      <c r="A47" s="6" t="s">
        <v>50</v>
      </c>
      <c r="B47" s="9">
        <v>0</v>
      </c>
      <c r="C47" s="9">
        <v>1</v>
      </c>
      <c r="D47" s="9">
        <v>0</v>
      </c>
      <c r="E47" s="10">
        <f t="shared" si="0"/>
        <v>1</v>
      </c>
    </row>
    <row r="48" spans="1:5">
      <c r="A48" s="6" t="s">
        <v>51</v>
      </c>
      <c r="B48" s="9">
        <v>0</v>
      </c>
      <c r="C48" s="9">
        <v>0</v>
      </c>
      <c r="D48" s="9">
        <v>0</v>
      </c>
      <c r="E48" s="10">
        <f t="shared" si="0"/>
        <v>0</v>
      </c>
    </row>
    <row r="49" spans="1:5" ht="15" thickBot="1">
      <c r="A49" s="11" t="s">
        <v>52</v>
      </c>
      <c r="B49" s="12">
        <v>0</v>
      </c>
      <c r="C49" s="12">
        <v>0</v>
      </c>
      <c r="D49" s="12">
        <v>0</v>
      </c>
      <c r="E49" s="13">
        <f t="shared" si="0"/>
        <v>0</v>
      </c>
    </row>
    <row r="50" spans="1:5">
      <c r="A50" s="6" t="s">
        <v>53</v>
      </c>
      <c r="B50" s="7">
        <v>0</v>
      </c>
      <c r="C50" s="7">
        <v>0</v>
      </c>
      <c r="D50" s="7">
        <v>0</v>
      </c>
      <c r="E50" s="8">
        <f t="shared" si="0"/>
        <v>0</v>
      </c>
    </row>
    <row r="51" spans="1:5">
      <c r="A51" s="6" t="s">
        <v>54</v>
      </c>
      <c r="B51" s="9">
        <v>0</v>
      </c>
      <c r="C51" s="9">
        <v>0</v>
      </c>
      <c r="D51" s="9">
        <v>0</v>
      </c>
      <c r="E51" s="10">
        <f t="shared" si="0"/>
        <v>0</v>
      </c>
    </row>
    <row r="52" spans="1:5">
      <c r="A52" s="6" t="s">
        <v>55</v>
      </c>
      <c r="B52" s="9">
        <v>0</v>
      </c>
      <c r="C52" s="9">
        <v>0</v>
      </c>
      <c r="D52" s="9">
        <v>0</v>
      </c>
      <c r="E52" s="10">
        <f t="shared" si="0"/>
        <v>0</v>
      </c>
    </row>
    <row r="53" spans="1:5" ht="15" thickBot="1">
      <c r="A53" s="11" t="s">
        <v>56</v>
      </c>
      <c r="B53" s="12">
        <v>0</v>
      </c>
      <c r="C53" s="12">
        <v>0</v>
      </c>
      <c r="D53" s="12">
        <v>0</v>
      </c>
      <c r="E53" s="13">
        <f t="shared" si="0"/>
        <v>0</v>
      </c>
    </row>
    <row r="54" spans="1:5">
      <c r="A54" s="6" t="s">
        <v>57</v>
      </c>
      <c r="B54" s="7">
        <v>0</v>
      </c>
      <c r="C54" s="7">
        <v>0</v>
      </c>
      <c r="D54" s="7">
        <v>0</v>
      </c>
      <c r="E54" s="8">
        <f t="shared" si="0"/>
        <v>0</v>
      </c>
    </row>
    <row r="55" spans="1:5">
      <c r="A55" s="6" t="s">
        <v>58</v>
      </c>
      <c r="B55" s="9">
        <v>0</v>
      </c>
      <c r="C55" s="9">
        <v>0</v>
      </c>
      <c r="D55" s="9">
        <v>0</v>
      </c>
      <c r="E55" s="10">
        <f t="shared" si="0"/>
        <v>0</v>
      </c>
    </row>
    <row r="56" spans="1:5">
      <c r="A56" s="6" t="s">
        <v>59</v>
      </c>
      <c r="B56" s="9">
        <v>0</v>
      </c>
      <c r="C56" s="9">
        <v>0</v>
      </c>
      <c r="D56" s="9">
        <v>0</v>
      </c>
      <c r="E56" s="10">
        <f t="shared" si="0"/>
        <v>0</v>
      </c>
    </row>
    <row r="57" spans="1:5" ht="15" thickBot="1">
      <c r="A57" s="11" t="s">
        <v>60</v>
      </c>
      <c r="B57" s="12">
        <v>0</v>
      </c>
      <c r="C57" s="12">
        <v>0</v>
      </c>
      <c r="D57" s="12">
        <v>0</v>
      </c>
      <c r="E57" s="13">
        <f t="shared" si="0"/>
        <v>0</v>
      </c>
    </row>
    <row r="58" spans="1:5">
      <c r="A58" s="6" t="s">
        <v>61</v>
      </c>
      <c r="B58" s="7">
        <v>0</v>
      </c>
      <c r="C58" s="7">
        <v>0</v>
      </c>
      <c r="D58" s="7">
        <v>0</v>
      </c>
      <c r="E58" s="8">
        <f t="shared" si="0"/>
        <v>0</v>
      </c>
    </row>
    <row r="59" spans="1:5">
      <c r="A59" s="6" t="s">
        <v>62</v>
      </c>
      <c r="B59" s="9">
        <v>0</v>
      </c>
      <c r="C59" s="9">
        <v>0</v>
      </c>
      <c r="D59" s="9">
        <v>0</v>
      </c>
      <c r="E59" s="10">
        <f t="shared" si="0"/>
        <v>0</v>
      </c>
    </row>
    <row r="60" spans="1:5">
      <c r="A60" s="6" t="s">
        <v>63</v>
      </c>
      <c r="B60" s="9">
        <v>0</v>
      </c>
      <c r="C60" s="9">
        <v>0</v>
      </c>
      <c r="D60" s="9">
        <v>0</v>
      </c>
      <c r="E60" s="10">
        <f t="shared" si="0"/>
        <v>0</v>
      </c>
    </row>
    <row r="61" spans="1:5" ht="15" thickBot="1">
      <c r="A61" s="11" t="s">
        <v>64</v>
      </c>
      <c r="B61" s="12">
        <v>0</v>
      </c>
      <c r="C61" s="12">
        <v>0</v>
      </c>
      <c r="D61" s="12">
        <v>0</v>
      </c>
      <c r="E61" s="13">
        <f t="shared" si="0"/>
        <v>0</v>
      </c>
    </row>
    <row r="62" spans="1:5">
      <c r="A62" s="6" t="s">
        <v>65</v>
      </c>
      <c r="B62" s="7">
        <v>1</v>
      </c>
      <c r="C62" s="7">
        <v>0</v>
      </c>
      <c r="D62" s="7">
        <v>0</v>
      </c>
      <c r="E62" s="8">
        <f t="shared" si="0"/>
        <v>1</v>
      </c>
    </row>
    <row r="63" spans="1:5">
      <c r="A63" s="6" t="s">
        <v>66</v>
      </c>
      <c r="B63" s="9">
        <v>0</v>
      </c>
      <c r="C63" s="9">
        <v>0</v>
      </c>
      <c r="D63" s="9">
        <v>0</v>
      </c>
      <c r="E63" s="10">
        <f t="shared" si="0"/>
        <v>0</v>
      </c>
    </row>
    <row r="64" spans="1:5">
      <c r="A64" s="6" t="s">
        <v>67</v>
      </c>
      <c r="B64" s="9">
        <v>0</v>
      </c>
      <c r="C64" s="9">
        <v>0</v>
      </c>
      <c r="D64" s="9">
        <v>0</v>
      </c>
      <c r="E64" s="10">
        <f t="shared" si="0"/>
        <v>0</v>
      </c>
    </row>
    <row r="65" spans="1:5" ht="15" thickBot="1">
      <c r="A65" s="11" t="s">
        <v>68</v>
      </c>
      <c r="B65" s="12">
        <v>0</v>
      </c>
      <c r="C65" s="12">
        <v>0</v>
      </c>
      <c r="D65" s="12">
        <v>0</v>
      </c>
      <c r="E65" s="13">
        <f t="shared" si="0"/>
        <v>0</v>
      </c>
    </row>
    <row r="66" spans="1:5">
      <c r="A66" s="6" t="s">
        <v>69</v>
      </c>
      <c r="B66" s="7">
        <v>0</v>
      </c>
      <c r="C66" s="7">
        <v>0</v>
      </c>
      <c r="D66" s="7">
        <v>0</v>
      </c>
      <c r="E66" s="8">
        <f t="shared" si="0"/>
        <v>0</v>
      </c>
    </row>
    <row r="67" spans="1:5">
      <c r="A67" s="6" t="s">
        <v>70</v>
      </c>
      <c r="B67" s="9">
        <v>0</v>
      </c>
      <c r="C67" s="9">
        <v>0</v>
      </c>
      <c r="D67" s="9">
        <v>0</v>
      </c>
      <c r="E67" s="10">
        <f t="shared" ref="E67:E130" si="1">IF(SUM(B67:D67)=0,0,1)</f>
        <v>0</v>
      </c>
    </row>
    <row r="68" spans="1:5">
      <c r="A68" s="6" t="s">
        <v>71</v>
      </c>
      <c r="B68" s="9">
        <v>0</v>
      </c>
      <c r="C68" s="9">
        <v>0</v>
      </c>
      <c r="D68" s="9">
        <v>0</v>
      </c>
      <c r="E68" s="10">
        <f t="shared" si="1"/>
        <v>0</v>
      </c>
    </row>
    <row r="69" spans="1:5" ht="15" thickBot="1">
      <c r="A69" s="11" t="s">
        <v>72</v>
      </c>
      <c r="B69" s="12">
        <v>0</v>
      </c>
      <c r="C69" s="12">
        <v>0</v>
      </c>
      <c r="D69" s="12">
        <v>0</v>
      </c>
      <c r="E69" s="13">
        <f t="shared" si="1"/>
        <v>0</v>
      </c>
    </row>
    <row r="70" spans="1:5">
      <c r="A70" s="6" t="s">
        <v>73</v>
      </c>
      <c r="B70" s="7">
        <v>0</v>
      </c>
      <c r="C70" s="7">
        <v>0</v>
      </c>
      <c r="D70" s="7">
        <v>0</v>
      </c>
      <c r="E70" s="8">
        <f t="shared" si="1"/>
        <v>0</v>
      </c>
    </row>
    <row r="71" spans="1:5">
      <c r="A71" s="6" t="s">
        <v>74</v>
      </c>
      <c r="B71" s="9">
        <v>0</v>
      </c>
      <c r="C71" s="9">
        <v>0</v>
      </c>
      <c r="D71" s="9">
        <v>0</v>
      </c>
      <c r="E71" s="10">
        <f t="shared" si="1"/>
        <v>0</v>
      </c>
    </row>
    <row r="72" spans="1:5">
      <c r="A72" s="6" t="s">
        <v>75</v>
      </c>
      <c r="B72" s="9">
        <v>0</v>
      </c>
      <c r="C72" s="9">
        <v>0</v>
      </c>
      <c r="D72" s="9">
        <v>0</v>
      </c>
      <c r="E72" s="10">
        <f t="shared" si="1"/>
        <v>0</v>
      </c>
    </row>
    <row r="73" spans="1:5" ht="15" thickBot="1">
      <c r="A73" s="11" t="s">
        <v>76</v>
      </c>
      <c r="B73" s="12">
        <v>0</v>
      </c>
      <c r="C73" s="12">
        <v>0</v>
      </c>
      <c r="D73" s="12">
        <v>0</v>
      </c>
      <c r="E73" s="13">
        <f t="shared" si="1"/>
        <v>0</v>
      </c>
    </row>
    <row r="74" spans="1:5">
      <c r="A74" s="6" t="s">
        <v>77</v>
      </c>
      <c r="B74" s="7">
        <v>0</v>
      </c>
      <c r="C74" s="7">
        <v>0</v>
      </c>
      <c r="D74" s="7">
        <v>0</v>
      </c>
      <c r="E74" s="8">
        <f t="shared" si="1"/>
        <v>0</v>
      </c>
    </row>
    <row r="75" spans="1:5">
      <c r="A75" s="6" t="s">
        <v>78</v>
      </c>
      <c r="B75" s="9">
        <v>0</v>
      </c>
      <c r="C75" s="9">
        <v>0</v>
      </c>
      <c r="D75" s="9">
        <v>0</v>
      </c>
      <c r="E75" s="10">
        <f t="shared" si="1"/>
        <v>0</v>
      </c>
    </row>
    <row r="76" spans="1:5">
      <c r="A76" s="6" t="s">
        <v>79</v>
      </c>
      <c r="B76" s="9">
        <v>0</v>
      </c>
      <c r="C76" s="9">
        <v>0</v>
      </c>
      <c r="D76" s="9">
        <v>0</v>
      </c>
      <c r="E76" s="10">
        <f t="shared" si="1"/>
        <v>0</v>
      </c>
    </row>
    <row r="77" spans="1:5" ht="15" thickBot="1">
      <c r="A77" s="11" t="s">
        <v>80</v>
      </c>
      <c r="B77" s="12">
        <v>0</v>
      </c>
      <c r="C77" s="12">
        <v>0</v>
      </c>
      <c r="D77" s="12">
        <v>0</v>
      </c>
      <c r="E77" s="13">
        <f t="shared" si="1"/>
        <v>0</v>
      </c>
    </row>
    <row r="78" spans="1:5">
      <c r="A78" s="6" t="s">
        <v>81</v>
      </c>
      <c r="B78" s="7">
        <v>0</v>
      </c>
      <c r="C78" s="7">
        <v>0</v>
      </c>
      <c r="D78" s="7">
        <v>0</v>
      </c>
      <c r="E78" s="8">
        <f t="shared" si="1"/>
        <v>0</v>
      </c>
    </row>
    <row r="79" spans="1:5">
      <c r="A79" s="6" t="s">
        <v>82</v>
      </c>
      <c r="B79" s="9">
        <v>0</v>
      </c>
      <c r="C79" s="9">
        <v>0</v>
      </c>
      <c r="D79" s="9">
        <v>0</v>
      </c>
      <c r="E79" s="10">
        <f t="shared" si="1"/>
        <v>0</v>
      </c>
    </row>
    <row r="80" spans="1:5">
      <c r="A80" s="6" t="s">
        <v>83</v>
      </c>
      <c r="B80" s="9">
        <v>0</v>
      </c>
      <c r="C80" s="9">
        <v>0</v>
      </c>
      <c r="D80" s="9">
        <v>0</v>
      </c>
      <c r="E80" s="10">
        <f t="shared" si="1"/>
        <v>0</v>
      </c>
    </row>
    <row r="81" spans="1:5" ht="15" thickBot="1">
      <c r="A81" s="11" t="s">
        <v>84</v>
      </c>
      <c r="B81" s="12">
        <v>0</v>
      </c>
      <c r="C81" s="12">
        <v>0</v>
      </c>
      <c r="D81" s="12">
        <v>0</v>
      </c>
      <c r="E81" s="13">
        <f t="shared" si="1"/>
        <v>0</v>
      </c>
    </row>
    <row r="82" spans="1:5">
      <c r="A82" s="6" t="s">
        <v>85</v>
      </c>
      <c r="B82" s="7">
        <v>0</v>
      </c>
      <c r="C82" s="7">
        <v>0</v>
      </c>
      <c r="D82" s="7">
        <v>0</v>
      </c>
      <c r="E82" s="8">
        <f t="shared" si="1"/>
        <v>0</v>
      </c>
    </row>
    <row r="83" spans="1:5">
      <c r="A83" s="6" t="s">
        <v>86</v>
      </c>
      <c r="B83" s="9">
        <v>0</v>
      </c>
      <c r="C83" s="9">
        <v>0</v>
      </c>
      <c r="D83" s="9">
        <v>0</v>
      </c>
      <c r="E83" s="10">
        <f t="shared" si="1"/>
        <v>0</v>
      </c>
    </row>
    <row r="84" spans="1:5">
      <c r="A84" s="6" t="s">
        <v>87</v>
      </c>
      <c r="B84" s="9">
        <v>0</v>
      </c>
      <c r="C84" s="9">
        <v>0</v>
      </c>
      <c r="D84" s="9">
        <v>0</v>
      </c>
      <c r="E84" s="10">
        <f t="shared" si="1"/>
        <v>0</v>
      </c>
    </row>
    <row r="85" spans="1:5" ht="15" thickBot="1">
      <c r="A85" s="11" t="s">
        <v>88</v>
      </c>
      <c r="B85" s="12">
        <v>0</v>
      </c>
      <c r="C85" s="12">
        <v>0</v>
      </c>
      <c r="D85" s="12">
        <v>0</v>
      </c>
      <c r="E85" s="13">
        <f t="shared" si="1"/>
        <v>0</v>
      </c>
    </row>
    <row r="86" spans="1:5">
      <c r="A86" s="6" t="s">
        <v>89</v>
      </c>
      <c r="B86" s="7">
        <v>0</v>
      </c>
      <c r="C86" s="7">
        <v>0</v>
      </c>
      <c r="D86" s="7">
        <v>0</v>
      </c>
      <c r="E86" s="8">
        <f t="shared" si="1"/>
        <v>0</v>
      </c>
    </row>
    <row r="87" spans="1:5">
      <c r="A87" s="6" t="s">
        <v>90</v>
      </c>
      <c r="B87" s="9">
        <v>0</v>
      </c>
      <c r="C87" s="9">
        <v>0</v>
      </c>
      <c r="D87" s="9">
        <v>0</v>
      </c>
      <c r="E87" s="10">
        <f t="shared" si="1"/>
        <v>0</v>
      </c>
    </row>
    <row r="88" spans="1:5">
      <c r="A88" s="6" t="s">
        <v>91</v>
      </c>
      <c r="B88" s="9">
        <v>0</v>
      </c>
      <c r="C88" s="9">
        <v>0</v>
      </c>
      <c r="D88" s="9">
        <v>0</v>
      </c>
      <c r="E88" s="10">
        <f t="shared" si="1"/>
        <v>0</v>
      </c>
    </row>
    <row r="89" spans="1:5" ht="15" thickBot="1">
      <c r="A89" s="11" t="s">
        <v>92</v>
      </c>
      <c r="B89" s="12">
        <v>0</v>
      </c>
      <c r="C89" s="12">
        <v>0</v>
      </c>
      <c r="D89" s="12">
        <v>0</v>
      </c>
      <c r="E89" s="13">
        <f t="shared" si="1"/>
        <v>0</v>
      </c>
    </row>
    <row r="90" spans="1:5">
      <c r="A90" s="6" t="s">
        <v>93</v>
      </c>
      <c r="B90" s="7">
        <v>0</v>
      </c>
      <c r="C90" s="7">
        <v>0</v>
      </c>
      <c r="D90" s="7">
        <v>0</v>
      </c>
      <c r="E90" s="8">
        <f t="shared" si="1"/>
        <v>0</v>
      </c>
    </row>
    <row r="91" spans="1:5">
      <c r="A91" s="6" t="s">
        <v>94</v>
      </c>
      <c r="B91" s="9">
        <v>0</v>
      </c>
      <c r="C91" s="9">
        <v>0</v>
      </c>
      <c r="D91" s="9">
        <v>0</v>
      </c>
      <c r="E91" s="10">
        <f t="shared" si="1"/>
        <v>0</v>
      </c>
    </row>
    <row r="92" spans="1:5">
      <c r="A92" s="6" t="s">
        <v>95</v>
      </c>
      <c r="B92" s="9">
        <v>0</v>
      </c>
      <c r="C92" s="9">
        <v>0</v>
      </c>
      <c r="D92" s="9">
        <v>0</v>
      </c>
      <c r="E92" s="10">
        <f t="shared" si="1"/>
        <v>0</v>
      </c>
    </row>
    <row r="93" spans="1:5" ht="15" thickBot="1">
      <c r="A93" s="11" t="s">
        <v>96</v>
      </c>
      <c r="B93" s="12">
        <v>0</v>
      </c>
      <c r="C93" s="12">
        <v>0</v>
      </c>
      <c r="D93" s="12">
        <v>0</v>
      </c>
      <c r="E93" s="13">
        <f t="shared" si="1"/>
        <v>0</v>
      </c>
    </row>
    <row r="94" spans="1:5">
      <c r="A94" s="6" t="s">
        <v>97</v>
      </c>
      <c r="B94" s="7">
        <v>0</v>
      </c>
      <c r="C94" s="7">
        <v>0</v>
      </c>
      <c r="D94" s="7">
        <v>0</v>
      </c>
      <c r="E94" s="8">
        <f t="shared" si="1"/>
        <v>0</v>
      </c>
    </row>
    <row r="95" spans="1:5">
      <c r="A95" s="6" t="s">
        <v>98</v>
      </c>
      <c r="B95" s="9">
        <v>0</v>
      </c>
      <c r="C95" s="9">
        <v>0</v>
      </c>
      <c r="D95" s="9">
        <v>0</v>
      </c>
      <c r="E95" s="10">
        <f t="shared" si="1"/>
        <v>0</v>
      </c>
    </row>
    <row r="96" spans="1:5">
      <c r="A96" s="6" t="s">
        <v>99</v>
      </c>
      <c r="B96" s="9">
        <v>0</v>
      </c>
      <c r="C96" s="9">
        <v>0</v>
      </c>
      <c r="D96" s="9">
        <v>0</v>
      </c>
      <c r="E96" s="10">
        <f t="shared" si="1"/>
        <v>0</v>
      </c>
    </row>
    <row r="97" spans="1:5" ht="15" thickBot="1">
      <c r="A97" s="11" t="s">
        <v>100</v>
      </c>
      <c r="B97" s="12">
        <v>0</v>
      </c>
      <c r="C97" s="12">
        <v>0</v>
      </c>
      <c r="D97" s="12">
        <v>0</v>
      </c>
      <c r="E97" s="13">
        <f t="shared" si="1"/>
        <v>0</v>
      </c>
    </row>
    <row r="98" spans="1:5">
      <c r="A98" s="6" t="s">
        <v>101</v>
      </c>
      <c r="B98" s="7">
        <v>0</v>
      </c>
      <c r="C98" s="7">
        <v>0</v>
      </c>
      <c r="D98" s="7">
        <v>0</v>
      </c>
      <c r="E98" s="8">
        <f t="shared" si="1"/>
        <v>0</v>
      </c>
    </row>
    <row r="99" spans="1:5">
      <c r="A99" s="6" t="s">
        <v>102</v>
      </c>
      <c r="B99" s="9">
        <v>0</v>
      </c>
      <c r="C99" s="9">
        <v>0</v>
      </c>
      <c r="D99" s="9">
        <v>0</v>
      </c>
      <c r="E99" s="10">
        <f t="shared" si="1"/>
        <v>0</v>
      </c>
    </row>
    <row r="100" spans="1:5">
      <c r="A100" s="6" t="s">
        <v>103</v>
      </c>
      <c r="B100" s="9">
        <v>0</v>
      </c>
      <c r="C100" s="9">
        <v>0</v>
      </c>
      <c r="D100" s="9">
        <v>0</v>
      </c>
      <c r="E100" s="10">
        <f t="shared" si="1"/>
        <v>0</v>
      </c>
    </row>
    <row r="101" spans="1:5" ht="15" thickBot="1">
      <c r="A101" s="11" t="s">
        <v>104</v>
      </c>
      <c r="B101" s="12">
        <v>0</v>
      </c>
      <c r="C101" s="12">
        <v>0</v>
      </c>
      <c r="D101" s="12">
        <v>0</v>
      </c>
      <c r="E101" s="13">
        <f t="shared" si="1"/>
        <v>0</v>
      </c>
    </row>
    <row r="102" spans="1:5">
      <c r="A102" s="6" t="s">
        <v>105</v>
      </c>
      <c r="B102" s="7">
        <v>0</v>
      </c>
      <c r="C102" s="7">
        <v>0</v>
      </c>
      <c r="D102" s="7">
        <v>0</v>
      </c>
      <c r="E102" s="8">
        <f t="shared" si="1"/>
        <v>0</v>
      </c>
    </row>
    <row r="103" spans="1:5">
      <c r="A103" s="6" t="s">
        <v>106</v>
      </c>
      <c r="B103" s="9">
        <v>0</v>
      </c>
      <c r="C103" s="9">
        <v>0</v>
      </c>
      <c r="D103" s="9">
        <v>0</v>
      </c>
      <c r="E103" s="10">
        <f t="shared" si="1"/>
        <v>0</v>
      </c>
    </row>
    <row r="104" spans="1:5">
      <c r="A104" s="6" t="s">
        <v>107</v>
      </c>
      <c r="B104" s="9">
        <v>0</v>
      </c>
      <c r="C104" s="9">
        <v>0</v>
      </c>
      <c r="D104" s="9">
        <v>0</v>
      </c>
      <c r="E104" s="10">
        <f t="shared" si="1"/>
        <v>0</v>
      </c>
    </row>
    <row r="105" spans="1:5" ht="15" thickBot="1">
      <c r="A105" s="11" t="s">
        <v>108</v>
      </c>
      <c r="B105" s="12">
        <v>0</v>
      </c>
      <c r="C105" s="12">
        <v>0</v>
      </c>
      <c r="D105" s="12">
        <v>0</v>
      </c>
      <c r="E105" s="13">
        <f t="shared" si="1"/>
        <v>0</v>
      </c>
    </row>
    <row r="106" spans="1:5">
      <c r="A106" s="6" t="s">
        <v>109</v>
      </c>
      <c r="B106" s="7">
        <v>0</v>
      </c>
      <c r="C106" s="7">
        <v>0</v>
      </c>
      <c r="D106" s="7">
        <v>0</v>
      </c>
      <c r="E106" s="8">
        <f t="shared" si="1"/>
        <v>0</v>
      </c>
    </row>
    <row r="107" spans="1:5">
      <c r="A107" s="6" t="s">
        <v>110</v>
      </c>
      <c r="B107" s="9">
        <v>0</v>
      </c>
      <c r="C107" s="9">
        <v>0</v>
      </c>
      <c r="D107" s="9">
        <v>0</v>
      </c>
      <c r="E107" s="10">
        <f t="shared" si="1"/>
        <v>0</v>
      </c>
    </row>
    <row r="108" spans="1:5">
      <c r="A108" s="6" t="s">
        <v>111</v>
      </c>
      <c r="B108" s="9">
        <v>0</v>
      </c>
      <c r="C108" s="9">
        <v>0</v>
      </c>
      <c r="D108" s="9">
        <v>0</v>
      </c>
      <c r="E108" s="10">
        <f t="shared" si="1"/>
        <v>0</v>
      </c>
    </row>
    <row r="109" spans="1:5" ht="15" thickBot="1">
      <c r="A109" s="11" t="s">
        <v>112</v>
      </c>
      <c r="B109" s="12">
        <v>0</v>
      </c>
      <c r="C109" s="12">
        <v>0</v>
      </c>
      <c r="D109" s="12">
        <v>0</v>
      </c>
      <c r="E109" s="13">
        <f t="shared" si="1"/>
        <v>0</v>
      </c>
    </row>
    <row r="110" spans="1:5">
      <c r="A110" s="6" t="s">
        <v>113</v>
      </c>
      <c r="B110" s="7">
        <v>0</v>
      </c>
      <c r="C110" s="7">
        <v>0</v>
      </c>
      <c r="D110" s="7">
        <v>0</v>
      </c>
      <c r="E110" s="8">
        <f t="shared" si="1"/>
        <v>0</v>
      </c>
    </row>
    <row r="111" spans="1:5">
      <c r="A111" s="6" t="s">
        <v>114</v>
      </c>
      <c r="B111" s="9">
        <v>0</v>
      </c>
      <c r="C111" s="9">
        <v>0</v>
      </c>
      <c r="D111" s="9">
        <v>0</v>
      </c>
      <c r="E111" s="10">
        <f t="shared" si="1"/>
        <v>0</v>
      </c>
    </row>
    <row r="112" spans="1:5">
      <c r="A112" s="6" t="s">
        <v>115</v>
      </c>
      <c r="B112" s="9">
        <v>0</v>
      </c>
      <c r="C112" s="9">
        <v>0</v>
      </c>
      <c r="D112" s="9">
        <v>0</v>
      </c>
      <c r="E112" s="10">
        <f t="shared" si="1"/>
        <v>0</v>
      </c>
    </row>
    <row r="113" spans="1:5" ht="15" thickBot="1">
      <c r="A113" s="11" t="s">
        <v>116</v>
      </c>
      <c r="B113" s="12">
        <v>0</v>
      </c>
      <c r="C113" s="12">
        <v>0</v>
      </c>
      <c r="D113" s="12">
        <v>0</v>
      </c>
      <c r="E113" s="13">
        <f t="shared" si="1"/>
        <v>0</v>
      </c>
    </row>
    <row r="114" spans="1:5">
      <c r="A114" s="6" t="s">
        <v>117</v>
      </c>
      <c r="B114" s="7">
        <v>0</v>
      </c>
      <c r="C114" s="7">
        <v>0</v>
      </c>
      <c r="D114" s="7">
        <v>0</v>
      </c>
      <c r="E114" s="8">
        <f t="shared" si="1"/>
        <v>0</v>
      </c>
    </row>
    <row r="115" spans="1:5">
      <c r="A115" s="6" t="s">
        <v>118</v>
      </c>
      <c r="B115" s="9">
        <v>0</v>
      </c>
      <c r="C115" s="9">
        <v>0</v>
      </c>
      <c r="D115" s="9">
        <v>0</v>
      </c>
      <c r="E115" s="10">
        <f t="shared" si="1"/>
        <v>0</v>
      </c>
    </row>
    <row r="116" spans="1:5">
      <c r="A116" s="6" t="s">
        <v>119</v>
      </c>
      <c r="B116" s="9">
        <v>0</v>
      </c>
      <c r="C116" s="9">
        <v>0</v>
      </c>
      <c r="D116" s="9">
        <v>0</v>
      </c>
      <c r="E116" s="10">
        <f t="shared" si="1"/>
        <v>0</v>
      </c>
    </row>
    <row r="117" spans="1:5" ht="15" thickBot="1">
      <c r="A117" s="11" t="s">
        <v>120</v>
      </c>
      <c r="B117" s="12">
        <v>0</v>
      </c>
      <c r="C117" s="12">
        <v>0</v>
      </c>
      <c r="D117" s="12">
        <v>0</v>
      </c>
      <c r="E117" s="13">
        <f t="shared" si="1"/>
        <v>0</v>
      </c>
    </row>
    <row r="118" spans="1:5">
      <c r="A118" s="6" t="s">
        <v>121</v>
      </c>
      <c r="B118" s="7">
        <v>0</v>
      </c>
      <c r="C118" s="7">
        <v>0</v>
      </c>
      <c r="D118" s="7">
        <v>0</v>
      </c>
      <c r="E118" s="8">
        <f t="shared" si="1"/>
        <v>0</v>
      </c>
    </row>
    <row r="119" spans="1:5">
      <c r="A119" s="6" t="s">
        <v>122</v>
      </c>
      <c r="B119" s="9">
        <v>0</v>
      </c>
      <c r="C119" s="9">
        <v>0</v>
      </c>
      <c r="D119" s="9">
        <v>0</v>
      </c>
      <c r="E119" s="10">
        <f t="shared" si="1"/>
        <v>0</v>
      </c>
    </row>
    <row r="120" spans="1:5">
      <c r="A120" s="6" t="s">
        <v>123</v>
      </c>
      <c r="B120" s="9">
        <v>0</v>
      </c>
      <c r="C120" s="9">
        <v>0</v>
      </c>
      <c r="D120" s="9">
        <v>0</v>
      </c>
      <c r="E120" s="10">
        <f t="shared" si="1"/>
        <v>0</v>
      </c>
    </row>
    <row r="121" spans="1:5" ht="15" thickBot="1">
      <c r="A121" s="11" t="s">
        <v>124</v>
      </c>
      <c r="B121" s="12">
        <v>0</v>
      </c>
      <c r="C121" s="12">
        <v>0</v>
      </c>
      <c r="D121" s="12">
        <v>0</v>
      </c>
      <c r="E121" s="13">
        <f t="shared" si="1"/>
        <v>0</v>
      </c>
    </row>
    <row r="122" spans="1:5">
      <c r="A122" s="6" t="s">
        <v>125</v>
      </c>
      <c r="B122" s="7">
        <v>0</v>
      </c>
      <c r="C122" s="7">
        <v>0</v>
      </c>
      <c r="D122" s="7">
        <v>0</v>
      </c>
      <c r="E122" s="8">
        <f t="shared" si="1"/>
        <v>0</v>
      </c>
    </row>
    <row r="123" spans="1:5">
      <c r="A123" s="6" t="s">
        <v>126</v>
      </c>
      <c r="B123" s="9">
        <v>0</v>
      </c>
      <c r="C123" s="9">
        <v>0</v>
      </c>
      <c r="D123" s="9">
        <v>0</v>
      </c>
      <c r="E123" s="10">
        <f t="shared" si="1"/>
        <v>0</v>
      </c>
    </row>
    <row r="124" spans="1:5">
      <c r="A124" s="6" t="s">
        <v>127</v>
      </c>
      <c r="B124" s="9">
        <v>0</v>
      </c>
      <c r="C124" s="9">
        <v>0</v>
      </c>
      <c r="D124" s="9">
        <v>0</v>
      </c>
      <c r="E124" s="10">
        <f t="shared" si="1"/>
        <v>0</v>
      </c>
    </row>
    <row r="125" spans="1:5" ht="15" thickBot="1">
      <c r="A125" s="11" t="s">
        <v>128</v>
      </c>
      <c r="B125" s="12">
        <v>0</v>
      </c>
      <c r="C125" s="12">
        <v>0</v>
      </c>
      <c r="D125" s="12">
        <v>0</v>
      </c>
      <c r="E125" s="13">
        <f t="shared" si="1"/>
        <v>0</v>
      </c>
    </row>
    <row r="126" spans="1:5">
      <c r="A126" s="6" t="s">
        <v>129</v>
      </c>
      <c r="B126" s="7">
        <v>0</v>
      </c>
      <c r="C126" s="7">
        <v>0</v>
      </c>
      <c r="D126" s="7">
        <v>0</v>
      </c>
      <c r="E126" s="8">
        <f t="shared" si="1"/>
        <v>0</v>
      </c>
    </row>
    <row r="127" spans="1:5">
      <c r="A127" s="6" t="s">
        <v>130</v>
      </c>
      <c r="B127" s="9">
        <v>0</v>
      </c>
      <c r="C127" s="9">
        <v>0</v>
      </c>
      <c r="D127" s="9">
        <v>0</v>
      </c>
      <c r="E127" s="10">
        <f t="shared" si="1"/>
        <v>0</v>
      </c>
    </row>
    <row r="128" spans="1:5">
      <c r="A128" s="6" t="s">
        <v>131</v>
      </c>
      <c r="B128" s="9">
        <v>0</v>
      </c>
      <c r="C128" s="9">
        <v>0</v>
      </c>
      <c r="D128" s="9">
        <v>0</v>
      </c>
      <c r="E128" s="10">
        <f t="shared" si="1"/>
        <v>0</v>
      </c>
    </row>
    <row r="129" spans="1:5" ht="15" thickBot="1">
      <c r="A129" s="11" t="s">
        <v>132</v>
      </c>
      <c r="B129" s="12">
        <v>0</v>
      </c>
      <c r="C129" s="12">
        <v>0</v>
      </c>
      <c r="D129" s="12">
        <v>0</v>
      </c>
      <c r="E129" s="13">
        <f t="shared" si="1"/>
        <v>0</v>
      </c>
    </row>
    <row r="130" spans="1:5">
      <c r="A130" s="6" t="s">
        <v>133</v>
      </c>
      <c r="B130" s="7">
        <v>0</v>
      </c>
      <c r="C130" s="7">
        <v>0</v>
      </c>
      <c r="D130" s="7">
        <v>0</v>
      </c>
      <c r="E130" s="8">
        <f t="shared" si="1"/>
        <v>0</v>
      </c>
    </row>
    <row r="131" spans="1:5">
      <c r="A131" s="6" t="s">
        <v>134</v>
      </c>
      <c r="B131" s="9">
        <v>0</v>
      </c>
      <c r="C131" s="9">
        <v>0</v>
      </c>
      <c r="D131" s="9">
        <v>0</v>
      </c>
      <c r="E131" s="10">
        <f t="shared" ref="E131:E165" si="2">IF(SUM(B131:D131)=0,0,1)</f>
        <v>0</v>
      </c>
    </row>
    <row r="132" spans="1:5">
      <c r="A132" s="6" t="s">
        <v>135</v>
      </c>
      <c r="B132" s="9">
        <v>0</v>
      </c>
      <c r="C132" s="9">
        <v>0</v>
      </c>
      <c r="D132" s="9">
        <v>0</v>
      </c>
      <c r="E132" s="10">
        <f t="shared" si="2"/>
        <v>0</v>
      </c>
    </row>
    <row r="133" spans="1:5" ht="15" thickBot="1">
      <c r="A133" s="11" t="s">
        <v>136</v>
      </c>
      <c r="B133" s="12">
        <v>0</v>
      </c>
      <c r="C133" s="12">
        <v>0</v>
      </c>
      <c r="D133" s="12">
        <v>0</v>
      </c>
      <c r="E133" s="13">
        <f t="shared" si="2"/>
        <v>0</v>
      </c>
    </row>
    <row r="134" spans="1:5">
      <c r="A134" s="6" t="s">
        <v>137</v>
      </c>
      <c r="B134" s="7">
        <v>0</v>
      </c>
      <c r="C134" s="7">
        <v>0</v>
      </c>
      <c r="D134" s="7">
        <v>0</v>
      </c>
      <c r="E134" s="8">
        <f t="shared" si="2"/>
        <v>0</v>
      </c>
    </row>
    <row r="135" spans="1:5">
      <c r="A135" s="6" t="s">
        <v>138</v>
      </c>
      <c r="B135" s="9">
        <v>0</v>
      </c>
      <c r="C135" s="9">
        <v>0</v>
      </c>
      <c r="D135" s="9">
        <v>0</v>
      </c>
      <c r="E135" s="10">
        <f t="shared" si="2"/>
        <v>0</v>
      </c>
    </row>
    <row r="136" spans="1:5">
      <c r="A136" s="6" t="s">
        <v>139</v>
      </c>
      <c r="B136" s="9">
        <v>0</v>
      </c>
      <c r="C136" s="9">
        <v>0</v>
      </c>
      <c r="D136" s="9">
        <v>0</v>
      </c>
      <c r="E136" s="10">
        <f t="shared" si="2"/>
        <v>0</v>
      </c>
    </row>
    <row r="137" spans="1:5" ht="15" thickBot="1">
      <c r="A137" s="11" t="s">
        <v>140</v>
      </c>
      <c r="B137" s="12">
        <v>0</v>
      </c>
      <c r="C137" s="12">
        <v>0</v>
      </c>
      <c r="D137" s="12">
        <v>0</v>
      </c>
      <c r="E137" s="13">
        <f t="shared" si="2"/>
        <v>0</v>
      </c>
    </row>
    <row r="138" spans="1:5">
      <c r="A138" s="6" t="s">
        <v>141</v>
      </c>
      <c r="B138" s="7">
        <v>0</v>
      </c>
      <c r="C138" s="7">
        <v>0</v>
      </c>
      <c r="D138" s="7">
        <v>0</v>
      </c>
      <c r="E138" s="8">
        <f t="shared" si="2"/>
        <v>0</v>
      </c>
    </row>
    <row r="139" spans="1:5">
      <c r="A139" s="6" t="s">
        <v>142</v>
      </c>
      <c r="B139" s="9">
        <v>0</v>
      </c>
      <c r="C139" s="9">
        <v>0</v>
      </c>
      <c r="D139" s="9">
        <v>0</v>
      </c>
      <c r="E139" s="10">
        <f t="shared" si="2"/>
        <v>0</v>
      </c>
    </row>
    <row r="140" spans="1:5">
      <c r="A140" s="6" t="s">
        <v>143</v>
      </c>
      <c r="B140" s="9">
        <v>0</v>
      </c>
      <c r="C140" s="9">
        <v>0</v>
      </c>
      <c r="D140" s="9">
        <v>0</v>
      </c>
      <c r="E140" s="10">
        <f t="shared" si="2"/>
        <v>0</v>
      </c>
    </row>
    <row r="141" spans="1:5" ht="15" thickBot="1">
      <c r="A141" s="11" t="s">
        <v>144</v>
      </c>
      <c r="B141" s="12">
        <v>0</v>
      </c>
      <c r="C141" s="12">
        <v>0</v>
      </c>
      <c r="D141" s="12">
        <v>0</v>
      </c>
      <c r="E141" s="13">
        <f t="shared" si="2"/>
        <v>0</v>
      </c>
    </row>
    <row r="142" spans="1:5">
      <c r="A142" s="6" t="s">
        <v>145</v>
      </c>
      <c r="B142" s="7">
        <v>0</v>
      </c>
      <c r="C142" s="7">
        <v>0</v>
      </c>
      <c r="D142" s="7">
        <v>0</v>
      </c>
      <c r="E142" s="8">
        <f t="shared" si="2"/>
        <v>0</v>
      </c>
    </row>
    <row r="143" spans="1:5">
      <c r="A143" s="6" t="s">
        <v>146</v>
      </c>
      <c r="B143" s="9">
        <v>0</v>
      </c>
      <c r="C143" s="9">
        <v>0</v>
      </c>
      <c r="D143" s="9">
        <v>0</v>
      </c>
      <c r="E143" s="10">
        <f t="shared" si="2"/>
        <v>0</v>
      </c>
    </row>
    <row r="144" spans="1:5">
      <c r="A144" s="6" t="s">
        <v>147</v>
      </c>
      <c r="B144" s="9">
        <v>0</v>
      </c>
      <c r="C144" s="9">
        <v>0</v>
      </c>
      <c r="D144" s="9">
        <v>0</v>
      </c>
      <c r="E144" s="10">
        <f t="shared" si="2"/>
        <v>0</v>
      </c>
    </row>
    <row r="145" spans="1:5" ht="15" thickBot="1">
      <c r="A145" s="11" t="s">
        <v>148</v>
      </c>
      <c r="B145" s="12">
        <v>0</v>
      </c>
      <c r="C145" s="12">
        <v>0</v>
      </c>
      <c r="D145" s="12">
        <v>0</v>
      </c>
      <c r="E145" s="13">
        <f t="shared" si="2"/>
        <v>0</v>
      </c>
    </row>
    <row r="146" spans="1:5">
      <c r="A146" s="6" t="s">
        <v>149</v>
      </c>
      <c r="B146" s="7">
        <v>0</v>
      </c>
      <c r="C146" s="7">
        <v>0</v>
      </c>
      <c r="D146" s="7">
        <v>0</v>
      </c>
      <c r="E146" s="8">
        <f t="shared" si="2"/>
        <v>0</v>
      </c>
    </row>
    <row r="147" spans="1:5">
      <c r="A147" s="6" t="s">
        <v>150</v>
      </c>
      <c r="B147" s="9">
        <v>0</v>
      </c>
      <c r="C147" s="9">
        <v>0</v>
      </c>
      <c r="D147" s="9">
        <v>0</v>
      </c>
      <c r="E147" s="10">
        <f t="shared" si="2"/>
        <v>0</v>
      </c>
    </row>
    <row r="148" spans="1:5">
      <c r="A148" s="6" t="s">
        <v>151</v>
      </c>
      <c r="B148" s="9">
        <v>0</v>
      </c>
      <c r="C148" s="9">
        <v>0</v>
      </c>
      <c r="D148" s="9">
        <v>0</v>
      </c>
      <c r="E148" s="10">
        <f t="shared" si="2"/>
        <v>0</v>
      </c>
    </row>
    <row r="149" spans="1:5" ht="15" thickBot="1">
      <c r="A149" s="11" t="s">
        <v>152</v>
      </c>
      <c r="B149" s="12">
        <v>0</v>
      </c>
      <c r="C149" s="12">
        <v>0</v>
      </c>
      <c r="D149" s="12">
        <v>0</v>
      </c>
      <c r="E149" s="13">
        <f t="shared" si="2"/>
        <v>0</v>
      </c>
    </row>
    <row r="150" spans="1:5">
      <c r="A150" s="6" t="s">
        <v>153</v>
      </c>
      <c r="B150" s="9">
        <v>0</v>
      </c>
      <c r="C150" s="9">
        <v>0</v>
      </c>
      <c r="D150" s="9">
        <v>0</v>
      </c>
      <c r="E150" s="10">
        <f t="shared" si="2"/>
        <v>0</v>
      </c>
    </row>
    <row r="151" spans="1:5">
      <c r="A151" s="6" t="s">
        <v>154</v>
      </c>
      <c r="B151" s="9">
        <v>0</v>
      </c>
      <c r="C151" s="9">
        <v>0</v>
      </c>
      <c r="D151" s="9">
        <v>0</v>
      </c>
      <c r="E151" s="10">
        <f t="shared" si="2"/>
        <v>0</v>
      </c>
    </row>
    <row r="152" spans="1:5">
      <c r="A152" s="6" t="s">
        <v>155</v>
      </c>
      <c r="B152" s="9">
        <v>0</v>
      </c>
      <c r="C152" s="9">
        <v>0</v>
      </c>
      <c r="D152" s="9">
        <v>0</v>
      </c>
      <c r="E152" s="10">
        <f t="shared" si="2"/>
        <v>0</v>
      </c>
    </row>
    <row r="153" spans="1:5" ht="15" thickBot="1">
      <c r="A153" s="11" t="s">
        <v>156</v>
      </c>
      <c r="B153" s="14">
        <v>0</v>
      </c>
      <c r="C153" s="14">
        <v>0</v>
      </c>
      <c r="D153" s="14">
        <v>0</v>
      </c>
      <c r="E153" s="15">
        <f t="shared" si="2"/>
        <v>0</v>
      </c>
    </row>
    <row r="154" spans="1:5">
      <c r="A154" s="6" t="s">
        <v>157</v>
      </c>
      <c r="B154" s="7">
        <v>1</v>
      </c>
      <c r="C154" s="7">
        <v>0</v>
      </c>
      <c r="D154" s="7">
        <v>0</v>
      </c>
      <c r="E154" s="8">
        <f t="shared" si="2"/>
        <v>1</v>
      </c>
    </row>
    <row r="155" spans="1:5">
      <c r="A155" s="6" t="s">
        <v>158</v>
      </c>
      <c r="B155" s="9">
        <v>1</v>
      </c>
      <c r="C155" s="9">
        <v>0</v>
      </c>
      <c r="D155" s="9">
        <v>0</v>
      </c>
      <c r="E155" s="10">
        <f t="shared" si="2"/>
        <v>1</v>
      </c>
    </row>
    <row r="156" spans="1:5">
      <c r="A156" s="6" t="s">
        <v>159</v>
      </c>
      <c r="B156" s="9">
        <v>1</v>
      </c>
      <c r="C156" s="9">
        <v>0</v>
      </c>
      <c r="D156" s="9">
        <v>0</v>
      </c>
      <c r="E156" s="10">
        <f t="shared" si="2"/>
        <v>1</v>
      </c>
    </row>
    <row r="157" spans="1:5" ht="15" thickBot="1">
      <c r="A157" s="11" t="s">
        <v>160</v>
      </c>
      <c r="B157" s="12">
        <v>1</v>
      </c>
      <c r="C157" s="12">
        <v>0</v>
      </c>
      <c r="D157" s="12">
        <v>0</v>
      </c>
      <c r="E157" s="13">
        <f t="shared" si="2"/>
        <v>1</v>
      </c>
    </row>
    <row r="158" spans="1:5">
      <c r="A158" s="6" t="s">
        <v>161</v>
      </c>
      <c r="B158" s="7">
        <v>1</v>
      </c>
      <c r="C158" s="7">
        <v>0</v>
      </c>
      <c r="D158" s="7">
        <v>0</v>
      </c>
      <c r="E158" s="8">
        <f t="shared" si="2"/>
        <v>1</v>
      </c>
    </row>
    <row r="159" spans="1:5">
      <c r="A159" s="6" t="s">
        <v>162</v>
      </c>
      <c r="B159" s="9">
        <v>1</v>
      </c>
      <c r="C159" s="9">
        <v>0</v>
      </c>
      <c r="D159" s="9">
        <v>0</v>
      </c>
      <c r="E159" s="10">
        <f t="shared" si="2"/>
        <v>1</v>
      </c>
    </row>
    <row r="160" spans="1:5">
      <c r="A160" s="6" t="s">
        <v>163</v>
      </c>
      <c r="B160" s="9">
        <v>1</v>
      </c>
      <c r="C160" s="9">
        <v>0</v>
      </c>
      <c r="D160" s="9">
        <v>0</v>
      </c>
      <c r="E160" s="10">
        <f t="shared" si="2"/>
        <v>1</v>
      </c>
    </row>
    <row r="161" spans="1:5" ht="15" thickBot="1">
      <c r="A161" s="11" t="s">
        <v>164</v>
      </c>
      <c r="B161" s="12">
        <v>1</v>
      </c>
      <c r="C161" s="12">
        <v>0</v>
      </c>
      <c r="D161" s="12">
        <v>0</v>
      </c>
      <c r="E161" s="13">
        <f t="shared" si="2"/>
        <v>1</v>
      </c>
    </row>
    <row r="162" spans="1:5">
      <c r="A162" s="6" t="s">
        <v>165</v>
      </c>
      <c r="B162" s="7">
        <v>1</v>
      </c>
      <c r="C162" s="7">
        <v>0</v>
      </c>
      <c r="D162" s="7">
        <v>0</v>
      </c>
      <c r="E162" s="8">
        <f t="shared" si="2"/>
        <v>1</v>
      </c>
    </row>
    <row r="163" spans="1:5">
      <c r="A163" s="16" t="s">
        <v>166</v>
      </c>
      <c r="B163" s="9">
        <v>0</v>
      </c>
      <c r="C163" s="9">
        <v>0</v>
      </c>
      <c r="D163" s="9">
        <v>0</v>
      </c>
      <c r="E163" s="10">
        <f t="shared" si="2"/>
        <v>0</v>
      </c>
    </row>
    <row r="164" spans="1:5">
      <c r="A164" s="16" t="s">
        <v>167</v>
      </c>
      <c r="B164" s="9">
        <v>1</v>
      </c>
      <c r="C164" s="9">
        <v>0</v>
      </c>
      <c r="D164" s="9">
        <v>0</v>
      </c>
      <c r="E164" s="10">
        <f t="shared" si="2"/>
        <v>1</v>
      </c>
    </row>
    <row r="165" spans="1:5" ht="15" thickBot="1">
      <c r="A165" s="11" t="s">
        <v>168</v>
      </c>
      <c r="B165" s="12">
        <v>1</v>
      </c>
      <c r="C165" s="12">
        <v>0</v>
      </c>
      <c r="D165" s="12">
        <v>1</v>
      </c>
      <c r="E165" s="13">
        <f t="shared" si="2"/>
        <v>1</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pageSetUpPr autoPageBreaks="0"/>
  </sheetPr>
  <dimension ref="A1:K170"/>
  <sheetViews>
    <sheetView workbookViewId="0">
      <selection activeCell="C72" sqref="C72"/>
    </sheetView>
  </sheetViews>
  <sheetFormatPr defaultColWidth="9.1796875" defaultRowHeight="14.5"/>
  <cols>
    <col min="1" max="1" width="24.453125" style="22" bestFit="1" customWidth="1"/>
    <col min="2" max="3" width="8.1796875" style="22" bestFit="1" customWidth="1"/>
    <col min="4" max="4" width="12.54296875" style="22" bestFit="1" customWidth="1"/>
    <col min="5" max="6" width="14.453125" style="51" customWidth="1"/>
    <col min="7" max="7" width="16.1796875" style="54" customWidth="1"/>
    <col min="8" max="8" width="15.1796875" style="22" bestFit="1" customWidth="1"/>
    <col min="9" max="9" width="9.26953125" style="22" bestFit="1" customWidth="1"/>
    <col min="10" max="10" width="12.26953125" style="22" bestFit="1" customWidth="1"/>
    <col min="11" max="11" width="12.7265625" style="22" bestFit="1" customWidth="1"/>
    <col min="12" max="16384" width="9.1796875" style="22"/>
  </cols>
  <sheetData>
    <row r="1" spans="1:11" ht="35" thickBot="1">
      <c r="A1" s="18" t="s">
        <v>169</v>
      </c>
      <c r="B1" s="19" t="s">
        <v>170</v>
      </c>
      <c r="C1" s="19" t="s">
        <v>171</v>
      </c>
      <c r="D1" s="20" t="s">
        <v>172</v>
      </c>
      <c r="E1" s="20" t="s">
        <v>173</v>
      </c>
      <c r="F1" s="20" t="s">
        <v>174</v>
      </c>
      <c r="G1" s="21" t="s">
        <v>175</v>
      </c>
      <c r="H1" s="20" t="s">
        <v>176</v>
      </c>
      <c r="I1" s="20" t="s">
        <v>177</v>
      </c>
      <c r="J1" s="20" t="s">
        <v>178</v>
      </c>
      <c r="K1" s="20" t="s">
        <v>179</v>
      </c>
    </row>
    <row r="2" spans="1:11" ht="15" thickTop="1">
      <c r="A2" s="23" t="s">
        <v>180</v>
      </c>
      <c r="B2" s="24">
        <v>1994</v>
      </c>
      <c r="C2" s="24">
        <v>1994</v>
      </c>
      <c r="D2" s="25" t="s">
        <v>181</v>
      </c>
      <c r="E2" s="26" t="s">
        <v>182</v>
      </c>
      <c r="F2" s="26" t="s">
        <v>182</v>
      </c>
      <c r="G2" s="26" t="s">
        <v>182</v>
      </c>
      <c r="H2" s="26">
        <v>7.6159619999999997</v>
      </c>
      <c r="I2" s="26" t="s">
        <v>182</v>
      </c>
      <c r="J2" s="26">
        <v>26.8</v>
      </c>
      <c r="K2" s="27" t="s">
        <v>182</v>
      </c>
    </row>
    <row r="3" spans="1:11">
      <c r="A3" s="28" t="s">
        <v>183</v>
      </c>
      <c r="B3" s="29">
        <v>1990</v>
      </c>
      <c r="C3" s="29" t="s">
        <v>184</v>
      </c>
      <c r="D3" s="26">
        <v>41.3922533</v>
      </c>
      <c r="E3" s="26" t="s">
        <v>182</v>
      </c>
      <c r="F3" s="26" t="s">
        <v>182</v>
      </c>
      <c r="G3" s="26" t="s">
        <v>182</v>
      </c>
      <c r="H3" s="26">
        <v>37.560319999999997</v>
      </c>
      <c r="I3" s="26">
        <v>29.852459999999997</v>
      </c>
      <c r="J3" s="26">
        <v>30</v>
      </c>
      <c r="K3" s="26">
        <v>19.100560000000002</v>
      </c>
    </row>
    <row r="4" spans="1:11">
      <c r="A4" s="28" t="s">
        <v>185</v>
      </c>
      <c r="B4" s="29">
        <v>1980</v>
      </c>
      <c r="C4" s="29" t="s">
        <v>186</v>
      </c>
      <c r="D4" s="26">
        <v>58.171234800000008</v>
      </c>
      <c r="E4" s="26">
        <v>55.1</v>
      </c>
      <c r="F4" s="26">
        <v>55.1</v>
      </c>
      <c r="G4" s="30">
        <v>213.89750671386719</v>
      </c>
      <c r="H4" s="26">
        <v>64.645859999999999</v>
      </c>
      <c r="I4" s="26">
        <v>62.212250000000004</v>
      </c>
      <c r="J4" s="26">
        <v>9</v>
      </c>
      <c r="K4" s="26">
        <v>33.147390000000001</v>
      </c>
    </row>
    <row r="5" spans="1:11">
      <c r="A5" s="28" t="s">
        <v>185</v>
      </c>
      <c r="B5" s="29">
        <v>1989</v>
      </c>
      <c r="C5" s="29">
        <v>1991</v>
      </c>
      <c r="D5" s="26">
        <v>12.6299469</v>
      </c>
      <c r="E5" s="26">
        <v>6</v>
      </c>
      <c r="F5" s="26">
        <v>6</v>
      </c>
      <c r="G5" s="31">
        <v>21.606048583984375</v>
      </c>
      <c r="H5" s="26">
        <v>151.57210000000001</v>
      </c>
      <c r="I5" s="26">
        <v>135.66499999999999</v>
      </c>
      <c r="J5" s="26">
        <v>27</v>
      </c>
      <c r="K5" s="26">
        <v>-21.29261</v>
      </c>
    </row>
    <row r="6" spans="1:11">
      <c r="A6" s="28" t="s">
        <v>187</v>
      </c>
      <c r="B6" s="29">
        <v>1995</v>
      </c>
      <c r="C6" s="29">
        <v>1995</v>
      </c>
      <c r="D6" s="26">
        <v>0</v>
      </c>
      <c r="E6" s="26">
        <v>2</v>
      </c>
      <c r="F6" s="26">
        <v>2</v>
      </c>
      <c r="G6" s="31">
        <v>8.5506629943847656</v>
      </c>
      <c r="H6" s="26">
        <v>71.352800000000002</v>
      </c>
      <c r="I6" s="26">
        <v>62.997659999999996</v>
      </c>
      <c r="J6" s="26">
        <v>17</v>
      </c>
      <c r="K6" s="26">
        <v>8.6946700000000003</v>
      </c>
    </row>
    <row r="7" spans="1:11">
      <c r="A7" s="28" t="s">
        <v>185</v>
      </c>
      <c r="B7" s="29">
        <v>2001</v>
      </c>
      <c r="C7" s="29">
        <v>2003</v>
      </c>
      <c r="D7" s="26">
        <v>70.974198799999996</v>
      </c>
      <c r="E7" s="26">
        <v>9.6</v>
      </c>
      <c r="F7" s="26">
        <v>9.5846645367412098</v>
      </c>
      <c r="G7" s="31">
        <v>28.094821929931641</v>
      </c>
      <c r="H7" s="26">
        <v>22.85839</v>
      </c>
      <c r="I7" s="26">
        <v>22.646609999999999</v>
      </c>
      <c r="J7" s="26">
        <v>20.100000000000001</v>
      </c>
      <c r="K7" s="26">
        <v>81.887209999999996</v>
      </c>
    </row>
    <row r="8" spans="1:11">
      <c r="A8" s="28" t="s">
        <v>188</v>
      </c>
      <c r="B8" s="29">
        <v>1994</v>
      </c>
      <c r="C8" s="29" t="s">
        <v>189</v>
      </c>
      <c r="D8" s="26" t="s">
        <v>181</v>
      </c>
      <c r="E8" s="26" t="s">
        <v>182</v>
      </c>
      <c r="F8" s="26" t="s">
        <v>182</v>
      </c>
      <c r="G8" s="26" t="s">
        <v>182</v>
      </c>
      <c r="H8" s="26">
        <v>41.376910000000002</v>
      </c>
      <c r="I8" s="26">
        <v>22.994020000000003</v>
      </c>
      <c r="J8" s="26" t="s">
        <v>182</v>
      </c>
      <c r="K8" s="26" t="s">
        <v>182</v>
      </c>
    </row>
    <row r="9" spans="1:11">
      <c r="A9" s="28" t="s">
        <v>190</v>
      </c>
      <c r="B9" s="29">
        <v>2008</v>
      </c>
      <c r="C9" s="29" t="s">
        <v>191</v>
      </c>
      <c r="D9" s="32">
        <v>19.215917999999999</v>
      </c>
      <c r="E9" s="26">
        <f>+'[1]Additional Details-Bk Crises'!F47*100</f>
        <v>5.1499999999999995</v>
      </c>
      <c r="F9" s="26">
        <v>1.6399999999999997</v>
      </c>
      <c r="G9" s="31">
        <v>1.6435314416885376</v>
      </c>
      <c r="H9" s="26">
        <v>10.02</v>
      </c>
      <c r="I9" s="26">
        <v>6.41</v>
      </c>
      <c r="J9" s="26">
        <f>+'[1]Additional Details-Bk Crises'!F45*100</f>
        <v>4.1000000000000005</v>
      </c>
      <c r="K9" s="26">
        <v>19.8</v>
      </c>
    </row>
    <row r="10" spans="1:11">
      <c r="A10" s="28" t="s">
        <v>192</v>
      </c>
      <c r="B10" s="29">
        <v>1995</v>
      </c>
      <c r="C10" s="29" t="s">
        <v>193</v>
      </c>
      <c r="D10" s="26" t="s">
        <v>182</v>
      </c>
      <c r="E10" s="26" t="s">
        <v>182</v>
      </c>
      <c r="F10" s="26" t="s">
        <v>182</v>
      </c>
      <c r="G10" s="26" t="s">
        <v>182</v>
      </c>
      <c r="H10" s="26">
        <v>127.5802</v>
      </c>
      <c r="I10" s="26">
        <v>84.463770000000011</v>
      </c>
      <c r="J10" s="26" t="s">
        <v>182</v>
      </c>
      <c r="K10" s="26">
        <v>0.89602999999999988</v>
      </c>
    </row>
    <row r="11" spans="1:11">
      <c r="A11" s="28" t="s">
        <v>194</v>
      </c>
      <c r="B11" s="29">
        <v>1987</v>
      </c>
      <c r="C11" s="29">
        <v>1987</v>
      </c>
      <c r="D11" s="26">
        <v>0</v>
      </c>
      <c r="E11" s="26" t="s">
        <v>182</v>
      </c>
      <c r="F11" s="26" t="s">
        <v>182</v>
      </c>
      <c r="G11" s="26" t="s">
        <v>182</v>
      </c>
      <c r="H11" s="26">
        <v>25.96208</v>
      </c>
      <c r="I11" s="26">
        <v>2.82342</v>
      </c>
      <c r="J11" s="26">
        <v>20</v>
      </c>
      <c r="K11" s="26">
        <v>3.4758999999999998</v>
      </c>
    </row>
    <row r="12" spans="1:11">
      <c r="A12" s="28" t="s">
        <v>195</v>
      </c>
      <c r="B12" s="29">
        <v>1995</v>
      </c>
      <c r="C12" s="29">
        <v>1995</v>
      </c>
      <c r="D12" s="26" t="s">
        <v>182</v>
      </c>
      <c r="E12" s="26" t="s">
        <v>182</v>
      </c>
      <c r="F12" s="26" t="s">
        <v>182</v>
      </c>
      <c r="G12" s="26" t="s">
        <v>182</v>
      </c>
      <c r="H12" s="26">
        <v>35.759799999999998</v>
      </c>
      <c r="I12" s="26" t="s">
        <v>182</v>
      </c>
      <c r="J12" s="26" t="s">
        <v>182</v>
      </c>
      <c r="K12" s="26">
        <v>-16.45655</v>
      </c>
    </row>
    <row r="13" spans="1:11">
      <c r="A13" s="28" t="s">
        <v>196</v>
      </c>
      <c r="B13" s="29">
        <v>2008</v>
      </c>
      <c r="C13" s="29" t="s">
        <v>191</v>
      </c>
      <c r="D13" s="32">
        <v>15.732718</v>
      </c>
      <c r="E13" s="26">
        <f>+'[1]Additional Details-Bk Crises'!G47*100</f>
        <v>6.15</v>
      </c>
      <c r="F13" s="26">
        <v>0.45999999999999996</v>
      </c>
      <c r="G13" s="31">
        <v>1.6283828020095825</v>
      </c>
      <c r="H13" s="26">
        <v>13.69</v>
      </c>
      <c r="I13" s="26">
        <v>9.67</v>
      </c>
      <c r="J13" s="26">
        <f>100*'[1]Additional Details-Bk Crises'!G45</f>
        <v>4.24</v>
      </c>
      <c r="K13" s="26">
        <v>22.2</v>
      </c>
    </row>
    <row r="14" spans="1:11">
      <c r="A14" s="28" t="s">
        <v>197</v>
      </c>
      <c r="B14" s="29">
        <v>1988</v>
      </c>
      <c r="C14" s="29" t="s">
        <v>198</v>
      </c>
      <c r="D14" s="26">
        <v>14.917588200000001</v>
      </c>
      <c r="E14" s="26">
        <v>17</v>
      </c>
      <c r="F14" s="26" t="s">
        <v>182</v>
      </c>
      <c r="G14" s="30">
        <v>64.320846557617188</v>
      </c>
      <c r="H14" s="26">
        <v>99.640910000000005</v>
      </c>
      <c r="I14" s="26">
        <v>48.624410000000005</v>
      </c>
      <c r="J14" s="26">
        <v>80</v>
      </c>
      <c r="K14" s="26">
        <v>5.6780100000000004</v>
      </c>
    </row>
    <row r="15" spans="1:11">
      <c r="A15" s="28" t="s">
        <v>199</v>
      </c>
      <c r="B15" s="29">
        <v>1986</v>
      </c>
      <c r="C15" s="29">
        <v>1986</v>
      </c>
      <c r="D15" s="26">
        <v>49.191735199999997</v>
      </c>
      <c r="E15" s="26" t="s">
        <v>182</v>
      </c>
      <c r="F15" s="26" t="s">
        <v>182</v>
      </c>
      <c r="G15" s="30" t="s">
        <v>182</v>
      </c>
      <c r="H15" s="26">
        <v>57.525449999999999</v>
      </c>
      <c r="I15" s="26">
        <v>25.924819999999997</v>
      </c>
      <c r="J15" s="26">
        <v>30</v>
      </c>
      <c r="K15" s="26">
        <v>-107.2825</v>
      </c>
    </row>
    <row r="16" spans="1:11">
      <c r="A16" s="28" t="s">
        <v>199</v>
      </c>
      <c r="B16" s="29">
        <v>1994</v>
      </c>
      <c r="C16" s="29">
        <v>1994</v>
      </c>
      <c r="D16" s="26">
        <v>0</v>
      </c>
      <c r="E16" s="26">
        <v>6</v>
      </c>
      <c r="F16" s="26">
        <v>2.6533333333333338</v>
      </c>
      <c r="G16" s="31">
        <v>15.193718910217285</v>
      </c>
      <c r="H16" s="26">
        <v>31.92642</v>
      </c>
      <c r="I16" s="26">
        <v>12.89265</v>
      </c>
      <c r="J16" s="26">
        <v>6.2</v>
      </c>
      <c r="K16" s="26">
        <v>-19.210720000000002</v>
      </c>
    </row>
    <row r="17" spans="1:11">
      <c r="A17" s="28" t="s">
        <v>200</v>
      </c>
      <c r="B17" s="29">
        <v>1992</v>
      </c>
      <c r="C17" s="33" t="s">
        <v>201</v>
      </c>
      <c r="D17" s="26" t="s">
        <v>182</v>
      </c>
      <c r="E17" s="26" t="s">
        <v>182</v>
      </c>
      <c r="F17" s="26" t="s">
        <v>182</v>
      </c>
      <c r="G17" s="30" t="s">
        <v>182</v>
      </c>
      <c r="H17" s="26" t="s">
        <v>182</v>
      </c>
      <c r="I17" s="26" t="s">
        <v>182</v>
      </c>
      <c r="J17" s="26" t="s">
        <v>182</v>
      </c>
      <c r="K17" s="26" t="s">
        <v>182</v>
      </c>
    </row>
    <row r="18" spans="1:11">
      <c r="A18" s="28" t="s">
        <v>202</v>
      </c>
      <c r="B18" s="29">
        <v>1990</v>
      </c>
      <c r="C18" s="29" t="s">
        <v>184</v>
      </c>
      <c r="D18" s="26">
        <v>62.295604299999994</v>
      </c>
      <c r="E18" s="26">
        <v>0</v>
      </c>
      <c r="F18" s="26">
        <v>0</v>
      </c>
      <c r="G18" s="30">
        <v>0</v>
      </c>
      <c r="H18" s="26">
        <v>11.26261</v>
      </c>
      <c r="I18" s="26">
        <v>10.713469999999999</v>
      </c>
      <c r="J18" s="26" t="s">
        <v>182</v>
      </c>
      <c r="K18" s="26">
        <v>-22.64</v>
      </c>
    </row>
    <row r="19" spans="1:11">
      <c r="A19" s="28" t="s">
        <v>203</v>
      </c>
      <c r="B19" s="29">
        <v>1994</v>
      </c>
      <c r="C19" s="29">
        <v>1998</v>
      </c>
      <c r="D19" s="26">
        <v>0</v>
      </c>
      <c r="E19" s="26">
        <v>13.200000000000001</v>
      </c>
      <c r="F19" s="26">
        <v>10.200000000000001</v>
      </c>
      <c r="G19" s="31">
        <v>28.596187591552734</v>
      </c>
      <c r="H19" s="26">
        <v>20.118459999999999</v>
      </c>
      <c r="I19" s="26">
        <v>17.611619999999998</v>
      </c>
      <c r="J19" s="26">
        <v>16</v>
      </c>
      <c r="K19" s="26">
        <v>-33.777929999999998</v>
      </c>
    </row>
    <row r="20" spans="1:11">
      <c r="A20" s="28" t="s">
        <v>204</v>
      </c>
      <c r="B20" s="29">
        <v>1996</v>
      </c>
      <c r="C20" s="29">
        <v>1997</v>
      </c>
      <c r="D20" s="26">
        <v>59.5104933</v>
      </c>
      <c r="E20" s="26">
        <v>14.000000000000002</v>
      </c>
      <c r="F20" s="26">
        <v>13.900000000000002</v>
      </c>
      <c r="G20" s="31">
        <v>21.370782852172852</v>
      </c>
      <c r="H20" s="26">
        <v>17.305710000000001</v>
      </c>
      <c r="I20" s="26">
        <v>9.93675</v>
      </c>
      <c r="J20" s="26">
        <v>75</v>
      </c>
      <c r="K20" s="26">
        <v>-30.079729999999998</v>
      </c>
    </row>
    <row r="21" spans="1:11">
      <c r="A21" s="28" t="s">
        <v>205</v>
      </c>
      <c r="B21" s="29">
        <v>1990</v>
      </c>
      <c r="C21" s="29">
        <v>1994</v>
      </c>
      <c r="D21" s="26" t="s">
        <v>182</v>
      </c>
      <c r="E21" s="26" t="s">
        <v>182</v>
      </c>
      <c r="F21" s="26" t="s">
        <v>182</v>
      </c>
      <c r="G21" s="26" t="s">
        <v>182</v>
      </c>
      <c r="H21" s="26">
        <v>9.3824000000000005</v>
      </c>
      <c r="I21" s="26">
        <v>4.51769</v>
      </c>
      <c r="J21" s="26">
        <v>16</v>
      </c>
      <c r="K21" s="26">
        <v>8.9243199999999998</v>
      </c>
    </row>
    <row r="22" spans="1:11">
      <c r="A22" s="28" t="s">
        <v>206</v>
      </c>
      <c r="B22" s="29">
        <v>1994</v>
      </c>
      <c r="C22" s="29" t="s">
        <v>207</v>
      </c>
      <c r="D22" s="26">
        <v>121.19200169999999</v>
      </c>
      <c r="E22" s="26" t="s">
        <v>182</v>
      </c>
      <c r="F22" s="26" t="s">
        <v>182</v>
      </c>
      <c r="G22" s="26" t="s">
        <v>182</v>
      </c>
      <c r="H22" s="26">
        <v>23.441680000000002</v>
      </c>
      <c r="I22" s="26">
        <v>18.252610000000001</v>
      </c>
      <c r="J22" s="26">
        <v>25</v>
      </c>
      <c r="K22" s="26">
        <v>10.85286</v>
      </c>
    </row>
    <row r="23" spans="1:11">
      <c r="A23" s="28" t="s">
        <v>208</v>
      </c>
      <c r="B23" s="29">
        <v>1987</v>
      </c>
      <c r="C23" s="29" t="s">
        <v>209</v>
      </c>
      <c r="D23" s="26">
        <v>105.52664</v>
      </c>
      <c r="E23" s="26" t="s">
        <v>182</v>
      </c>
      <c r="F23" s="26" t="s">
        <v>182</v>
      </c>
      <c r="G23" s="26" t="s">
        <v>182</v>
      </c>
      <c r="H23" s="26">
        <v>59.106029999999997</v>
      </c>
      <c r="I23" s="26">
        <v>40.851749999999996</v>
      </c>
      <c r="J23" s="26">
        <v>65</v>
      </c>
      <c r="K23" s="26">
        <v>17.966920000000002</v>
      </c>
    </row>
    <row r="24" spans="1:11">
      <c r="A24" s="28" t="s">
        <v>208</v>
      </c>
      <c r="B24" s="29">
        <v>1995</v>
      </c>
      <c r="C24" s="29">
        <v>1997</v>
      </c>
      <c r="D24" s="26">
        <v>8.0982519000000011</v>
      </c>
      <c r="E24" s="26" t="s">
        <v>182</v>
      </c>
      <c r="F24" s="26" t="s">
        <v>182</v>
      </c>
      <c r="G24" s="26" t="s">
        <v>182</v>
      </c>
      <c r="H24" s="26">
        <v>12.31134</v>
      </c>
      <c r="I24" s="26">
        <v>6.1609499999999997</v>
      </c>
      <c r="J24" s="26">
        <v>30</v>
      </c>
      <c r="K24" s="26">
        <v>-1.0662700000000001</v>
      </c>
    </row>
    <row r="25" spans="1:11">
      <c r="A25" s="28" t="s">
        <v>210</v>
      </c>
      <c r="B25" s="29">
        <v>1993</v>
      </c>
      <c r="C25" s="29">
        <v>1993</v>
      </c>
      <c r="D25" s="26">
        <v>0</v>
      </c>
      <c r="E25" s="26" t="s">
        <v>182</v>
      </c>
      <c r="F25" s="26" t="s">
        <v>182</v>
      </c>
      <c r="G25" s="26" t="s">
        <v>182</v>
      </c>
      <c r="H25" s="26">
        <v>3.9674469999999995</v>
      </c>
      <c r="I25" s="26" t="s">
        <v>182</v>
      </c>
      <c r="J25" s="26">
        <v>30</v>
      </c>
      <c r="K25" s="26">
        <v>18.15971</v>
      </c>
    </row>
    <row r="26" spans="1:11">
      <c r="A26" s="28" t="s">
        <v>211</v>
      </c>
      <c r="B26" s="29">
        <v>1976</v>
      </c>
      <c r="C26" s="29">
        <v>1976</v>
      </c>
      <c r="D26" s="26">
        <v>0</v>
      </c>
      <c r="E26" s="26" t="s">
        <v>182</v>
      </c>
      <c r="F26" s="26" t="s">
        <v>182</v>
      </c>
      <c r="G26" s="26" t="s">
        <v>182</v>
      </c>
      <c r="H26" s="26">
        <v>90.841639999999998</v>
      </c>
      <c r="I26" s="26">
        <v>10.459300000000001</v>
      </c>
      <c r="J26" s="26" t="s">
        <v>182</v>
      </c>
      <c r="K26" s="26">
        <v>-4.7775100000000004</v>
      </c>
    </row>
    <row r="27" spans="1:11">
      <c r="A27" s="28" t="s">
        <v>211</v>
      </c>
      <c r="B27" s="29">
        <v>1995</v>
      </c>
      <c r="C27" s="29">
        <v>1996</v>
      </c>
      <c r="D27" s="26">
        <v>8.9569594000000006</v>
      </c>
      <c r="E27" s="26" t="s">
        <v>182</v>
      </c>
      <c r="F27" s="26" t="s">
        <v>182</v>
      </c>
      <c r="G27" s="26" t="s">
        <v>182</v>
      </c>
      <c r="H27" s="26">
        <v>24.83221</v>
      </c>
      <c r="I27" s="26">
        <v>20.943059999999999</v>
      </c>
      <c r="J27" s="26">
        <v>40</v>
      </c>
      <c r="K27" s="26">
        <v>-16.268519999999999</v>
      </c>
    </row>
    <row r="28" spans="1:11">
      <c r="A28" s="28" t="s">
        <v>212</v>
      </c>
      <c r="B28" s="29">
        <v>1983</v>
      </c>
      <c r="C28" s="29">
        <v>1983</v>
      </c>
      <c r="D28" s="26">
        <v>0</v>
      </c>
      <c r="E28" s="26" t="s">
        <v>182</v>
      </c>
      <c r="F28" s="26" t="s">
        <v>182</v>
      </c>
      <c r="G28" s="26" t="s">
        <v>182</v>
      </c>
      <c r="H28" s="26">
        <v>199.30500000000001</v>
      </c>
      <c r="I28" s="26">
        <v>41.314679999999996</v>
      </c>
      <c r="J28" s="26" t="s">
        <v>182</v>
      </c>
      <c r="K28" s="26">
        <v>-7.1688299999999998</v>
      </c>
    </row>
    <row r="29" spans="1:11">
      <c r="A29" s="28" t="s">
        <v>212</v>
      </c>
      <c r="B29" s="29">
        <v>1992</v>
      </c>
      <c r="C29" s="29" t="s">
        <v>201</v>
      </c>
      <c r="D29" s="26">
        <v>0</v>
      </c>
      <c r="E29" s="26" t="s">
        <v>182</v>
      </c>
      <c r="F29" s="26" t="s">
        <v>182</v>
      </c>
      <c r="G29" s="26" t="s">
        <v>182</v>
      </c>
      <c r="H29" s="26">
        <v>120.86669999999999</v>
      </c>
      <c r="I29" s="26">
        <v>41.383130000000001</v>
      </c>
      <c r="J29" s="26">
        <v>35</v>
      </c>
      <c r="K29" s="26">
        <v>27.0806</v>
      </c>
    </row>
    <row r="30" spans="1:11">
      <c r="A30" s="28" t="s">
        <v>213</v>
      </c>
      <c r="B30" s="29">
        <v>1976</v>
      </c>
      <c r="C30" s="29">
        <v>1976</v>
      </c>
      <c r="D30" s="26">
        <v>19.898550200000003</v>
      </c>
      <c r="E30" s="26" t="s">
        <v>182</v>
      </c>
      <c r="F30" s="26" t="s">
        <v>182</v>
      </c>
      <c r="G30" s="26" t="s">
        <v>182</v>
      </c>
      <c r="H30" s="26">
        <v>32.200380000000003</v>
      </c>
      <c r="I30" s="26">
        <v>23.636960000000002</v>
      </c>
      <c r="J30" s="26" t="s">
        <v>182</v>
      </c>
      <c r="K30" s="26">
        <v>-69.523820000000001</v>
      </c>
    </row>
    <row r="31" spans="1:11">
      <c r="A31" s="28" t="s">
        <v>213</v>
      </c>
      <c r="B31" s="29">
        <v>1981</v>
      </c>
      <c r="C31" s="29" t="s">
        <v>214</v>
      </c>
      <c r="D31" s="26">
        <v>8.6097452000000008</v>
      </c>
      <c r="E31" s="26">
        <v>42.9</v>
      </c>
      <c r="F31" s="26">
        <v>16.799999999999997</v>
      </c>
      <c r="G31" s="31">
        <v>134.3143310546875</v>
      </c>
      <c r="H31" s="26">
        <v>61.225119999999997</v>
      </c>
      <c r="I31" s="26">
        <v>52.697899999999997</v>
      </c>
      <c r="J31" s="26">
        <v>35.6</v>
      </c>
      <c r="K31" s="26">
        <v>87.897599999999997</v>
      </c>
    </row>
    <row r="32" spans="1:11">
      <c r="A32" s="28" t="s">
        <v>215</v>
      </c>
      <c r="B32" s="29">
        <v>1998</v>
      </c>
      <c r="C32" s="29">
        <v>1998</v>
      </c>
      <c r="D32" s="26">
        <v>19.398310599999999</v>
      </c>
      <c r="E32" s="26">
        <v>18</v>
      </c>
      <c r="F32" s="26" t="s">
        <v>182</v>
      </c>
      <c r="G32" s="30">
        <v>19.53125</v>
      </c>
      <c r="H32" s="26">
        <v>62.015189999999997</v>
      </c>
      <c r="I32" s="26">
        <v>7.1921600000000003</v>
      </c>
      <c r="J32" s="26">
        <v>20</v>
      </c>
      <c r="K32" s="26">
        <v>11.15775</v>
      </c>
    </row>
    <row r="33" spans="1:11">
      <c r="A33" s="28" t="s">
        <v>216</v>
      </c>
      <c r="B33" s="29">
        <v>1982</v>
      </c>
      <c r="C33" s="29">
        <v>1982</v>
      </c>
      <c r="D33" s="26">
        <v>46.9595342</v>
      </c>
      <c r="E33" s="26">
        <v>5</v>
      </c>
      <c r="F33" s="26">
        <v>5</v>
      </c>
      <c r="G33" s="31">
        <v>16.496206283569336</v>
      </c>
      <c r="H33" s="26">
        <v>21.060279999999999</v>
      </c>
      <c r="I33" s="26">
        <v>7.7377199999999995</v>
      </c>
      <c r="J33" s="26">
        <v>4.0999999999999996</v>
      </c>
      <c r="K33" s="26">
        <v>16.570429999999998</v>
      </c>
    </row>
    <row r="34" spans="1:11">
      <c r="A34" s="28" t="s">
        <v>216</v>
      </c>
      <c r="B34" s="29">
        <v>1998</v>
      </c>
      <c r="C34" s="29">
        <v>2000</v>
      </c>
      <c r="D34" s="26">
        <v>43.398160699999998</v>
      </c>
      <c r="E34" s="26">
        <v>6.3</v>
      </c>
      <c r="F34" s="26">
        <v>2.5399999999999991</v>
      </c>
      <c r="G34" s="31">
        <v>15.89704704284668</v>
      </c>
      <c r="H34" s="26">
        <v>5.0735359999999998</v>
      </c>
      <c r="I34" s="26">
        <v>4.2910900000000005</v>
      </c>
      <c r="J34" s="26">
        <v>14.000000000000002</v>
      </c>
      <c r="K34" s="26">
        <v>15.40799</v>
      </c>
    </row>
    <row r="35" spans="1:11">
      <c r="A35" s="28" t="s">
        <v>217</v>
      </c>
      <c r="B35" s="29">
        <v>1983</v>
      </c>
      <c r="C35" s="29">
        <v>1983</v>
      </c>
      <c r="D35" s="26">
        <v>1.3754204000000001</v>
      </c>
      <c r="E35" s="26" t="s">
        <v>182</v>
      </c>
      <c r="F35" s="26" t="s">
        <v>182</v>
      </c>
      <c r="G35" s="26" t="s">
        <v>182</v>
      </c>
      <c r="H35" s="26">
        <v>19.956469999999999</v>
      </c>
      <c r="I35" s="26">
        <v>18.918129999999998</v>
      </c>
      <c r="J35" s="26" t="s">
        <v>182</v>
      </c>
      <c r="K35" s="26">
        <v>39.45382</v>
      </c>
    </row>
    <row r="36" spans="1:11">
      <c r="A36" s="28" t="s">
        <v>217</v>
      </c>
      <c r="B36" s="29">
        <v>1991</v>
      </c>
      <c r="C36" s="29" t="s">
        <v>184</v>
      </c>
      <c r="D36" s="26">
        <v>129.54675220000001</v>
      </c>
      <c r="E36" s="26" t="s">
        <v>182</v>
      </c>
      <c r="F36" s="26" t="s">
        <v>182</v>
      </c>
      <c r="G36" s="26" t="s">
        <v>182</v>
      </c>
      <c r="H36" s="26">
        <v>44.698529999999998</v>
      </c>
      <c r="I36" s="26">
        <v>30.170459999999999</v>
      </c>
      <c r="J36" s="26" t="s">
        <v>182</v>
      </c>
      <c r="K36" s="26">
        <v>42.188400000000001</v>
      </c>
    </row>
    <row r="37" spans="1:11">
      <c r="A37" s="28" t="s">
        <v>217</v>
      </c>
      <c r="B37" s="34">
        <v>1994</v>
      </c>
      <c r="C37" s="34" t="s">
        <v>207</v>
      </c>
      <c r="D37" s="26">
        <v>78.991938599999997</v>
      </c>
      <c r="E37" s="26" t="s">
        <v>182</v>
      </c>
      <c r="F37" s="26" t="s">
        <v>182</v>
      </c>
      <c r="G37" s="26" t="s">
        <v>182</v>
      </c>
      <c r="H37" s="26">
        <v>77.252920000000003</v>
      </c>
      <c r="I37" s="26">
        <v>77.118859999999998</v>
      </c>
      <c r="J37" s="26">
        <v>75</v>
      </c>
      <c r="K37" s="26">
        <v>39.257750000000001</v>
      </c>
    </row>
    <row r="38" spans="1:11">
      <c r="A38" s="28" t="s">
        <v>218</v>
      </c>
      <c r="B38" s="34">
        <v>1992</v>
      </c>
      <c r="C38" s="34">
        <v>1994</v>
      </c>
      <c r="D38" s="26">
        <v>47.359838400000001</v>
      </c>
      <c r="E38" s="26" t="s">
        <v>182</v>
      </c>
      <c r="F38" s="26" t="s">
        <v>182</v>
      </c>
      <c r="G38" s="26" t="s">
        <v>182</v>
      </c>
      <c r="H38" s="26">
        <v>30.732009999999999</v>
      </c>
      <c r="I38" s="26">
        <v>16.584109999999999</v>
      </c>
      <c r="J38" s="26" t="s">
        <v>182</v>
      </c>
      <c r="K38" s="26">
        <v>103.46310000000001</v>
      </c>
    </row>
    <row r="39" spans="1:11">
      <c r="A39" s="28" t="s">
        <v>219</v>
      </c>
      <c r="B39" s="34">
        <v>1987</v>
      </c>
      <c r="C39" s="34">
        <v>1991</v>
      </c>
      <c r="D39" s="26">
        <v>0</v>
      </c>
      <c r="E39" s="26" t="s">
        <v>182</v>
      </c>
      <c r="F39" s="26" t="s">
        <v>182</v>
      </c>
      <c r="G39" s="26" t="s">
        <v>182</v>
      </c>
      <c r="H39" s="26">
        <v>20.17417</v>
      </c>
      <c r="I39" s="26">
        <v>6.0958100000000002</v>
      </c>
      <c r="J39" s="26" t="s">
        <v>182</v>
      </c>
      <c r="K39" s="26">
        <v>-27.548780000000001</v>
      </c>
    </row>
    <row r="40" spans="1:11">
      <c r="A40" s="28" t="s">
        <v>219</v>
      </c>
      <c r="B40" s="34">
        <v>1994</v>
      </c>
      <c r="C40" s="34">
        <v>1995</v>
      </c>
      <c r="D40" s="26">
        <v>0</v>
      </c>
      <c r="E40" s="26" t="s">
        <v>182</v>
      </c>
      <c r="F40" s="26" t="s">
        <v>182</v>
      </c>
      <c r="G40" s="26" t="s">
        <v>182</v>
      </c>
      <c r="H40" s="26">
        <v>15.1952</v>
      </c>
      <c r="I40" s="26">
        <v>6.3494700000000002</v>
      </c>
      <c r="J40" s="26">
        <v>32</v>
      </c>
      <c r="K40" s="26">
        <v>4.7588400000000002</v>
      </c>
    </row>
    <row r="41" spans="1:11">
      <c r="A41" s="28" t="s">
        <v>220</v>
      </c>
      <c r="B41" s="34">
        <v>1988</v>
      </c>
      <c r="C41" s="34" t="s">
        <v>198</v>
      </c>
      <c r="D41" s="26">
        <v>45</v>
      </c>
      <c r="E41" s="26">
        <v>25</v>
      </c>
      <c r="F41" s="26">
        <v>25</v>
      </c>
      <c r="G41" s="31">
        <v>63.5970458984375</v>
      </c>
      <c r="H41" s="26">
        <v>76.853390000000005</v>
      </c>
      <c r="I41" s="26">
        <v>22.537890000000001</v>
      </c>
      <c r="J41" s="26">
        <v>50</v>
      </c>
      <c r="K41" s="26">
        <v>13.61769</v>
      </c>
    </row>
    <row r="42" spans="1:11">
      <c r="A42" s="28" t="s">
        <v>221</v>
      </c>
      <c r="B42" s="34">
        <v>1998</v>
      </c>
      <c r="C42" s="34">
        <v>1999</v>
      </c>
      <c r="D42" s="26" t="s">
        <v>182</v>
      </c>
      <c r="E42" s="26">
        <v>6.9</v>
      </c>
      <c r="F42" s="26">
        <v>6.9</v>
      </c>
      <c r="G42" s="31">
        <v>14.951245307922363</v>
      </c>
      <c r="H42" s="26">
        <v>3.2497919999999998</v>
      </c>
      <c r="I42" s="26">
        <v>3.1253499999999996</v>
      </c>
      <c r="J42" s="26">
        <v>10.5</v>
      </c>
      <c r="K42" s="26">
        <v>14.089199999999998</v>
      </c>
    </row>
    <row r="43" spans="1:11">
      <c r="A43" s="28" t="s">
        <v>222</v>
      </c>
      <c r="B43" s="34">
        <v>1996</v>
      </c>
      <c r="C43" s="34" t="s">
        <v>223</v>
      </c>
      <c r="D43" s="26" t="s">
        <v>182</v>
      </c>
      <c r="E43" s="26">
        <v>6.8000000000000007</v>
      </c>
      <c r="F43" s="26">
        <v>5.8000000000000007</v>
      </c>
      <c r="G43" s="31">
        <v>9.5774650573730469</v>
      </c>
      <c r="H43" s="26">
        <v>12.656520000000002</v>
      </c>
      <c r="I43" s="26">
        <v>4.1516099999999998</v>
      </c>
      <c r="J43" s="26">
        <v>18</v>
      </c>
      <c r="K43" s="26">
        <v>1.7746499999999998</v>
      </c>
    </row>
    <row r="44" spans="1:11">
      <c r="A44" s="28" t="s">
        <v>224</v>
      </c>
      <c r="B44" s="34">
        <v>2011</v>
      </c>
      <c r="C44" s="34" t="s">
        <v>225</v>
      </c>
      <c r="D44" s="26">
        <v>76.495338000000004</v>
      </c>
      <c r="E44" s="26">
        <f>+'[1]Additional Details-Bk Crises'!R46*100</f>
        <v>17.989999999999998</v>
      </c>
      <c r="F44" s="26">
        <v>17.989999999999998</v>
      </c>
      <c r="G44" s="31">
        <v>2.5725228786468506</v>
      </c>
      <c r="H44" s="26">
        <v>20.29</v>
      </c>
      <c r="I44" s="26">
        <v>14.065590069231124</v>
      </c>
      <c r="J44" s="26">
        <f>+'[1]Additional Details-Bk Crises'!R45*100</f>
        <v>47.75</v>
      </c>
      <c r="K44" s="26">
        <v>21.256669429808635</v>
      </c>
    </row>
    <row r="45" spans="1:11">
      <c r="A45" s="28" t="s">
        <v>226</v>
      </c>
      <c r="B45" s="34">
        <v>2008</v>
      </c>
      <c r="C45" s="34">
        <v>2009</v>
      </c>
      <c r="D45" s="26">
        <v>35.016396</v>
      </c>
      <c r="E45" s="26">
        <f>+'[1]Additional Details-Bk Crises'!S47*100</f>
        <v>5.94</v>
      </c>
      <c r="F45" s="26">
        <v>2.44</v>
      </c>
      <c r="G45" s="31">
        <v>3.0609090328216553</v>
      </c>
      <c r="H45" s="26">
        <v>17.7</v>
      </c>
      <c r="I45" s="26">
        <v>9.6999999999999993</v>
      </c>
      <c r="J45" s="35">
        <f>+'[1]Additional Details-Bk Crises'!S45*100</f>
        <v>5.9499999999999993</v>
      </c>
      <c r="K45" s="26">
        <v>32.764463784923478</v>
      </c>
    </row>
    <row r="46" spans="1:11">
      <c r="A46" s="28" t="s">
        <v>227</v>
      </c>
      <c r="B46" s="34">
        <v>1991</v>
      </c>
      <c r="C46" s="34" t="s">
        <v>228</v>
      </c>
      <c r="D46" s="26">
        <v>42.645263200000002</v>
      </c>
      <c r="E46" s="26" t="s">
        <v>182</v>
      </c>
      <c r="F46" s="26" t="s">
        <v>182</v>
      </c>
      <c r="G46" s="26" t="s">
        <v>182</v>
      </c>
      <c r="H46" s="26">
        <v>5.2284490000000003</v>
      </c>
      <c r="I46" s="26">
        <v>3.1511100000000001</v>
      </c>
      <c r="J46" s="26" t="s">
        <v>182</v>
      </c>
      <c r="K46" s="26" t="s">
        <v>182</v>
      </c>
    </row>
    <row r="47" spans="1:11">
      <c r="A47" s="28" t="s">
        <v>229</v>
      </c>
      <c r="B47" s="34">
        <v>2003</v>
      </c>
      <c r="C47" s="34">
        <v>2004</v>
      </c>
      <c r="D47" s="26">
        <v>12.493992</v>
      </c>
      <c r="E47" s="26">
        <v>22</v>
      </c>
      <c r="F47" s="26">
        <v>20.8</v>
      </c>
      <c r="G47" s="31">
        <v>63.712715148925781</v>
      </c>
      <c r="H47" s="26">
        <v>43.371549999999999</v>
      </c>
      <c r="I47" s="26">
        <v>38.11788</v>
      </c>
      <c r="J47" s="26">
        <v>9</v>
      </c>
      <c r="K47" s="26">
        <v>16.513549999999999</v>
      </c>
    </row>
    <row r="48" spans="1:11">
      <c r="A48" s="28" t="s">
        <v>230</v>
      </c>
      <c r="B48" s="34">
        <v>1982</v>
      </c>
      <c r="C48" s="34" t="s">
        <v>231</v>
      </c>
      <c r="D48" s="26">
        <v>98.190622500000003</v>
      </c>
      <c r="E48" s="26" t="s">
        <v>182</v>
      </c>
      <c r="F48" s="26" t="s">
        <v>182</v>
      </c>
      <c r="G48" s="30" t="s">
        <v>182</v>
      </c>
      <c r="H48" s="26">
        <v>146.71780000000001</v>
      </c>
      <c r="I48" s="26">
        <v>100.01100000000001</v>
      </c>
      <c r="J48" s="26" t="s">
        <v>182</v>
      </c>
      <c r="K48" s="26">
        <v>24.401909999999997</v>
      </c>
    </row>
    <row r="49" spans="1:11">
      <c r="A49" s="28" t="s">
        <v>230</v>
      </c>
      <c r="B49" s="34">
        <v>1998</v>
      </c>
      <c r="C49" s="34">
        <v>2002</v>
      </c>
      <c r="D49" s="26">
        <v>25.353329899999999</v>
      </c>
      <c r="E49" s="26">
        <v>21.7</v>
      </c>
      <c r="F49" s="26">
        <v>16.259999999999998</v>
      </c>
      <c r="G49" s="31">
        <v>76.841361999511719</v>
      </c>
      <c r="H49" s="26">
        <v>26.004899999999999</v>
      </c>
      <c r="I49" s="26">
        <v>22.54439</v>
      </c>
      <c r="J49" s="26">
        <v>40</v>
      </c>
      <c r="K49" s="26">
        <v>9.0541999999999998</v>
      </c>
    </row>
    <row r="50" spans="1:11">
      <c r="A50" s="28" t="s">
        <v>232</v>
      </c>
      <c r="B50" s="34">
        <v>1980</v>
      </c>
      <c r="C50" s="34">
        <v>1980</v>
      </c>
      <c r="D50" s="26">
        <v>0.88295179999999995</v>
      </c>
      <c r="E50" s="26" t="s">
        <v>182</v>
      </c>
      <c r="F50" s="26" t="s">
        <v>182</v>
      </c>
      <c r="G50" s="26" t="s">
        <v>182</v>
      </c>
      <c r="H50" s="26">
        <v>66.654889999999995</v>
      </c>
      <c r="I50" s="26">
        <v>22.733819999999998</v>
      </c>
      <c r="J50" s="26" t="s">
        <v>182</v>
      </c>
      <c r="K50" s="26">
        <v>-4.2294400000000003</v>
      </c>
    </row>
    <row r="51" spans="1:11">
      <c r="A51" s="28" t="s">
        <v>233</v>
      </c>
      <c r="B51" s="34">
        <v>1989</v>
      </c>
      <c r="C51" s="34">
        <v>1990</v>
      </c>
      <c r="D51" s="26">
        <v>0</v>
      </c>
      <c r="E51" s="26" t="s">
        <v>182</v>
      </c>
      <c r="F51" s="26" t="s">
        <v>182</v>
      </c>
      <c r="G51" s="26" t="s">
        <v>182</v>
      </c>
      <c r="H51" s="26">
        <v>51.63841</v>
      </c>
      <c r="I51" s="26">
        <v>11.46209</v>
      </c>
      <c r="J51" s="26">
        <v>37</v>
      </c>
      <c r="K51" s="26">
        <v>-29.55433</v>
      </c>
    </row>
    <row r="52" spans="1:11">
      <c r="A52" s="28" t="s">
        <v>234</v>
      </c>
      <c r="B52" s="34">
        <v>1983</v>
      </c>
      <c r="C52" s="34" t="s">
        <v>235</v>
      </c>
      <c r="D52" s="26">
        <v>0</v>
      </c>
      <c r="E52" s="26" t="s">
        <v>182</v>
      </c>
      <c r="F52" s="26" t="s">
        <v>182</v>
      </c>
      <c r="G52" s="26" t="s">
        <v>182</v>
      </c>
      <c r="H52" s="26">
        <v>75.791380000000004</v>
      </c>
      <c r="I52" s="26" t="s">
        <v>182</v>
      </c>
      <c r="J52" s="26" t="s">
        <v>182</v>
      </c>
      <c r="K52" s="26" t="s">
        <v>182</v>
      </c>
    </row>
    <row r="53" spans="1:11">
      <c r="A53" s="28" t="s">
        <v>236</v>
      </c>
      <c r="B53" s="34">
        <v>1993</v>
      </c>
      <c r="C53" s="34" t="s">
        <v>237</v>
      </c>
      <c r="D53" s="26" t="s">
        <v>182</v>
      </c>
      <c r="E53" s="26" t="s">
        <v>182</v>
      </c>
      <c r="F53" s="26" t="s">
        <v>182</v>
      </c>
      <c r="G53" s="26" t="s">
        <v>182</v>
      </c>
      <c r="H53" s="26" t="s">
        <v>182</v>
      </c>
      <c r="I53" s="26" t="s">
        <v>182</v>
      </c>
      <c r="J53" s="26" t="s">
        <v>182</v>
      </c>
      <c r="K53" s="26" t="s">
        <v>182</v>
      </c>
    </row>
    <row r="54" spans="1:11">
      <c r="A54" s="28" t="s">
        <v>238</v>
      </c>
      <c r="B54" s="34">
        <v>1992</v>
      </c>
      <c r="C54" s="34">
        <v>1994</v>
      </c>
      <c r="D54" s="26" t="s">
        <v>182</v>
      </c>
      <c r="E54" s="26">
        <v>1.9</v>
      </c>
      <c r="F54" s="26">
        <v>1.63</v>
      </c>
      <c r="G54" s="26" t="s">
        <v>182</v>
      </c>
      <c r="H54" s="26">
        <v>30.923780000000001</v>
      </c>
      <c r="I54" s="26" t="s">
        <v>182</v>
      </c>
      <c r="J54" s="26">
        <v>7.0000000000000009</v>
      </c>
      <c r="K54" s="26" t="s">
        <v>182</v>
      </c>
    </row>
    <row r="55" spans="1:11">
      <c r="A55" s="28" t="s">
        <v>239</v>
      </c>
      <c r="B55" s="34">
        <v>1991</v>
      </c>
      <c r="C55" s="34">
        <v>1995</v>
      </c>
      <c r="D55" s="26">
        <v>69.590314399999997</v>
      </c>
      <c r="E55" s="26">
        <v>12.8</v>
      </c>
      <c r="F55" s="26">
        <v>11.080000000000002</v>
      </c>
      <c r="G55" s="30">
        <v>15.492616653442383</v>
      </c>
      <c r="H55" s="26">
        <v>11.991350000000001</v>
      </c>
      <c r="I55" s="26">
        <v>5.50326</v>
      </c>
      <c r="J55" s="26">
        <v>13</v>
      </c>
      <c r="K55" s="26">
        <v>43.55003</v>
      </c>
    </row>
    <row r="56" spans="1:11">
      <c r="A56" s="28" t="s">
        <v>240</v>
      </c>
      <c r="B56" s="34">
        <v>2008</v>
      </c>
      <c r="C56" s="34">
        <v>2009</v>
      </c>
      <c r="D56" s="26">
        <v>23.349284999999998</v>
      </c>
      <c r="E56" s="26">
        <f>+'[1]Additional Details-Bk Crises'!X47*100</f>
        <v>1.26</v>
      </c>
      <c r="F56" s="26">
        <v>1.06</v>
      </c>
      <c r="G56" s="30">
        <v>0.34429803490638733</v>
      </c>
      <c r="H56" s="26">
        <v>9.59</v>
      </c>
      <c r="I56" s="26">
        <v>8.18</v>
      </c>
      <c r="J56" s="26">
        <f>100*'[1]Additional Details-Bk Crises'!X45</f>
        <v>4.5</v>
      </c>
      <c r="K56" s="26">
        <v>15.875669622044274</v>
      </c>
    </row>
    <row r="57" spans="1:11">
      <c r="A57" s="28" t="s">
        <v>241</v>
      </c>
      <c r="B57" s="34">
        <v>1991</v>
      </c>
      <c r="C57" s="34" t="s">
        <v>228</v>
      </c>
      <c r="D57" s="26" t="s">
        <v>182</v>
      </c>
      <c r="E57" s="26" t="s">
        <v>182</v>
      </c>
      <c r="F57" s="26" t="s">
        <v>182</v>
      </c>
      <c r="G57" s="30" t="s">
        <v>182</v>
      </c>
      <c r="H57" s="26" t="s">
        <v>182</v>
      </c>
      <c r="I57" s="26" t="s">
        <v>182</v>
      </c>
      <c r="J57" s="26">
        <v>33</v>
      </c>
      <c r="K57" s="26" t="s">
        <v>182</v>
      </c>
    </row>
    <row r="58" spans="1:11">
      <c r="A58" s="28" t="s">
        <v>242</v>
      </c>
      <c r="B58" s="34">
        <v>2008</v>
      </c>
      <c r="C58" s="34">
        <v>2009</v>
      </c>
      <c r="D58" s="26">
        <v>12.257433000000001</v>
      </c>
      <c r="E58" s="26">
        <f>+'[1]Additional Details-Bk Crises'!Y47*100</f>
        <v>2.73</v>
      </c>
      <c r="F58" s="26">
        <v>0.69</v>
      </c>
      <c r="G58" s="30">
        <v>0.90368360280990601</v>
      </c>
      <c r="H58" s="26">
        <v>12.94</v>
      </c>
      <c r="I58" s="26">
        <v>4</v>
      </c>
      <c r="J58" s="26">
        <f>100*'[1]Additional Details-Bk Crises'!Y45</f>
        <v>3.6999999999999997</v>
      </c>
      <c r="K58" s="26">
        <v>16.228234471993758</v>
      </c>
    </row>
    <row r="59" spans="1:11">
      <c r="A59" s="28" t="s">
        <v>243</v>
      </c>
      <c r="B59" s="34">
        <v>1982</v>
      </c>
      <c r="C59" s="34">
        <v>1983</v>
      </c>
      <c r="D59" s="26">
        <v>45.309133899999999</v>
      </c>
      <c r="E59" s="26">
        <v>6</v>
      </c>
      <c r="F59" s="26">
        <v>6</v>
      </c>
      <c r="G59" s="30">
        <v>105.82010650634766</v>
      </c>
      <c r="H59" s="26">
        <v>0.18956690000000001</v>
      </c>
      <c r="I59" s="26">
        <v>5.7280000000000005E-2</v>
      </c>
      <c r="J59" s="26">
        <v>35</v>
      </c>
      <c r="K59" s="26">
        <v>15.521699999999999</v>
      </c>
    </row>
    <row r="60" spans="1:11">
      <c r="A60" s="28" t="s">
        <v>244</v>
      </c>
      <c r="B60" s="34">
        <v>2008</v>
      </c>
      <c r="C60" s="29" t="s">
        <v>191</v>
      </c>
      <c r="D60" s="26">
        <v>64.926102</v>
      </c>
      <c r="E60" s="26">
        <f>+'[1]Additional Details-Bk Crises'!AA47*100</f>
        <v>28.7</v>
      </c>
      <c r="F60" s="26">
        <v>17.109999999999996</v>
      </c>
      <c r="G60" s="30">
        <v>17.058181762695313</v>
      </c>
      <c r="H60" s="26">
        <v>61.74</v>
      </c>
      <c r="I60" s="26">
        <v>59.84</v>
      </c>
      <c r="J60" s="26">
        <f>100*'[1]Additional Details-Bk Crises'!AA45</f>
        <v>37.1</v>
      </c>
      <c r="K60" s="26">
        <v>43.87039989046265</v>
      </c>
    </row>
    <row r="61" spans="1:11">
      <c r="A61" s="28" t="s">
        <v>245</v>
      </c>
      <c r="B61" s="34">
        <v>1985</v>
      </c>
      <c r="C61" s="34" t="s">
        <v>246</v>
      </c>
      <c r="D61" s="26">
        <v>0</v>
      </c>
      <c r="E61" s="26">
        <v>3</v>
      </c>
      <c r="F61" s="26" t="s">
        <v>182</v>
      </c>
      <c r="G61" s="26" t="s">
        <v>182</v>
      </c>
      <c r="H61" s="26" t="s">
        <v>182</v>
      </c>
      <c r="I61" s="26" t="s">
        <v>182</v>
      </c>
      <c r="J61" s="26" t="s">
        <v>182</v>
      </c>
      <c r="K61" s="26" t="s">
        <v>182</v>
      </c>
    </row>
    <row r="62" spans="1:11">
      <c r="A62" s="28" t="s">
        <v>245</v>
      </c>
      <c r="B62" s="34">
        <v>1993</v>
      </c>
      <c r="C62" s="34">
        <v>1993</v>
      </c>
      <c r="D62" s="26">
        <v>0</v>
      </c>
      <c r="E62" s="26" t="s">
        <v>182</v>
      </c>
      <c r="F62" s="26" t="s">
        <v>182</v>
      </c>
      <c r="G62" s="26" t="s">
        <v>182</v>
      </c>
      <c r="H62" s="26">
        <v>14.564859999999999</v>
      </c>
      <c r="I62" s="26">
        <v>3.9318899999999997</v>
      </c>
      <c r="J62" s="26">
        <v>45</v>
      </c>
      <c r="K62" s="26">
        <v>6.7217299999999991</v>
      </c>
    </row>
    <row r="63" spans="1:11">
      <c r="A63" s="28" t="s">
        <v>247</v>
      </c>
      <c r="B63" s="34">
        <v>1995</v>
      </c>
      <c r="C63" s="34">
        <v>1998</v>
      </c>
      <c r="D63" s="26">
        <v>29.6311125</v>
      </c>
      <c r="E63" s="26" t="s">
        <v>182</v>
      </c>
      <c r="F63" s="26" t="s">
        <v>182</v>
      </c>
      <c r="G63" s="26" t="s">
        <v>182</v>
      </c>
      <c r="H63" s="26">
        <v>137.29660000000001</v>
      </c>
      <c r="I63" s="26">
        <v>39.245069999999998</v>
      </c>
      <c r="J63" s="26">
        <v>45</v>
      </c>
      <c r="K63" s="26">
        <v>108.05359999999999</v>
      </c>
    </row>
    <row r="64" spans="1:11">
      <c r="A64" s="28" t="s">
        <v>247</v>
      </c>
      <c r="B64" s="34">
        <v>2014</v>
      </c>
      <c r="C64" s="34" t="s">
        <v>248</v>
      </c>
      <c r="D64" s="26">
        <v>0</v>
      </c>
      <c r="E64" s="26" t="s">
        <v>182</v>
      </c>
      <c r="F64" s="26" t="s">
        <v>182</v>
      </c>
      <c r="G64" s="26" t="s">
        <v>182</v>
      </c>
      <c r="H64" s="26">
        <v>33.39</v>
      </c>
      <c r="I64" s="26">
        <v>22.38</v>
      </c>
      <c r="J64" s="26">
        <v>25.7</v>
      </c>
      <c r="K64" s="26">
        <v>3.1638627468293476</v>
      </c>
    </row>
    <row r="65" spans="1:11">
      <c r="A65" s="28" t="s">
        <v>249</v>
      </c>
      <c r="B65" s="34">
        <v>1993</v>
      </c>
      <c r="C65" s="34">
        <v>1993</v>
      </c>
      <c r="D65" s="26">
        <v>0</v>
      </c>
      <c r="E65" s="26" t="s">
        <v>182</v>
      </c>
      <c r="F65" s="26" t="s">
        <v>182</v>
      </c>
      <c r="G65" s="26" t="s">
        <v>182</v>
      </c>
      <c r="H65" s="26">
        <v>1.8330090000000001</v>
      </c>
      <c r="I65" s="26">
        <v>1.6802600000000001</v>
      </c>
      <c r="J65" s="26" t="s">
        <v>182</v>
      </c>
      <c r="K65" s="26">
        <v>-240.98860000000002</v>
      </c>
    </row>
    <row r="66" spans="1:11">
      <c r="A66" s="28" t="s">
        <v>250</v>
      </c>
      <c r="B66" s="34">
        <v>1994</v>
      </c>
      <c r="C66" s="34">
        <v>1998</v>
      </c>
      <c r="D66" s="26">
        <v>37.549128500000002</v>
      </c>
      <c r="E66" s="26" t="s">
        <v>182</v>
      </c>
      <c r="F66" s="26" t="s">
        <v>182</v>
      </c>
      <c r="G66" s="26" t="s">
        <v>182</v>
      </c>
      <c r="H66" s="26">
        <v>4.7665550000000003</v>
      </c>
      <c r="I66" s="26" t="s">
        <v>182</v>
      </c>
      <c r="J66" s="26" t="s">
        <v>182</v>
      </c>
      <c r="K66" s="26">
        <v>-119.38200000000001</v>
      </c>
    </row>
    <row r="67" spans="1:11">
      <c r="A67" s="28" t="s">
        <v>251</v>
      </c>
      <c r="B67" s="34">
        <v>1991</v>
      </c>
      <c r="C67" s="34" t="s">
        <v>228</v>
      </c>
      <c r="D67" s="26">
        <v>0</v>
      </c>
      <c r="E67" s="26">
        <v>10</v>
      </c>
      <c r="F67" s="26" t="s">
        <v>182</v>
      </c>
      <c r="G67" s="30">
        <v>21.276596069335938</v>
      </c>
      <c r="H67" s="26">
        <v>47.02957</v>
      </c>
      <c r="I67" s="26">
        <v>4.6215999999999999</v>
      </c>
      <c r="J67" s="26">
        <v>23</v>
      </c>
      <c r="K67" s="26">
        <v>19.603100000000001</v>
      </c>
    </row>
    <row r="68" spans="1:11">
      <c r="A68" s="28" t="s">
        <v>252</v>
      </c>
      <c r="B68" s="34">
        <v>2008</v>
      </c>
      <c r="C68" s="29" t="s">
        <v>191</v>
      </c>
      <c r="D68" s="26">
        <v>37.309933000000001</v>
      </c>
      <c r="E68" s="26">
        <f>+'[1]Additional Details-Bk Crises'!AB47*100</f>
        <v>2.85</v>
      </c>
      <c r="F68" s="26">
        <v>8.000000000000021E-2</v>
      </c>
      <c r="G68" s="30">
        <v>4.0662007331848145</v>
      </c>
      <c r="H68" s="26">
        <v>2.34</v>
      </c>
      <c r="I68" s="26">
        <v>2.2000000000000002</v>
      </c>
      <c r="J68" s="26">
        <f>+'[1]Additional Details-Bk Crises'!AB45*100</f>
        <v>17.32</v>
      </c>
      <c r="K68" s="26">
        <v>3.7774046735413416</v>
      </c>
    </row>
    <row r="69" spans="1:11">
      <c r="A69" s="28" t="s">
        <v>253</v>
      </c>
      <c r="B69" s="34">
        <v>2008</v>
      </c>
      <c r="C69" s="29" t="s">
        <v>191</v>
      </c>
      <c r="D69" s="26">
        <v>34.497214999999997</v>
      </c>
      <c r="E69" s="26">
        <v>37.6</v>
      </c>
      <c r="F69" s="26">
        <v>3.3</v>
      </c>
      <c r="G69" s="30">
        <v>14.3</v>
      </c>
      <c r="H69" s="26">
        <v>33.82</v>
      </c>
      <c r="I69" s="26">
        <v>28.07</v>
      </c>
      <c r="J69" s="26">
        <v>61.199999999999996</v>
      </c>
      <c r="K69" s="26">
        <v>67.916974277084321</v>
      </c>
    </row>
    <row r="70" spans="1:11">
      <c r="A70" s="28" t="s">
        <v>254</v>
      </c>
      <c r="B70" s="34">
        <v>1993</v>
      </c>
      <c r="C70" s="34">
        <v>1993</v>
      </c>
      <c r="D70" s="26">
        <v>0</v>
      </c>
      <c r="E70" s="26" t="s">
        <v>182</v>
      </c>
      <c r="F70" s="26" t="s">
        <v>182</v>
      </c>
      <c r="G70" s="26" t="s">
        <v>182</v>
      </c>
      <c r="H70" s="26">
        <v>4.280926</v>
      </c>
      <c r="I70" s="26">
        <v>3.6257699999999997</v>
      </c>
      <c r="J70" s="26">
        <v>20</v>
      </c>
      <c r="K70" s="26">
        <v>-7.7368800000000002</v>
      </c>
    </row>
    <row r="71" spans="1:11">
      <c r="A71" s="28" t="s">
        <v>255</v>
      </c>
      <c r="B71" s="34">
        <v>1997</v>
      </c>
      <c r="C71" s="34" t="s">
        <v>256</v>
      </c>
      <c r="D71" s="26">
        <v>69.019501500000004</v>
      </c>
      <c r="E71" s="26">
        <v>56.8</v>
      </c>
      <c r="F71" s="26">
        <v>52.199999999999989</v>
      </c>
      <c r="G71" s="30">
        <v>105.41944885253906</v>
      </c>
      <c r="H71" s="26">
        <v>23.12321</v>
      </c>
      <c r="I71" s="26">
        <v>17.19079</v>
      </c>
      <c r="J71" s="26">
        <v>32.5</v>
      </c>
      <c r="K71" s="26">
        <v>67.560220000000001</v>
      </c>
    </row>
    <row r="72" spans="1:11">
      <c r="A72" s="55" t="s">
        <v>257</v>
      </c>
      <c r="B72" s="56">
        <v>2008</v>
      </c>
      <c r="C72" s="57" t="s">
        <v>191</v>
      </c>
      <c r="D72" s="26">
        <v>107.71813</v>
      </c>
      <c r="E72" s="26">
        <f>+'[1]Additional Details-Bk Crises'!AE47*100</f>
        <v>37.630000000000003</v>
      </c>
      <c r="F72" s="26">
        <v>26.76</v>
      </c>
      <c r="G72" s="30">
        <v>4.4633383750915527</v>
      </c>
      <c r="H72" s="26">
        <v>18.05</v>
      </c>
      <c r="I72" s="26">
        <v>15.39</v>
      </c>
      <c r="J72" s="26">
        <f>100*'[1]Additional Details-Bk Crises'!AE45</f>
        <v>25.71</v>
      </c>
      <c r="K72" s="26">
        <v>76.537361567691448</v>
      </c>
    </row>
    <row r="73" spans="1:11">
      <c r="A73" s="28" t="s">
        <v>258</v>
      </c>
      <c r="B73" s="34">
        <v>1983</v>
      </c>
      <c r="C73" s="29">
        <v>1986</v>
      </c>
      <c r="D73" s="26">
        <v>42.68</v>
      </c>
      <c r="E73" s="26">
        <v>30</v>
      </c>
      <c r="F73" s="26" t="s">
        <v>182</v>
      </c>
      <c r="G73" s="30">
        <v>30.86</v>
      </c>
      <c r="H73" s="26">
        <v>5.34</v>
      </c>
      <c r="I73" s="26" t="s">
        <v>181</v>
      </c>
      <c r="J73" s="26" t="s">
        <v>182</v>
      </c>
      <c r="K73" s="26" t="s">
        <v>182</v>
      </c>
    </row>
    <row r="74" spans="1:11">
      <c r="A74" s="28" t="s">
        <v>259</v>
      </c>
      <c r="B74" s="34">
        <v>2008</v>
      </c>
      <c r="C74" s="34">
        <v>2009</v>
      </c>
      <c r="D74" s="26">
        <v>32.216835000000003</v>
      </c>
      <c r="E74" s="26">
        <f>+'[1]Additional Details-Bk Crises'!AF47*100</f>
        <v>0.73</v>
      </c>
      <c r="F74" s="26">
        <v>0.65</v>
      </c>
      <c r="G74" s="30">
        <v>0.34482988715171814</v>
      </c>
      <c r="H74" s="26">
        <v>19.350000000000001</v>
      </c>
      <c r="I74" s="26">
        <v>17.82</v>
      </c>
      <c r="J74" s="26">
        <f>100*'[1]Additional Details-Bk Crises'!AF45</f>
        <v>18.029999999999998</v>
      </c>
      <c r="K74" s="26">
        <v>8.5882380769109581</v>
      </c>
    </row>
    <row r="75" spans="1:11">
      <c r="A75" s="28" t="s">
        <v>260</v>
      </c>
      <c r="B75" s="34">
        <v>1996</v>
      </c>
      <c r="C75" s="34">
        <v>1998</v>
      </c>
      <c r="D75" s="26">
        <v>37.789188500000002</v>
      </c>
      <c r="E75" s="26">
        <v>43.9</v>
      </c>
      <c r="F75" s="26">
        <v>38.950000000000003</v>
      </c>
      <c r="G75" s="30">
        <v>161.39704895019531</v>
      </c>
      <c r="H75" s="26">
        <v>0.37003399999999997</v>
      </c>
      <c r="I75" s="26">
        <v>0.33939000000000002</v>
      </c>
      <c r="J75" s="26">
        <v>28.9</v>
      </c>
      <c r="K75" s="26">
        <v>2.9386000000000001</v>
      </c>
    </row>
    <row r="76" spans="1:11">
      <c r="A76" s="28" t="s">
        <v>261</v>
      </c>
      <c r="B76" s="34">
        <v>1997</v>
      </c>
      <c r="C76" s="36" t="s">
        <v>256</v>
      </c>
      <c r="D76" s="26">
        <v>44.999780099999995</v>
      </c>
      <c r="E76" s="26">
        <v>8.6</v>
      </c>
      <c r="F76" s="26">
        <v>8.51</v>
      </c>
      <c r="G76" s="30">
        <v>3.1563107967376709</v>
      </c>
      <c r="H76" s="26">
        <v>2.4180410000000001</v>
      </c>
      <c r="I76" s="26">
        <v>1.5770099999999998</v>
      </c>
      <c r="J76" s="26">
        <v>35</v>
      </c>
      <c r="K76" s="26">
        <v>41.731920000000002</v>
      </c>
    </row>
    <row r="77" spans="1:11">
      <c r="A77" s="28" t="s">
        <v>262</v>
      </c>
      <c r="B77" s="34">
        <v>1989</v>
      </c>
      <c r="C77" s="34">
        <v>1991</v>
      </c>
      <c r="D77" s="26">
        <v>106.37420179999999</v>
      </c>
      <c r="E77" s="26">
        <v>10</v>
      </c>
      <c r="F77" s="26" t="s">
        <v>182</v>
      </c>
      <c r="G77" s="30">
        <v>12.514078140258789</v>
      </c>
      <c r="H77" s="26">
        <v>20.66872</v>
      </c>
      <c r="I77" s="26">
        <v>16.116070000000001</v>
      </c>
      <c r="J77" s="26" t="s">
        <v>182</v>
      </c>
      <c r="K77" s="26">
        <v>-61.012409999999996</v>
      </c>
    </row>
    <row r="78" spans="1:11">
      <c r="A78" s="37" t="s">
        <v>263</v>
      </c>
      <c r="B78" s="34">
        <v>2008</v>
      </c>
      <c r="C78" s="34">
        <v>2008</v>
      </c>
      <c r="D78" s="26">
        <v>0</v>
      </c>
      <c r="E78" s="26">
        <v>3.6999999999999997</v>
      </c>
      <c r="F78" s="26">
        <v>3.6999999999999997</v>
      </c>
      <c r="G78" s="30">
        <v>7.5356416702270508</v>
      </c>
      <c r="H78" s="26">
        <v>6.56</v>
      </c>
      <c r="I78" s="26">
        <v>5.27</v>
      </c>
      <c r="J78" s="26">
        <f>+'[1]Additional Details-Bk Crises'!AI45*100</f>
        <v>37.700000000000003</v>
      </c>
      <c r="K78" s="26">
        <v>6.5337453442882056</v>
      </c>
    </row>
    <row r="79" spans="1:11">
      <c r="A79" s="37" t="s">
        <v>264</v>
      </c>
      <c r="B79" s="34">
        <v>1985</v>
      </c>
      <c r="C79" s="34">
        <v>1985</v>
      </c>
      <c r="D79" s="26">
        <v>23.685191400000001</v>
      </c>
      <c r="E79" s="26" t="s">
        <v>182</v>
      </c>
      <c r="F79" s="26" t="s">
        <v>182</v>
      </c>
      <c r="G79" s="26" t="s">
        <v>182</v>
      </c>
      <c r="H79" s="26">
        <v>1.9887649999999999</v>
      </c>
      <c r="I79" s="26">
        <v>1.88066</v>
      </c>
      <c r="J79" s="26" t="s">
        <v>182</v>
      </c>
      <c r="K79" s="26">
        <v>11.030009999999999</v>
      </c>
    </row>
    <row r="80" spans="1:11">
      <c r="A80" s="37" t="s">
        <v>264</v>
      </c>
      <c r="B80" s="34">
        <v>1992</v>
      </c>
      <c r="C80" s="34">
        <v>1994</v>
      </c>
      <c r="D80" s="26">
        <v>50.291201900000004</v>
      </c>
      <c r="E80" s="26" t="s">
        <v>182</v>
      </c>
      <c r="F80" s="26" t="s">
        <v>182</v>
      </c>
      <c r="G80" s="26" t="s">
        <v>182</v>
      </c>
      <c r="H80" s="26">
        <v>25.151089999999996</v>
      </c>
      <c r="I80" s="26">
        <v>24.264969999999998</v>
      </c>
      <c r="J80" s="27" t="s">
        <v>182</v>
      </c>
      <c r="K80" s="26">
        <v>12.050089999999999</v>
      </c>
    </row>
    <row r="81" spans="1:11">
      <c r="A81" s="37" t="s">
        <v>265</v>
      </c>
      <c r="B81" s="34">
        <v>1997</v>
      </c>
      <c r="C81" s="34">
        <v>1998</v>
      </c>
      <c r="D81" s="26">
        <v>57.587049999999998</v>
      </c>
      <c r="E81" s="26">
        <v>31.2</v>
      </c>
      <c r="F81" s="26">
        <v>23.2</v>
      </c>
      <c r="G81" s="30">
        <v>57.216213226318359</v>
      </c>
      <c r="H81" s="26">
        <v>27.448869999999996</v>
      </c>
      <c r="I81" s="26">
        <v>11.92423</v>
      </c>
      <c r="J81" s="26">
        <v>35</v>
      </c>
      <c r="K81" s="26">
        <v>9.9117200000000008</v>
      </c>
    </row>
    <row r="82" spans="1:11">
      <c r="A82" s="37" t="s">
        <v>266</v>
      </c>
      <c r="B82" s="34">
        <v>1982</v>
      </c>
      <c r="C82" s="34">
        <v>1985</v>
      </c>
      <c r="D82" s="26">
        <v>143.4340569</v>
      </c>
      <c r="E82" s="26" t="s">
        <v>182</v>
      </c>
      <c r="F82" s="26" t="s">
        <v>182</v>
      </c>
      <c r="G82" s="26" t="s">
        <v>182</v>
      </c>
      <c r="H82" s="26">
        <v>9.5973249999999997</v>
      </c>
      <c r="I82" s="26">
        <v>2.8840399999999997</v>
      </c>
      <c r="J82" s="26">
        <v>40</v>
      </c>
      <c r="K82" s="26">
        <v>16.248999999999999</v>
      </c>
    </row>
    <row r="83" spans="1:11">
      <c r="A83" s="37" t="s">
        <v>267</v>
      </c>
      <c r="B83" s="34">
        <v>1995</v>
      </c>
      <c r="C83" s="34" t="s">
        <v>268</v>
      </c>
      <c r="D83" s="26" t="s">
        <v>182</v>
      </c>
      <c r="E83" s="26" t="s">
        <v>182</v>
      </c>
      <c r="F83" s="26" t="s">
        <v>182</v>
      </c>
      <c r="G83" s="26" t="s">
        <v>182</v>
      </c>
      <c r="H83" s="26">
        <v>286.1311</v>
      </c>
      <c r="I83" s="26">
        <v>51.824159999999999</v>
      </c>
      <c r="J83" s="26">
        <v>85</v>
      </c>
      <c r="K83" s="26">
        <v>42.873899999999999</v>
      </c>
    </row>
    <row r="84" spans="1:11">
      <c r="A84" s="37" t="s">
        <v>269</v>
      </c>
      <c r="B84" s="34">
        <v>1995</v>
      </c>
      <c r="C84" s="34">
        <v>1996</v>
      </c>
      <c r="D84" s="26" t="s">
        <v>182</v>
      </c>
      <c r="E84" s="26">
        <v>3</v>
      </c>
      <c r="F84" s="26">
        <v>3</v>
      </c>
      <c r="G84" s="30">
        <v>10.053619384765625</v>
      </c>
      <c r="H84" s="26">
        <v>9.1647970000000001</v>
      </c>
      <c r="I84" s="26">
        <v>5.5254500000000002</v>
      </c>
      <c r="J84" s="26">
        <v>20</v>
      </c>
      <c r="K84" s="26">
        <v>0.42293000000000003</v>
      </c>
    </row>
    <row r="85" spans="1:11">
      <c r="A85" s="37" t="s">
        <v>270</v>
      </c>
      <c r="B85" s="34">
        <v>2008</v>
      </c>
      <c r="C85" s="29" t="s">
        <v>191</v>
      </c>
      <c r="D85" s="26">
        <v>93.924308999999994</v>
      </c>
      <c r="E85" s="26">
        <f>+'[1]Additional Details-Bk Crises'!AL47*100</f>
        <v>8.1</v>
      </c>
      <c r="F85" s="26">
        <v>3.93</v>
      </c>
      <c r="G85" s="30">
        <v>10.959274291992188</v>
      </c>
      <c r="H85" s="26">
        <v>3.5770264218540078</v>
      </c>
      <c r="I85" s="26">
        <v>3.3837643646128659</v>
      </c>
      <c r="J85" s="26">
        <f>+'[1]Additional Details-Bk Crises'!AL45*100</f>
        <v>15.93</v>
      </c>
      <c r="K85" s="26">
        <v>27.638768391015446</v>
      </c>
    </row>
    <row r="86" spans="1:11">
      <c r="A86" s="37" t="s">
        <v>271</v>
      </c>
      <c r="B86" s="34">
        <v>1990</v>
      </c>
      <c r="C86" s="34">
        <v>1993</v>
      </c>
      <c r="D86" s="26">
        <v>102.2152948</v>
      </c>
      <c r="E86" s="26" t="s">
        <v>182</v>
      </c>
      <c r="F86" s="26" t="s">
        <v>182</v>
      </c>
      <c r="G86" s="26" t="s">
        <v>182</v>
      </c>
      <c r="H86" s="26">
        <v>4.4112049999999998</v>
      </c>
      <c r="I86" s="26">
        <v>2.8034300000000001</v>
      </c>
      <c r="J86" s="26" t="s">
        <v>182</v>
      </c>
      <c r="K86" s="26" t="s">
        <v>182</v>
      </c>
    </row>
    <row r="87" spans="1:11">
      <c r="A87" s="37" t="s">
        <v>272</v>
      </c>
      <c r="B87" s="34">
        <v>1991</v>
      </c>
      <c r="C87" s="34" t="s">
        <v>228</v>
      </c>
      <c r="D87" s="26" t="s">
        <v>182</v>
      </c>
      <c r="E87" s="26" t="s">
        <v>182</v>
      </c>
      <c r="F87" s="26" t="s">
        <v>182</v>
      </c>
      <c r="G87" s="26" t="s">
        <v>182</v>
      </c>
      <c r="H87" s="26">
        <v>85.198920000000001</v>
      </c>
      <c r="I87" s="26">
        <v>84.220680000000002</v>
      </c>
      <c r="J87" s="26" t="s">
        <v>182</v>
      </c>
      <c r="K87" s="26" t="s">
        <v>182</v>
      </c>
    </row>
    <row r="88" spans="1:11">
      <c r="A88" s="37" t="s">
        <v>273</v>
      </c>
      <c r="B88" s="34">
        <v>1995</v>
      </c>
      <c r="C88" s="34">
        <v>1996</v>
      </c>
      <c r="D88" s="26" t="s">
        <v>182</v>
      </c>
      <c r="E88" s="26">
        <v>3.1</v>
      </c>
      <c r="F88" s="26">
        <v>2.8971049999999998</v>
      </c>
      <c r="G88" s="30">
        <v>18.787878036499023</v>
      </c>
      <c r="H88" s="26">
        <v>27.467639999999999</v>
      </c>
      <c r="I88" s="26">
        <v>18.873090000000001</v>
      </c>
      <c r="J88" s="26">
        <v>32.200000000000003</v>
      </c>
      <c r="K88" s="26">
        <v>10.83184</v>
      </c>
    </row>
    <row r="89" spans="1:11">
      <c r="A89" s="37" t="s">
        <v>274</v>
      </c>
      <c r="B89" s="34">
        <v>2008</v>
      </c>
      <c r="C89" s="29" t="s">
        <v>191</v>
      </c>
      <c r="D89" s="26">
        <v>43.299247999999999</v>
      </c>
      <c r="E89" s="26">
        <f>+'[1]Additional Details-Bk Crises'!AN47*100</f>
        <v>7.1999999999999993</v>
      </c>
      <c r="F89" s="26">
        <v>5</v>
      </c>
      <c r="G89" s="30">
        <v>0.22642756998538971</v>
      </c>
      <c r="H89" s="26">
        <v>5.96</v>
      </c>
      <c r="I89" s="26">
        <v>1.1299999999999999</v>
      </c>
      <c r="J89" s="26">
        <f>+'[1]Additional Details-Bk Crises'!AN45*100</f>
        <v>1.67</v>
      </c>
      <c r="K89" s="26">
        <v>12.671540953961397</v>
      </c>
    </row>
    <row r="90" spans="1:11">
      <c r="A90" s="37" t="s">
        <v>275</v>
      </c>
      <c r="B90" s="34">
        <v>1993</v>
      </c>
      <c r="C90" s="34">
        <v>1995</v>
      </c>
      <c r="D90" s="26">
        <v>0</v>
      </c>
      <c r="E90" s="26">
        <v>32</v>
      </c>
      <c r="F90" s="26" t="s">
        <v>182</v>
      </c>
      <c r="G90" s="30" t="s">
        <v>182</v>
      </c>
      <c r="H90" s="26">
        <v>22.27403</v>
      </c>
      <c r="I90" s="26" t="s">
        <v>182</v>
      </c>
      <c r="J90" s="26">
        <v>70</v>
      </c>
      <c r="K90" s="26" t="s">
        <v>182</v>
      </c>
    </row>
    <row r="91" spans="1:11">
      <c r="A91" s="37" t="s">
        <v>276</v>
      </c>
      <c r="B91" s="34">
        <v>1988</v>
      </c>
      <c r="C91" s="34">
        <v>1988</v>
      </c>
      <c r="D91" s="26">
        <v>0</v>
      </c>
      <c r="E91" s="26" t="s">
        <v>182</v>
      </c>
      <c r="F91" s="26" t="s">
        <v>182</v>
      </c>
      <c r="G91" s="30" t="s">
        <v>182</v>
      </c>
      <c r="H91" s="26">
        <v>20.17953</v>
      </c>
      <c r="I91" s="26">
        <v>19.4023</v>
      </c>
      <c r="J91" s="26">
        <v>25</v>
      </c>
      <c r="K91" s="26">
        <v>-25.788640000000001</v>
      </c>
    </row>
    <row r="92" spans="1:11">
      <c r="A92" s="37" t="s">
        <v>277</v>
      </c>
      <c r="B92" s="34">
        <v>1997</v>
      </c>
      <c r="C92" s="34">
        <v>1999</v>
      </c>
      <c r="D92" s="26">
        <v>31.4485958</v>
      </c>
      <c r="E92" s="26">
        <v>16.400000000000002</v>
      </c>
      <c r="F92" s="26">
        <v>5.1000000000000005</v>
      </c>
      <c r="G92" s="30">
        <v>12.650416374206543</v>
      </c>
      <c r="H92" s="26">
        <v>9.7179110000000009</v>
      </c>
      <c r="I92" s="26">
        <v>8.77468</v>
      </c>
      <c r="J92" s="26">
        <v>30</v>
      </c>
      <c r="K92" s="26">
        <v>0.15112999999999999</v>
      </c>
    </row>
    <row r="93" spans="1:11">
      <c r="A93" s="37" t="s">
        <v>278</v>
      </c>
      <c r="B93" s="34">
        <v>1987</v>
      </c>
      <c r="C93" s="34" t="s">
        <v>209</v>
      </c>
      <c r="D93" s="26">
        <v>0</v>
      </c>
      <c r="E93" s="26" t="s">
        <v>182</v>
      </c>
      <c r="F93" s="26" t="s">
        <v>182</v>
      </c>
      <c r="G93" s="30" t="s">
        <v>182</v>
      </c>
      <c r="H93" s="26">
        <v>50.524230000000003</v>
      </c>
      <c r="I93" s="26">
        <v>14.83972</v>
      </c>
      <c r="J93" s="26">
        <v>75</v>
      </c>
      <c r="K93" s="26">
        <v>-11.29271</v>
      </c>
    </row>
    <row r="94" spans="1:11">
      <c r="A94" s="37" t="s">
        <v>279</v>
      </c>
      <c r="B94" s="34">
        <v>1984</v>
      </c>
      <c r="C94" s="34">
        <v>1984</v>
      </c>
      <c r="D94" s="26">
        <v>7.5051325000000002</v>
      </c>
      <c r="E94" s="26">
        <v>15</v>
      </c>
      <c r="F94" s="26" t="s">
        <v>182</v>
      </c>
      <c r="G94" s="30">
        <v>53.191486358642578</v>
      </c>
      <c r="H94" s="26">
        <v>48.393999999999998</v>
      </c>
      <c r="I94" s="26">
        <v>27.721709999999998</v>
      </c>
      <c r="J94" s="26">
        <v>70</v>
      </c>
      <c r="K94" s="26" t="s">
        <v>182</v>
      </c>
    </row>
    <row r="95" spans="1:11">
      <c r="A95" s="37" t="s">
        <v>280</v>
      </c>
      <c r="B95" s="34">
        <v>1981</v>
      </c>
      <c r="C95" s="34" t="s">
        <v>214</v>
      </c>
      <c r="D95" s="26">
        <v>26.581203299999999</v>
      </c>
      <c r="E95" s="26" t="s">
        <v>182</v>
      </c>
      <c r="F95" s="26" t="s">
        <v>182</v>
      </c>
      <c r="G95" s="30" t="s">
        <v>182</v>
      </c>
      <c r="H95" s="26">
        <v>5.3039440000000004</v>
      </c>
      <c r="I95" s="26">
        <v>2.64167</v>
      </c>
      <c r="J95" s="26" t="s">
        <v>182</v>
      </c>
      <c r="K95" s="26">
        <v>22.5642</v>
      </c>
    </row>
    <row r="96" spans="1:11">
      <c r="A96" s="37" t="s">
        <v>280</v>
      </c>
      <c r="B96" s="34">
        <v>1994</v>
      </c>
      <c r="C96" s="34">
        <v>1996</v>
      </c>
      <c r="D96" s="26">
        <v>13.655375299999999</v>
      </c>
      <c r="E96" s="26">
        <v>19.3</v>
      </c>
      <c r="F96" s="26">
        <v>18</v>
      </c>
      <c r="G96" s="30">
        <v>54.938796997070313</v>
      </c>
      <c r="H96" s="26">
        <v>16.752669999999998</v>
      </c>
      <c r="I96" s="26">
        <v>15.79219</v>
      </c>
      <c r="J96" s="26">
        <v>18.899999999999999</v>
      </c>
      <c r="K96" s="26">
        <v>16.3687</v>
      </c>
    </row>
    <row r="97" spans="1:11">
      <c r="A97" s="37" t="s">
        <v>281</v>
      </c>
      <c r="B97" s="34">
        <v>2014</v>
      </c>
      <c r="C97" s="34" t="s">
        <v>248</v>
      </c>
      <c r="D97" s="26"/>
      <c r="E97" s="26">
        <f>+'[1]Additional Details-Bk Crises'!AQ47*100</f>
        <v>11.700000000000001</v>
      </c>
      <c r="F97" s="26">
        <v>11.700000000000001</v>
      </c>
      <c r="G97" s="30">
        <v>26.139411926269531</v>
      </c>
      <c r="H97" s="26">
        <v>24.7</v>
      </c>
      <c r="I97" s="26">
        <v>23.99</v>
      </c>
      <c r="J97" s="26">
        <f>+'[1]Additional Details-Bk Crises'!AQ45*100</f>
        <v>16.41</v>
      </c>
      <c r="K97" s="26">
        <v>19.521189643123314</v>
      </c>
    </row>
    <row r="98" spans="1:11">
      <c r="A98" s="37" t="s">
        <v>282</v>
      </c>
      <c r="B98" s="34">
        <v>2008</v>
      </c>
      <c r="C98" s="34">
        <v>2009</v>
      </c>
      <c r="D98" s="26">
        <v>0</v>
      </c>
      <c r="E98" s="26">
        <f>+'[1]Additional Details-Bk Crises'!AR47*100</f>
        <v>5.0999999999999996</v>
      </c>
      <c r="F98" s="26">
        <v>5.0999999999999996</v>
      </c>
      <c r="G98" s="30">
        <v>15.269460678100586</v>
      </c>
      <c r="H98" s="26">
        <v>34.450000000000003</v>
      </c>
      <c r="I98" s="26">
        <v>33.22</v>
      </c>
      <c r="J98" s="26">
        <f>+'[1]Additional Details-Bk Crises'!AR45*100</f>
        <v>20</v>
      </c>
      <c r="K98" s="26">
        <v>-5.0278098790912882</v>
      </c>
    </row>
    <row r="99" spans="1:11">
      <c r="A99" s="37" t="s">
        <v>283</v>
      </c>
      <c r="B99" s="34">
        <v>1980</v>
      </c>
      <c r="C99" s="34" t="s">
        <v>284</v>
      </c>
      <c r="D99" s="26">
        <v>21.924525299999999</v>
      </c>
      <c r="E99" s="26" t="s">
        <v>182</v>
      </c>
      <c r="F99" s="26" t="s">
        <v>182</v>
      </c>
      <c r="G99" s="26" t="s">
        <v>182</v>
      </c>
      <c r="H99" s="26">
        <v>22.089189999999999</v>
      </c>
      <c r="I99" s="26">
        <v>8.6323699999999999</v>
      </c>
      <c r="J99" s="26" t="s">
        <v>182</v>
      </c>
      <c r="K99" s="26">
        <v>35.646099999999997</v>
      </c>
    </row>
    <row r="100" spans="1:11">
      <c r="A100" s="37" t="s">
        <v>285</v>
      </c>
      <c r="B100" s="34">
        <v>1987</v>
      </c>
      <c r="C100" s="34" t="s">
        <v>209</v>
      </c>
      <c r="D100" s="26">
        <v>0</v>
      </c>
      <c r="E100" s="26" t="s">
        <v>182</v>
      </c>
      <c r="F100" s="26" t="s">
        <v>182</v>
      </c>
      <c r="G100" s="26" t="s">
        <v>182</v>
      </c>
      <c r="H100" s="26">
        <v>4.1987639999999997</v>
      </c>
      <c r="I100" s="26">
        <v>4.1734499999999999</v>
      </c>
      <c r="J100" s="26" t="s">
        <v>182</v>
      </c>
      <c r="K100" s="26">
        <v>60.856500000000004</v>
      </c>
    </row>
    <row r="101" spans="1:11">
      <c r="A101" s="37" t="s">
        <v>286</v>
      </c>
      <c r="B101" s="34">
        <v>1988</v>
      </c>
      <c r="C101" s="34">
        <v>1988</v>
      </c>
      <c r="D101" s="26">
        <v>0</v>
      </c>
      <c r="E101" s="26" t="s">
        <v>182</v>
      </c>
      <c r="F101" s="26" t="s">
        <v>182</v>
      </c>
      <c r="G101" s="26" t="s">
        <v>182</v>
      </c>
      <c r="H101" s="26">
        <v>14.61933</v>
      </c>
      <c r="I101" s="26">
        <v>3.7568600000000001</v>
      </c>
      <c r="J101" s="26">
        <v>28.999999999999996</v>
      </c>
      <c r="K101" s="26">
        <v>11.659329999999999</v>
      </c>
    </row>
    <row r="102" spans="1:11">
      <c r="A102" s="37" t="s">
        <v>287</v>
      </c>
      <c r="B102" s="34">
        <v>2008</v>
      </c>
      <c r="C102" s="34">
        <v>2009</v>
      </c>
      <c r="D102" s="26">
        <v>26.144409</v>
      </c>
      <c r="E102" s="26">
        <f>+'[1]Additional Details-Bk Crises'!AS47*100</f>
        <v>14.299999999999999</v>
      </c>
      <c r="F102" s="26">
        <v>5.0599999999999996</v>
      </c>
      <c r="G102" s="30">
        <v>4.0446362495422363</v>
      </c>
      <c r="H102" s="26">
        <v>5.49</v>
      </c>
      <c r="I102" s="26">
        <v>3.5</v>
      </c>
      <c r="J102" s="26">
        <f>100*'[1]Additional Details-Bk Crises'!AS45</f>
        <v>3.2</v>
      </c>
      <c r="K102" s="26">
        <v>24.932260907824396</v>
      </c>
    </row>
    <row r="103" spans="1:11">
      <c r="A103" s="37" t="s">
        <v>288</v>
      </c>
      <c r="B103" s="34">
        <v>1990</v>
      </c>
      <c r="C103" s="34">
        <v>1993</v>
      </c>
      <c r="D103" s="26">
        <v>11.356760000000001</v>
      </c>
      <c r="E103" s="26" t="s">
        <v>182</v>
      </c>
      <c r="F103" s="26" t="s">
        <v>182</v>
      </c>
      <c r="G103" s="30" t="s">
        <v>182</v>
      </c>
      <c r="H103" s="26">
        <v>195.0514</v>
      </c>
      <c r="I103" s="26">
        <v>156.46889999999999</v>
      </c>
      <c r="J103" s="26">
        <v>50</v>
      </c>
      <c r="K103" s="26">
        <v>-31.044280000000001</v>
      </c>
    </row>
    <row r="104" spans="1:11">
      <c r="A104" s="37" t="s">
        <v>288</v>
      </c>
      <c r="B104" s="34">
        <v>2000</v>
      </c>
      <c r="C104" s="34">
        <v>2001</v>
      </c>
      <c r="D104" s="26">
        <v>0</v>
      </c>
      <c r="E104" s="26">
        <v>13.600000000000001</v>
      </c>
      <c r="F104" s="26">
        <v>12.57</v>
      </c>
      <c r="G104" s="30">
        <v>45.745040893554688</v>
      </c>
      <c r="H104" s="26">
        <v>21.816240000000001</v>
      </c>
      <c r="I104" s="26">
        <v>20.939</v>
      </c>
      <c r="J104" s="26">
        <v>12.7</v>
      </c>
      <c r="K104" s="26">
        <v>14.86769</v>
      </c>
    </row>
    <row r="105" spans="1:11">
      <c r="A105" s="37" t="s">
        <v>289</v>
      </c>
      <c r="B105" s="34">
        <v>1983</v>
      </c>
      <c r="C105" s="34">
        <v>1985</v>
      </c>
      <c r="D105" s="26">
        <v>97.211568599999993</v>
      </c>
      <c r="E105" s="26" t="s">
        <v>182</v>
      </c>
      <c r="F105" s="26" t="s">
        <v>182</v>
      </c>
      <c r="G105" s="30" t="s">
        <v>182</v>
      </c>
      <c r="H105" s="26">
        <v>45.588909999999998</v>
      </c>
      <c r="I105" s="26">
        <v>14.073730000000001</v>
      </c>
      <c r="J105" s="26">
        <v>50</v>
      </c>
      <c r="K105" s="26">
        <v>25.89894</v>
      </c>
    </row>
    <row r="106" spans="1:11">
      <c r="A106" s="28" t="s">
        <v>290</v>
      </c>
      <c r="B106" s="34">
        <v>1991</v>
      </c>
      <c r="C106" s="34" t="s">
        <v>228</v>
      </c>
      <c r="D106" s="26">
        <v>0</v>
      </c>
      <c r="E106" s="26" t="s">
        <v>182</v>
      </c>
      <c r="F106" s="26" t="s">
        <v>182</v>
      </c>
      <c r="G106" s="30" t="s">
        <v>182</v>
      </c>
      <c r="H106" s="26">
        <v>6.636552</v>
      </c>
      <c r="I106" s="26">
        <v>5.4412799999999999</v>
      </c>
      <c r="J106" s="26">
        <v>77</v>
      </c>
      <c r="K106" s="26">
        <v>63.332740000000001</v>
      </c>
    </row>
    <row r="107" spans="1:11">
      <c r="A107" s="37" t="s">
        <v>290</v>
      </c>
      <c r="B107" s="34">
        <v>2009</v>
      </c>
      <c r="C107" s="34">
        <v>2012</v>
      </c>
      <c r="D107" s="26">
        <v>14.000000000000002</v>
      </c>
      <c r="E107" s="26">
        <v>11.799999999999999</v>
      </c>
      <c r="F107" s="26">
        <v>11.799999999999999</v>
      </c>
      <c r="G107" s="31">
        <v>32.161354064941406</v>
      </c>
      <c r="H107" s="26">
        <v>49.59</v>
      </c>
      <c r="I107" s="26">
        <v>32.880000000000003</v>
      </c>
      <c r="J107" s="26">
        <f>+'[1]Additional Details-Bk Crises'!AU45*100</f>
        <v>30.099999999999998</v>
      </c>
      <c r="K107" s="26">
        <v>8.4210805308837173</v>
      </c>
    </row>
    <row r="108" spans="1:11">
      <c r="A108" s="37" t="s">
        <v>291</v>
      </c>
      <c r="B108" s="34">
        <v>1991</v>
      </c>
      <c r="C108" s="34">
        <v>1993</v>
      </c>
      <c r="D108" s="26">
        <v>5.1451541000000001</v>
      </c>
      <c r="E108" s="26">
        <v>2.7</v>
      </c>
      <c r="F108" s="26">
        <v>0.59999999999999987</v>
      </c>
      <c r="G108" s="31">
        <v>2.7570712566375732</v>
      </c>
      <c r="H108" s="26">
        <v>16.92388</v>
      </c>
      <c r="I108" s="26">
        <v>4.1645099999999999</v>
      </c>
      <c r="J108" s="26">
        <v>16.399999999999999</v>
      </c>
      <c r="K108" s="26">
        <v>19.206409999999998</v>
      </c>
    </row>
    <row r="109" spans="1:11">
      <c r="A109" s="37" t="s">
        <v>292</v>
      </c>
      <c r="B109" s="34">
        <v>1988</v>
      </c>
      <c r="C109" s="34">
        <v>1989</v>
      </c>
      <c r="D109" s="26">
        <v>85.042797500000006</v>
      </c>
      <c r="E109" s="26">
        <v>12.9</v>
      </c>
      <c r="F109" s="26" t="s">
        <v>182</v>
      </c>
      <c r="G109" s="31">
        <v>24.367208480834961</v>
      </c>
      <c r="H109" s="26">
        <v>3.6286100000000001</v>
      </c>
      <c r="I109" s="26">
        <v>3.1889000000000003</v>
      </c>
      <c r="J109" s="26" t="s">
        <v>182</v>
      </c>
      <c r="K109" s="26">
        <v>-2.5678700000000001</v>
      </c>
    </row>
    <row r="110" spans="1:11">
      <c r="A110" s="37" t="s">
        <v>293</v>
      </c>
      <c r="B110" s="34">
        <v>1995</v>
      </c>
      <c r="C110" s="34">
        <v>1995</v>
      </c>
      <c r="D110" s="26">
        <v>15.331963200000001</v>
      </c>
      <c r="E110" s="26">
        <v>12.9</v>
      </c>
      <c r="F110" s="26">
        <v>10</v>
      </c>
      <c r="G110" s="31">
        <v>54.940376281738281</v>
      </c>
      <c r="H110" s="26">
        <v>27.256820000000005</v>
      </c>
      <c r="I110" s="26">
        <v>23.841419999999999</v>
      </c>
      <c r="J110" s="26">
        <v>8.1</v>
      </c>
      <c r="K110" s="26">
        <v>-1.1730100000000001</v>
      </c>
    </row>
    <row r="111" spans="1:11">
      <c r="A111" s="37" t="s">
        <v>294</v>
      </c>
      <c r="B111" s="34">
        <v>1983</v>
      </c>
      <c r="C111" s="34" t="s">
        <v>235</v>
      </c>
      <c r="D111" s="26">
        <v>55.206280399999997</v>
      </c>
      <c r="E111" s="26" t="s">
        <v>182</v>
      </c>
      <c r="F111" s="26" t="s">
        <v>182</v>
      </c>
      <c r="G111" s="26" t="s">
        <v>182</v>
      </c>
      <c r="H111" s="26">
        <v>16.755230000000001</v>
      </c>
      <c r="I111" s="26">
        <v>9.6786200000000004</v>
      </c>
      <c r="J111" s="26" t="s">
        <v>182</v>
      </c>
      <c r="K111" s="26">
        <v>14.32159</v>
      </c>
    </row>
    <row r="112" spans="1:11">
      <c r="A112" s="37" t="s">
        <v>295</v>
      </c>
      <c r="B112" s="34">
        <v>1983</v>
      </c>
      <c r="C112" s="34">
        <v>1986</v>
      </c>
      <c r="D112" s="26">
        <v>91.673451299999996</v>
      </c>
      <c r="E112" s="26">
        <v>3</v>
      </c>
      <c r="F112" s="26" t="s">
        <v>182</v>
      </c>
      <c r="G112" s="31">
        <v>5.9417705535888672</v>
      </c>
      <c r="H112" s="26">
        <v>19.398209999999999</v>
      </c>
      <c r="I112" s="26">
        <v>1.50363</v>
      </c>
      <c r="J112" s="26">
        <v>19</v>
      </c>
      <c r="K112" s="26">
        <v>44.825879999999998</v>
      </c>
    </row>
    <row r="113" spans="1:11">
      <c r="A113" s="37" t="s">
        <v>296</v>
      </c>
      <c r="B113" s="34">
        <v>1997</v>
      </c>
      <c r="C113" s="34" t="s">
        <v>256</v>
      </c>
      <c r="D113" s="26">
        <v>0</v>
      </c>
      <c r="E113" s="26">
        <v>13.200000000000001</v>
      </c>
      <c r="F113" s="26">
        <v>13.200000000000001</v>
      </c>
      <c r="G113" s="31">
        <v>22.456619262695313</v>
      </c>
      <c r="H113" s="26">
        <v>1.3533409999999999</v>
      </c>
      <c r="I113" s="26">
        <v>0.69512000000000007</v>
      </c>
      <c r="J113" s="26">
        <v>20</v>
      </c>
      <c r="K113" s="26">
        <v>10.36228</v>
      </c>
    </row>
    <row r="114" spans="1:11">
      <c r="A114" s="37" t="s">
        <v>297</v>
      </c>
      <c r="B114" s="34">
        <v>1992</v>
      </c>
      <c r="C114" s="34">
        <v>1994</v>
      </c>
      <c r="D114" s="26">
        <v>0</v>
      </c>
      <c r="E114" s="26">
        <v>3.5000000000000004</v>
      </c>
      <c r="F114" s="26" t="s">
        <v>182</v>
      </c>
      <c r="G114" s="31">
        <v>13.714733123779297</v>
      </c>
      <c r="H114" s="26">
        <v>45.854970000000002</v>
      </c>
      <c r="I114" s="26">
        <v>8.7364999999999995</v>
      </c>
      <c r="J114" s="26">
        <v>24</v>
      </c>
      <c r="K114" s="26">
        <v>-21.569030000000001</v>
      </c>
    </row>
    <row r="115" spans="1:11">
      <c r="A115" s="28" t="s">
        <v>298</v>
      </c>
      <c r="B115" s="34">
        <v>2008</v>
      </c>
      <c r="C115" s="29" t="s">
        <v>191</v>
      </c>
      <c r="D115" s="26">
        <v>34.954833999999998</v>
      </c>
      <c r="E115" s="26">
        <f>+'[1]Additional Details-Bk Crises'!AY47*100</f>
        <v>11.05</v>
      </c>
      <c r="F115" s="26">
        <v>7.6300000000000008</v>
      </c>
      <c r="G115" s="31">
        <v>4.4081950187683105</v>
      </c>
      <c r="H115" s="26">
        <v>25.73</v>
      </c>
      <c r="I115" s="26">
        <v>24.7</v>
      </c>
      <c r="J115" s="26">
        <f>100*'[1]Additional Details-Bk Crises'!AY45</f>
        <v>12.9</v>
      </c>
      <c r="K115" s="26">
        <v>38.515335597165667</v>
      </c>
    </row>
    <row r="116" spans="1:11">
      <c r="A116" s="28" t="s">
        <v>299</v>
      </c>
      <c r="B116" s="34">
        <v>1998</v>
      </c>
      <c r="C116" s="38" t="s">
        <v>300</v>
      </c>
      <c r="D116" s="26">
        <v>0</v>
      </c>
      <c r="E116" s="26">
        <v>6.5</v>
      </c>
      <c r="F116" s="26" t="s">
        <v>182</v>
      </c>
      <c r="G116" s="30">
        <v>34.318901062011719</v>
      </c>
      <c r="H116" s="26">
        <v>129.12729999999999</v>
      </c>
      <c r="I116" s="26" t="s">
        <v>182</v>
      </c>
      <c r="J116" s="26">
        <v>30</v>
      </c>
      <c r="K116" s="26" t="s">
        <v>182</v>
      </c>
    </row>
    <row r="117" spans="1:11">
      <c r="A117" s="28" t="s">
        <v>301</v>
      </c>
      <c r="B117" s="34">
        <v>1998</v>
      </c>
      <c r="C117" s="34" t="s">
        <v>302</v>
      </c>
      <c r="D117" s="26" t="s">
        <v>182</v>
      </c>
      <c r="E117" s="26">
        <v>6</v>
      </c>
      <c r="F117" s="26">
        <v>6</v>
      </c>
      <c r="G117" s="31">
        <v>0.30880081653594971</v>
      </c>
      <c r="H117" s="26">
        <v>23.72316</v>
      </c>
      <c r="I117" s="26">
        <v>21.097369999999998</v>
      </c>
      <c r="J117" s="26">
        <v>40</v>
      </c>
      <c r="K117" s="26">
        <v>-7.0871399999999998</v>
      </c>
    </row>
    <row r="118" spans="1:11">
      <c r="A118" s="28" t="s">
        <v>303</v>
      </c>
      <c r="B118" s="34">
        <v>2008</v>
      </c>
      <c r="C118" s="34">
        <v>2009</v>
      </c>
      <c r="D118" s="26">
        <v>0</v>
      </c>
      <c r="E118" s="26">
        <v>2.2999999999999998</v>
      </c>
      <c r="F118" s="26">
        <v>2.2999999999999998</v>
      </c>
      <c r="G118" s="31">
        <v>6.3571033477783203</v>
      </c>
      <c r="H118" s="26">
        <v>24.16</v>
      </c>
      <c r="I118" s="26">
        <v>23.31</v>
      </c>
      <c r="J118" s="26">
        <f>+'[1]Additional Details-Bk Crises'!BA45*100</f>
        <v>9.6199999999999992</v>
      </c>
      <c r="K118" s="26">
        <v>6.063770515397084</v>
      </c>
    </row>
    <row r="119" spans="1:11">
      <c r="A119" s="28" t="s">
        <v>304</v>
      </c>
      <c r="B119" s="34">
        <v>1992</v>
      </c>
      <c r="C119" s="34" t="s">
        <v>305</v>
      </c>
      <c r="D119" s="26">
        <v>1.9215802</v>
      </c>
      <c r="E119" s="26" t="s">
        <v>182</v>
      </c>
      <c r="F119" s="26" t="s">
        <v>182</v>
      </c>
      <c r="G119" s="30" t="s">
        <v>182</v>
      </c>
      <c r="H119" s="26" t="s">
        <v>182</v>
      </c>
      <c r="I119" s="26" t="s">
        <v>182</v>
      </c>
      <c r="J119" s="26">
        <v>90</v>
      </c>
      <c r="K119" s="26">
        <v>-706.25</v>
      </c>
    </row>
    <row r="120" spans="1:11">
      <c r="A120" s="28" t="s">
        <v>306</v>
      </c>
      <c r="B120" s="29">
        <v>1988</v>
      </c>
      <c r="C120" s="29">
        <v>1991</v>
      </c>
      <c r="D120" s="26">
        <v>5.5736737000000005</v>
      </c>
      <c r="E120" s="26">
        <v>17</v>
      </c>
      <c r="F120" s="26" t="s">
        <v>182</v>
      </c>
      <c r="G120" s="31">
        <v>64.2479248046875</v>
      </c>
      <c r="H120" s="26">
        <v>74.672240000000002</v>
      </c>
      <c r="I120" s="26">
        <v>6.5512500000000005</v>
      </c>
      <c r="J120" s="26">
        <v>50</v>
      </c>
      <c r="K120" s="26">
        <v>-14.215839999999998</v>
      </c>
    </row>
    <row r="121" spans="1:11">
      <c r="A121" s="28" t="s">
        <v>307</v>
      </c>
      <c r="B121" s="29">
        <v>1990</v>
      </c>
      <c r="C121" s="29" t="s">
        <v>184</v>
      </c>
      <c r="D121" s="26">
        <v>34.462288700000002</v>
      </c>
      <c r="E121" s="26" t="s">
        <v>182</v>
      </c>
      <c r="F121" s="26" t="s">
        <v>182</v>
      </c>
      <c r="G121" s="26" t="s">
        <v>182</v>
      </c>
      <c r="H121" s="26">
        <v>0</v>
      </c>
      <c r="I121" s="26">
        <v>0</v>
      </c>
      <c r="J121" s="26">
        <v>45</v>
      </c>
      <c r="K121" s="26">
        <v>62.903960000000005</v>
      </c>
    </row>
    <row r="122" spans="1:11">
      <c r="A122" s="28" t="s">
        <v>308</v>
      </c>
      <c r="B122" s="29">
        <v>1998</v>
      </c>
      <c r="C122" s="29" t="s">
        <v>309</v>
      </c>
      <c r="D122" s="26">
        <v>0</v>
      </c>
      <c r="E122" s="26" t="s">
        <v>182</v>
      </c>
      <c r="F122" s="26" t="s">
        <v>182</v>
      </c>
      <c r="G122" s="26" t="s">
        <v>182</v>
      </c>
      <c r="H122" s="26">
        <v>13.017289999999997</v>
      </c>
      <c r="I122" s="26">
        <v>4.8403499999999999</v>
      </c>
      <c r="J122" s="26">
        <v>35</v>
      </c>
      <c r="K122" s="26">
        <v>15.399389999999999</v>
      </c>
    </row>
    <row r="123" spans="1:11">
      <c r="A123" s="28" t="s">
        <v>310</v>
      </c>
      <c r="B123" s="29">
        <v>1992</v>
      </c>
      <c r="C123" s="29">
        <v>1992</v>
      </c>
      <c r="D123" s="26" t="s">
        <v>182</v>
      </c>
      <c r="E123" s="26">
        <v>14.6</v>
      </c>
      <c r="F123" s="26" t="s">
        <v>182</v>
      </c>
      <c r="G123" s="31">
        <v>38.120105743408203</v>
      </c>
      <c r="H123" s="26">
        <v>10.048030000000001</v>
      </c>
      <c r="I123" s="26" t="s">
        <v>182</v>
      </c>
      <c r="J123" s="26">
        <v>3.6000000000000005</v>
      </c>
      <c r="K123" s="26" t="s">
        <v>182</v>
      </c>
    </row>
    <row r="124" spans="1:11">
      <c r="A124" s="28" t="s">
        <v>310</v>
      </c>
      <c r="B124" s="29">
        <v>2008</v>
      </c>
      <c r="C124" s="29" t="s">
        <v>191</v>
      </c>
      <c r="D124" s="26">
        <v>39.139747999999997</v>
      </c>
      <c r="E124" s="26">
        <f>+'[1]Additional Details-Bk Crises'!BB47*100</f>
        <v>9.92</v>
      </c>
      <c r="F124" s="26">
        <v>8.3999999999999986</v>
      </c>
      <c r="G124" s="31">
        <v>8.0176992416381836</v>
      </c>
      <c r="H124" s="26">
        <v>14.22</v>
      </c>
      <c r="I124" s="26">
        <v>14.01</v>
      </c>
      <c r="J124" s="26">
        <f>+'[1]Additional Details-Bk Crises'!BB45*100</f>
        <v>17.97</v>
      </c>
      <c r="K124" s="26">
        <v>20.916426025093628</v>
      </c>
    </row>
    <row r="125" spans="1:11">
      <c r="A125" s="28" t="s">
        <v>311</v>
      </c>
      <c r="B125" s="29">
        <v>1977</v>
      </c>
      <c r="C125" s="29" t="s">
        <v>312</v>
      </c>
      <c r="D125" s="26">
        <v>58.503584500000002</v>
      </c>
      <c r="E125" s="26">
        <f>+'[1]Additional Details-Bk Crises'!BC47*100</f>
        <v>7.68</v>
      </c>
      <c r="F125" s="26" t="s">
        <v>182</v>
      </c>
      <c r="G125" s="31">
        <v>8.5742998123168945</v>
      </c>
      <c r="H125" s="26">
        <v>7.5600000000000005</v>
      </c>
      <c r="I125" s="26">
        <v>3.4557600000000002</v>
      </c>
      <c r="J125" s="26">
        <v>5.8</v>
      </c>
      <c r="K125" s="26">
        <v>3.8</v>
      </c>
    </row>
    <row r="126" spans="1:11">
      <c r="A126" s="28" t="s">
        <v>311</v>
      </c>
      <c r="B126" s="29">
        <v>2008</v>
      </c>
      <c r="C126" s="29" t="s">
        <v>191</v>
      </c>
      <c r="D126" s="26">
        <v>38.780929999999998</v>
      </c>
      <c r="E126" s="26">
        <v>5.4</v>
      </c>
      <c r="F126" s="26">
        <v>4.8</v>
      </c>
      <c r="G126" s="31">
        <v>2</v>
      </c>
      <c r="H126" s="26">
        <v>33.5</v>
      </c>
      <c r="I126" s="26">
        <v>31.3</v>
      </c>
      <c r="J126" s="26">
        <f>+'[1]Additional Details-Bk Crises'!BC45*100</f>
        <v>9.379999999999999</v>
      </c>
      <c r="K126" s="26">
        <v>31.830174793261847</v>
      </c>
    </row>
    <row r="127" spans="1:11">
      <c r="A127" s="28" t="s">
        <v>313</v>
      </c>
      <c r="B127" s="29">
        <v>1989</v>
      </c>
      <c r="C127" s="29">
        <v>1991</v>
      </c>
      <c r="D127" s="26">
        <v>19.581246</v>
      </c>
      <c r="E127" s="26">
        <v>5</v>
      </c>
      <c r="F127" s="26">
        <v>5</v>
      </c>
      <c r="G127" s="31">
        <v>21.968364715576172</v>
      </c>
      <c r="H127" s="26">
        <v>8.0296769999999995</v>
      </c>
      <c r="I127" s="26">
        <v>2.0234899999999998</v>
      </c>
      <c r="J127" s="26">
        <v>35</v>
      </c>
      <c r="K127" s="26">
        <v>-5.5</v>
      </c>
    </row>
    <row r="128" spans="1:11">
      <c r="A128" s="28" t="s">
        <v>314</v>
      </c>
      <c r="B128" s="29">
        <v>1995</v>
      </c>
      <c r="C128" s="39" t="s">
        <v>268</v>
      </c>
      <c r="D128" s="26">
        <v>45.689966500000004</v>
      </c>
      <c r="E128" s="26" t="s">
        <v>182</v>
      </c>
      <c r="F128" s="26" t="s">
        <v>182</v>
      </c>
      <c r="G128" s="26" t="s">
        <v>182</v>
      </c>
      <c r="H128" s="26">
        <v>3.6085980000000002</v>
      </c>
      <c r="I128" s="26">
        <v>3.1714899999999999</v>
      </c>
      <c r="J128" s="26" t="s">
        <v>182</v>
      </c>
      <c r="K128" s="26">
        <v>2.5</v>
      </c>
    </row>
    <row r="129" spans="1:11">
      <c r="A129" s="28" t="s">
        <v>315</v>
      </c>
      <c r="B129" s="29">
        <v>1991</v>
      </c>
      <c r="C129" s="29">
        <v>1995</v>
      </c>
      <c r="D129" s="26">
        <v>32.9045968</v>
      </c>
      <c r="E129" s="26">
        <v>3.5999999999999996</v>
      </c>
      <c r="F129" s="26">
        <v>0.19999999999999948</v>
      </c>
      <c r="G129" s="31">
        <v>2.9627189636230469</v>
      </c>
      <c r="H129" s="26">
        <v>3.094071</v>
      </c>
      <c r="I129" s="26">
        <v>0.16602</v>
      </c>
      <c r="J129" s="26">
        <v>13</v>
      </c>
      <c r="K129" s="26">
        <v>36.199999999999996</v>
      </c>
    </row>
    <row r="130" spans="1:11">
      <c r="A130" s="28" t="s">
        <v>316</v>
      </c>
      <c r="B130" s="29">
        <v>2008</v>
      </c>
      <c r="C130" s="34">
        <v>2009</v>
      </c>
      <c r="D130" s="26">
        <v>25.469588999999999</v>
      </c>
      <c r="E130" s="26">
        <f>+'[1]Additional Details-Bk Crises'!BF47*100</f>
        <v>0.24</v>
      </c>
      <c r="F130" s="26">
        <v>-1.0000000000000026E-2</v>
      </c>
      <c r="G130" s="31">
        <v>0.20741508901119232</v>
      </c>
      <c r="H130" s="26">
        <v>11.07</v>
      </c>
      <c r="I130" s="26">
        <v>10.97</v>
      </c>
      <c r="J130" s="26">
        <v>2</v>
      </c>
      <c r="K130" s="26">
        <v>12.754631872249572</v>
      </c>
    </row>
    <row r="131" spans="1:11">
      <c r="A131" s="28" t="s">
        <v>317</v>
      </c>
      <c r="B131" s="29">
        <v>2008</v>
      </c>
      <c r="C131" s="34">
        <v>2009</v>
      </c>
      <c r="D131" s="26">
        <v>0</v>
      </c>
      <c r="E131" s="26">
        <v>1.0999999999999999</v>
      </c>
      <c r="F131" s="26">
        <v>-0.4</v>
      </c>
      <c r="G131" s="31">
        <v>0.68514478206634521</v>
      </c>
      <c r="H131" s="26">
        <v>4.6100000000000003</v>
      </c>
      <c r="I131" s="26">
        <v>3.27</v>
      </c>
      <c r="J131" s="26">
        <v>0.5</v>
      </c>
      <c r="K131" s="26">
        <v>1.5690820651038688</v>
      </c>
    </row>
    <row r="132" spans="1:11">
      <c r="A132" s="28" t="s">
        <v>318</v>
      </c>
      <c r="B132" s="29">
        <v>1987</v>
      </c>
      <c r="C132" s="29">
        <v>1988</v>
      </c>
      <c r="D132" s="26">
        <v>0</v>
      </c>
      <c r="E132" s="26">
        <v>10</v>
      </c>
      <c r="F132" s="26" t="s">
        <v>182</v>
      </c>
      <c r="G132" s="30">
        <v>53.879310607910156</v>
      </c>
      <c r="H132" s="26">
        <v>100.87269999999999</v>
      </c>
      <c r="I132" s="26">
        <v>97.576279999999997</v>
      </c>
      <c r="J132" s="26">
        <v>70</v>
      </c>
      <c r="K132" s="26">
        <v>64.599989999999991</v>
      </c>
    </row>
    <row r="133" spans="1:11">
      <c r="A133" s="28" t="s">
        <v>319</v>
      </c>
      <c r="B133" s="29">
        <v>1983</v>
      </c>
      <c r="C133" s="29">
        <v>1983</v>
      </c>
      <c r="D133" s="26">
        <v>24.789515600000001</v>
      </c>
      <c r="E133" s="26">
        <v>0.70000000000000007</v>
      </c>
      <c r="F133" s="26" t="s">
        <v>182</v>
      </c>
      <c r="G133" s="31">
        <v>1.3402259349822998</v>
      </c>
      <c r="H133" s="26">
        <v>8.5289190000000001</v>
      </c>
      <c r="I133" s="26">
        <v>1.9764400000000002</v>
      </c>
      <c r="J133" s="26" t="s">
        <v>182</v>
      </c>
      <c r="K133" s="26">
        <v>15.7</v>
      </c>
    </row>
    <row r="134" spans="1:11">
      <c r="A134" s="28" t="s">
        <v>319</v>
      </c>
      <c r="B134" s="29">
        <v>1997</v>
      </c>
      <c r="C134" s="29">
        <v>2000</v>
      </c>
      <c r="D134" s="26">
        <v>109.3152874</v>
      </c>
      <c r="E134" s="26">
        <v>43.8</v>
      </c>
      <c r="F134" s="26">
        <v>34.799999999999997</v>
      </c>
      <c r="G134" s="31">
        <v>30.640085220336914</v>
      </c>
      <c r="H134" s="26">
        <v>5.0794969999999999</v>
      </c>
      <c r="I134" s="26">
        <v>4.3791200000000003</v>
      </c>
      <c r="J134" s="26">
        <v>33</v>
      </c>
      <c r="K134" s="26">
        <v>42.1</v>
      </c>
    </row>
    <row r="135" spans="1:11">
      <c r="A135" s="28" t="s">
        <v>320</v>
      </c>
      <c r="B135" s="29">
        <v>1993</v>
      </c>
      <c r="C135" s="29">
        <v>1994</v>
      </c>
      <c r="D135" s="26">
        <v>38.814808599999999</v>
      </c>
      <c r="E135" s="26" t="s">
        <v>182</v>
      </c>
      <c r="F135" s="26" t="s">
        <v>182</v>
      </c>
      <c r="G135" s="30" t="s">
        <v>182</v>
      </c>
      <c r="H135" s="26">
        <v>6.1879289999999996</v>
      </c>
      <c r="I135" s="26">
        <v>1.67161</v>
      </c>
      <c r="J135" s="26" t="s">
        <v>182</v>
      </c>
      <c r="K135" s="26">
        <v>23.799999999999997</v>
      </c>
    </row>
    <row r="136" spans="1:11">
      <c r="A136" s="28" t="s">
        <v>321</v>
      </c>
      <c r="B136" s="29">
        <v>1991</v>
      </c>
      <c r="C136" s="29">
        <v>1991</v>
      </c>
      <c r="D136" s="26">
        <v>1.2686380000000002</v>
      </c>
      <c r="E136" s="26">
        <v>3</v>
      </c>
      <c r="F136" s="26" t="s">
        <v>182</v>
      </c>
      <c r="G136" s="31">
        <v>4.9759492874145508</v>
      </c>
      <c r="H136" s="26">
        <v>31.53068</v>
      </c>
      <c r="I136" s="26">
        <v>15.078739999999998</v>
      </c>
      <c r="J136" s="26" t="s">
        <v>182</v>
      </c>
      <c r="K136" s="26">
        <v>4.2</v>
      </c>
    </row>
    <row r="137" spans="1:11">
      <c r="A137" s="28" t="s">
        <v>322</v>
      </c>
      <c r="B137" s="29">
        <v>1982</v>
      </c>
      <c r="C137" s="29">
        <v>1984</v>
      </c>
      <c r="D137" s="26">
        <v>34.968004200000003</v>
      </c>
      <c r="E137" s="26">
        <v>2.5</v>
      </c>
      <c r="F137" s="26" t="s">
        <v>182</v>
      </c>
      <c r="G137" s="31">
        <v>11.693171501159668</v>
      </c>
      <c r="H137" s="26">
        <v>71.661619999999999</v>
      </c>
      <c r="I137" s="26">
        <v>29.257070000000002</v>
      </c>
      <c r="J137" s="26" t="s">
        <v>182</v>
      </c>
      <c r="K137" s="26">
        <v>12.3</v>
      </c>
    </row>
    <row r="138" spans="1:11">
      <c r="A138" s="28" t="s">
        <v>322</v>
      </c>
      <c r="B138" s="29">
        <v>2000</v>
      </c>
      <c r="C138" s="29">
        <v>2001</v>
      </c>
      <c r="D138" s="26">
        <v>37.61544</v>
      </c>
      <c r="E138" s="26">
        <v>32</v>
      </c>
      <c r="F138" s="26">
        <v>30.7</v>
      </c>
      <c r="G138" s="31">
        <v>107.16677856445313</v>
      </c>
      <c r="H138" s="26">
        <v>20.46425</v>
      </c>
      <c r="I138" s="26">
        <v>15.208250000000001</v>
      </c>
      <c r="J138" s="26">
        <v>27.6</v>
      </c>
      <c r="K138" s="26">
        <v>15.299999999999999</v>
      </c>
    </row>
    <row r="139" spans="1:11">
      <c r="A139" s="28" t="s">
        <v>323</v>
      </c>
      <c r="B139" s="34">
        <v>1994</v>
      </c>
      <c r="C139" s="34">
        <v>1994</v>
      </c>
      <c r="D139" s="26">
        <v>0</v>
      </c>
      <c r="E139" s="26" t="s">
        <v>182</v>
      </c>
      <c r="F139" s="26" t="s">
        <v>182</v>
      </c>
      <c r="G139" s="26" t="s">
        <v>182</v>
      </c>
      <c r="H139" s="26">
        <v>7.6460489999999997</v>
      </c>
      <c r="I139" s="26">
        <v>3.9462900000000003</v>
      </c>
      <c r="J139" s="26" t="s">
        <v>182</v>
      </c>
      <c r="K139" s="26">
        <v>-26.900000000000002</v>
      </c>
    </row>
    <row r="140" spans="1:11">
      <c r="A140" s="28" t="s">
        <v>324</v>
      </c>
      <c r="B140" s="29">
        <v>1998</v>
      </c>
      <c r="C140" s="29">
        <v>1999</v>
      </c>
      <c r="D140" s="26">
        <v>0</v>
      </c>
      <c r="E140" s="26">
        <v>0</v>
      </c>
      <c r="F140" s="26">
        <v>0</v>
      </c>
      <c r="G140" s="30">
        <v>0</v>
      </c>
      <c r="H140" s="26">
        <v>19.056819999999998</v>
      </c>
      <c r="I140" s="26">
        <v>3.3030999999999997</v>
      </c>
      <c r="J140" s="26">
        <v>62.4</v>
      </c>
      <c r="K140" s="26">
        <v>6.0362999999999998</v>
      </c>
    </row>
    <row r="141" spans="1:11">
      <c r="A141" s="28" t="s">
        <v>325</v>
      </c>
      <c r="B141" s="29">
        <v>2008</v>
      </c>
      <c r="C141" s="34">
        <v>2010</v>
      </c>
      <c r="D141" s="26">
        <v>0</v>
      </c>
      <c r="E141" s="26">
        <v>4.5</v>
      </c>
      <c r="F141" s="26">
        <v>4.5</v>
      </c>
      <c r="G141" s="30">
        <v>10.080645561218262</v>
      </c>
      <c r="H141" s="26">
        <v>16.399999999999999</v>
      </c>
      <c r="I141" s="26">
        <v>15.83</v>
      </c>
      <c r="J141" s="26">
        <v>15.45</v>
      </c>
      <c r="K141" s="26">
        <v>26.489452617271137</v>
      </c>
    </row>
    <row r="142" spans="1:11">
      <c r="A142" s="28" t="s">
        <v>325</v>
      </c>
      <c r="B142" s="29">
        <v>2014</v>
      </c>
      <c r="C142" s="34" t="s">
        <v>248</v>
      </c>
      <c r="D142" s="26">
        <v>93.228149000000002</v>
      </c>
      <c r="E142" s="26">
        <f>+'[1]Additional Details-Bk Crises'!BL47*100</f>
        <v>13.919999999999998</v>
      </c>
      <c r="F142" s="26">
        <v>13.919999999999998</v>
      </c>
      <c r="G142" s="30">
        <v>17.19792366027832</v>
      </c>
      <c r="H142" s="26">
        <v>13.96</v>
      </c>
      <c r="I142" s="26">
        <v>4.3600000000000003</v>
      </c>
      <c r="J142" s="26">
        <f>+'[1]Additional Details-Bk Crises'!BL45*100</f>
        <v>55.110000000000007</v>
      </c>
      <c r="K142" s="26">
        <v>53.4</v>
      </c>
    </row>
    <row r="143" spans="1:11">
      <c r="A143" s="28" t="s">
        <v>326</v>
      </c>
      <c r="B143" s="29">
        <v>2007</v>
      </c>
      <c r="C143" s="34" t="s">
        <v>327</v>
      </c>
      <c r="D143" s="26">
        <v>25.256537999999999</v>
      </c>
      <c r="E143" s="26">
        <v>8.7999999999999989</v>
      </c>
      <c r="F143" s="26">
        <v>3.7799999999999994</v>
      </c>
      <c r="G143" s="31">
        <v>5.8255000114440918</v>
      </c>
      <c r="H143" s="26">
        <v>3.41</v>
      </c>
      <c r="I143" s="26">
        <v>2.4500000000000002</v>
      </c>
      <c r="J143" s="26">
        <v>4</v>
      </c>
      <c r="K143" s="26">
        <v>27.021472449961891</v>
      </c>
    </row>
    <row r="144" spans="1:11">
      <c r="A144" s="28" t="s">
        <v>328</v>
      </c>
      <c r="B144" s="29">
        <v>1988</v>
      </c>
      <c r="C144" s="29">
        <v>1988</v>
      </c>
      <c r="D144" s="26">
        <v>0</v>
      </c>
      <c r="E144" s="26">
        <v>3.6999999999999997</v>
      </c>
      <c r="F144" s="26" t="s">
        <v>182</v>
      </c>
      <c r="G144" s="31">
        <v>2.6956143379211426</v>
      </c>
      <c r="H144" s="26">
        <v>0.10349059999999999</v>
      </c>
      <c r="I144" s="26">
        <v>6.0630000000000003E-2</v>
      </c>
      <c r="J144" s="26">
        <v>4.0999999999999996</v>
      </c>
      <c r="K144" s="26">
        <v>10.5</v>
      </c>
    </row>
    <row r="145" spans="1:11">
      <c r="A145" s="28" t="s">
        <v>329</v>
      </c>
      <c r="B145" s="29">
        <v>2007</v>
      </c>
      <c r="C145" s="34">
        <v>2011</v>
      </c>
      <c r="D145" s="26">
        <v>30.003834000000001</v>
      </c>
      <c r="E145" s="26">
        <v>4.5</v>
      </c>
      <c r="F145" s="26">
        <v>0.63999999999999957</v>
      </c>
      <c r="G145" s="31">
        <v>2.1637735366821289</v>
      </c>
      <c r="H145" s="26">
        <v>4.66</v>
      </c>
      <c r="I145" s="26">
        <v>4.65390465191581</v>
      </c>
      <c r="J145" s="26">
        <v>4.99</v>
      </c>
      <c r="K145" s="26">
        <v>21.851480303845104</v>
      </c>
    </row>
    <row r="146" spans="1:11">
      <c r="A146" s="28" t="s">
        <v>330</v>
      </c>
      <c r="B146" s="29">
        <v>1981</v>
      </c>
      <c r="C146" s="29" t="s">
        <v>214</v>
      </c>
      <c r="D146" s="26">
        <v>38.112957600000001</v>
      </c>
      <c r="E146" s="26">
        <v>31.2</v>
      </c>
      <c r="F146" s="26" t="s">
        <v>182</v>
      </c>
      <c r="G146" s="31">
        <v>101.23296356201172</v>
      </c>
      <c r="H146" s="26">
        <v>24.629149999999999</v>
      </c>
      <c r="I146" s="26">
        <v>18.513159999999999</v>
      </c>
      <c r="J146" s="26" t="s">
        <v>182</v>
      </c>
      <c r="K146" s="26">
        <v>83.3</v>
      </c>
    </row>
    <row r="147" spans="1:11">
      <c r="A147" s="28" t="s">
        <v>330</v>
      </c>
      <c r="B147" s="29">
        <v>2002</v>
      </c>
      <c r="C147" s="29">
        <v>2005</v>
      </c>
      <c r="D147" s="26">
        <v>66.075469999999996</v>
      </c>
      <c r="E147" s="26">
        <v>20</v>
      </c>
      <c r="F147" s="26">
        <v>10.833333333333334</v>
      </c>
      <c r="G147" s="31">
        <v>35.656978607177734</v>
      </c>
      <c r="H147" s="26">
        <v>12.849220000000001</v>
      </c>
      <c r="I147" s="26">
        <v>7.9026899999999998</v>
      </c>
      <c r="J147" s="26">
        <v>36.299999999999997</v>
      </c>
      <c r="K147" s="26">
        <v>37</v>
      </c>
    </row>
    <row r="148" spans="1:11">
      <c r="A148" s="28" t="s">
        <v>331</v>
      </c>
      <c r="B148" s="29">
        <v>1994</v>
      </c>
      <c r="C148" s="29" t="s">
        <v>207</v>
      </c>
      <c r="D148" s="26">
        <v>1.1618500999999999</v>
      </c>
      <c r="E148" s="26">
        <v>15</v>
      </c>
      <c r="F148" s="26">
        <v>12.5</v>
      </c>
      <c r="G148" s="31">
        <v>60.827251434326172</v>
      </c>
      <c r="H148" s="26">
        <v>2.9093589999999998</v>
      </c>
      <c r="I148" s="26">
        <v>1.6283599999999998</v>
      </c>
      <c r="J148" s="26">
        <v>24</v>
      </c>
      <c r="K148" s="26">
        <v>-22.958400000000001</v>
      </c>
    </row>
    <row r="149" spans="1:11">
      <c r="A149" s="28" t="s">
        <v>332</v>
      </c>
      <c r="B149" s="29">
        <v>1997</v>
      </c>
      <c r="C149" s="29">
        <v>1997</v>
      </c>
      <c r="D149" s="26">
        <v>0</v>
      </c>
      <c r="E149" s="26">
        <v>10</v>
      </c>
      <c r="F149" s="26">
        <v>10</v>
      </c>
      <c r="G149" s="31">
        <v>54.259357452392578</v>
      </c>
      <c r="H149" s="26">
        <v>64.85239</v>
      </c>
      <c r="I149" s="26">
        <v>24.776260000000001</v>
      </c>
      <c r="J149" s="26">
        <v>35</v>
      </c>
      <c r="K149" s="26">
        <v>-52.7</v>
      </c>
    </row>
    <row r="150" spans="1:11">
      <c r="A150" s="28" t="s">
        <v>333</v>
      </c>
      <c r="B150" s="29">
        <v>1996</v>
      </c>
      <c r="C150" s="29">
        <v>1996</v>
      </c>
      <c r="D150" s="26">
        <v>16.371335999999999</v>
      </c>
      <c r="E150" s="26" t="s">
        <v>182</v>
      </c>
      <c r="F150" s="26" t="s">
        <v>182</v>
      </c>
      <c r="G150" s="30" t="s">
        <v>182</v>
      </c>
      <c r="H150" s="26">
        <v>0.75479490000000005</v>
      </c>
      <c r="I150" s="26">
        <v>0.68706</v>
      </c>
      <c r="J150" s="40" t="s">
        <v>182</v>
      </c>
      <c r="K150" s="26">
        <v>-56.699999999999996</v>
      </c>
    </row>
    <row r="151" spans="1:11">
      <c r="A151" s="28" t="s">
        <v>334</v>
      </c>
      <c r="B151" s="34">
        <v>1995</v>
      </c>
      <c r="C151" s="34">
        <v>1998</v>
      </c>
      <c r="D151" s="26">
        <v>31.102522399999998</v>
      </c>
      <c r="E151" s="26">
        <v>1.4000000000000001</v>
      </c>
      <c r="F151" s="26" t="s">
        <v>182</v>
      </c>
      <c r="G151" s="31">
        <v>14.71453857421875</v>
      </c>
      <c r="H151" s="26">
        <v>27.870159999999998</v>
      </c>
      <c r="I151" s="26">
        <v>24.946760000000001</v>
      </c>
      <c r="J151" s="41" t="s">
        <v>182</v>
      </c>
      <c r="K151" s="26">
        <v>36.199999999999996</v>
      </c>
    </row>
    <row r="152" spans="1:11" ht="15" thickBot="1">
      <c r="A152" s="42" t="s">
        <v>335</v>
      </c>
      <c r="B152" s="43">
        <v>1995</v>
      </c>
      <c r="C152" s="43" t="s">
        <v>268</v>
      </c>
      <c r="D152" s="44">
        <v>10.387921</v>
      </c>
      <c r="E152" s="44" t="s">
        <v>182</v>
      </c>
      <c r="F152" s="26" t="s">
        <v>182</v>
      </c>
      <c r="G152" s="26" t="s">
        <v>182</v>
      </c>
      <c r="H152" s="44">
        <v>8.5669240000000002</v>
      </c>
      <c r="I152" s="44">
        <v>4.9567199999999998</v>
      </c>
      <c r="J152" s="45" t="s">
        <v>182</v>
      </c>
      <c r="K152" s="44">
        <v>20.9</v>
      </c>
    </row>
    <row r="153" spans="1:11" ht="15.75" customHeight="1" thickTop="1">
      <c r="A153" s="98" t="s">
        <v>336</v>
      </c>
      <c r="B153" s="99"/>
      <c r="C153" s="99"/>
      <c r="D153" s="99"/>
      <c r="E153" s="99"/>
      <c r="F153" s="99"/>
      <c r="G153" s="99"/>
      <c r="H153" s="99"/>
      <c r="I153" s="99"/>
      <c r="J153" s="99"/>
      <c r="K153" s="99"/>
    </row>
    <row r="154" spans="1:11">
      <c r="A154" s="100"/>
      <c r="B154" s="101"/>
      <c r="C154" s="101"/>
      <c r="D154" s="101"/>
      <c r="E154" s="101"/>
      <c r="F154" s="101"/>
      <c r="G154" s="101"/>
      <c r="H154" s="101"/>
      <c r="I154" s="101"/>
      <c r="J154" s="101"/>
      <c r="K154" s="101"/>
    </row>
    <row r="155" spans="1:11">
      <c r="A155" s="100"/>
      <c r="B155" s="101"/>
      <c r="C155" s="101"/>
      <c r="D155" s="101"/>
      <c r="E155" s="101"/>
      <c r="F155" s="101"/>
      <c r="G155" s="101"/>
      <c r="H155" s="101"/>
      <c r="I155" s="101"/>
      <c r="J155" s="101"/>
      <c r="K155" s="101"/>
    </row>
    <row r="156" spans="1:11">
      <c r="A156" s="100"/>
      <c r="B156" s="101"/>
      <c r="C156" s="101"/>
      <c r="D156" s="101"/>
      <c r="E156" s="101"/>
      <c r="F156" s="101"/>
      <c r="G156" s="101"/>
      <c r="H156" s="101"/>
      <c r="I156" s="101"/>
      <c r="J156" s="101"/>
      <c r="K156" s="101"/>
    </row>
    <row r="157" spans="1:11">
      <c r="A157" s="100"/>
      <c r="B157" s="101"/>
      <c r="C157" s="101"/>
      <c r="D157" s="101"/>
      <c r="E157" s="101"/>
      <c r="F157" s="101"/>
      <c r="G157" s="101"/>
      <c r="H157" s="101"/>
      <c r="I157" s="101"/>
      <c r="J157" s="101"/>
      <c r="K157" s="101"/>
    </row>
    <row r="158" spans="1:11">
      <c r="A158" s="100"/>
      <c r="B158" s="101"/>
      <c r="C158" s="101"/>
      <c r="D158" s="101"/>
      <c r="E158" s="101"/>
      <c r="F158" s="101"/>
      <c r="G158" s="101"/>
      <c r="H158" s="101"/>
      <c r="I158" s="101"/>
      <c r="J158" s="101"/>
      <c r="K158" s="101"/>
    </row>
    <row r="159" spans="1:11">
      <c r="A159" s="100"/>
      <c r="B159" s="101"/>
      <c r="C159" s="101"/>
      <c r="D159" s="101"/>
      <c r="E159" s="101"/>
      <c r="F159" s="101"/>
      <c r="G159" s="101"/>
      <c r="H159" s="101"/>
      <c r="I159" s="101"/>
      <c r="J159" s="101"/>
      <c r="K159" s="101"/>
    </row>
    <row r="160" spans="1:11">
      <c r="A160" s="100"/>
      <c r="B160" s="101"/>
      <c r="C160" s="101"/>
      <c r="D160" s="101"/>
      <c r="E160" s="101"/>
      <c r="F160" s="101"/>
      <c r="G160" s="101"/>
      <c r="H160" s="101"/>
      <c r="I160" s="101"/>
      <c r="J160" s="101"/>
      <c r="K160" s="101"/>
    </row>
    <row r="161" spans="1:11">
      <c r="A161" s="100"/>
      <c r="B161" s="101"/>
      <c r="C161" s="101"/>
      <c r="D161" s="101"/>
      <c r="E161" s="101"/>
      <c r="F161" s="101"/>
      <c r="G161" s="101"/>
      <c r="H161" s="101"/>
      <c r="I161" s="101"/>
      <c r="J161" s="101"/>
      <c r="K161" s="101"/>
    </row>
    <row r="162" spans="1:11">
      <c r="A162" s="100"/>
      <c r="B162" s="101"/>
      <c r="C162" s="101"/>
      <c r="D162" s="101"/>
      <c r="E162" s="101"/>
      <c r="F162" s="101"/>
      <c r="G162" s="101"/>
      <c r="H162" s="101"/>
      <c r="I162" s="101"/>
      <c r="J162" s="101"/>
      <c r="K162" s="101"/>
    </row>
    <row r="163" spans="1:11">
      <c r="A163" s="100"/>
      <c r="B163" s="101"/>
      <c r="C163" s="101"/>
      <c r="D163" s="101"/>
      <c r="E163" s="101"/>
      <c r="F163" s="101"/>
      <c r="G163" s="101"/>
      <c r="H163" s="101"/>
      <c r="I163" s="101"/>
      <c r="J163" s="101"/>
      <c r="K163" s="101"/>
    </row>
    <row r="164" spans="1:11">
      <c r="A164" s="46"/>
      <c r="B164" s="47"/>
      <c r="C164" s="47"/>
      <c r="D164" s="47"/>
      <c r="E164" s="47"/>
      <c r="F164" s="47"/>
      <c r="G164" s="47"/>
      <c r="H164" s="47"/>
      <c r="I164" s="47"/>
      <c r="J164" s="47"/>
      <c r="K164" s="47"/>
    </row>
    <row r="165" spans="1:11">
      <c r="A165" s="46"/>
      <c r="B165" s="47"/>
      <c r="C165" s="47"/>
      <c r="D165" s="47"/>
      <c r="E165" s="47"/>
      <c r="F165" s="48"/>
      <c r="G165" s="47"/>
      <c r="H165" s="47"/>
      <c r="I165" s="47"/>
      <c r="J165" s="47"/>
      <c r="K165" s="47"/>
    </row>
    <row r="166" spans="1:11" ht="11.25" customHeight="1">
      <c r="A166" s="46"/>
      <c r="B166" s="47"/>
      <c r="C166" s="47"/>
      <c r="D166" s="47"/>
      <c r="E166" s="47"/>
      <c r="F166" s="47"/>
      <c r="G166" s="47"/>
      <c r="H166" s="47"/>
      <c r="I166" s="47"/>
      <c r="J166" s="47"/>
      <c r="K166" s="47"/>
    </row>
    <row r="167" spans="1:11">
      <c r="A167" s="49"/>
      <c r="B167" s="50"/>
      <c r="C167" s="50"/>
      <c r="D167" s="50"/>
      <c r="G167" s="52"/>
      <c r="H167" s="50"/>
      <c r="I167" s="50"/>
      <c r="J167" s="50"/>
      <c r="K167" s="50"/>
    </row>
    <row r="168" spans="1:11">
      <c r="A168" s="49"/>
      <c r="B168" s="50"/>
      <c r="C168" s="50"/>
      <c r="D168" s="50"/>
      <c r="G168" s="52"/>
      <c r="H168" s="50"/>
      <c r="I168" s="50"/>
      <c r="J168" s="50"/>
      <c r="K168" s="50"/>
    </row>
    <row r="169" spans="1:11">
      <c r="A169" s="49"/>
      <c r="B169" s="50"/>
      <c r="C169" s="50"/>
      <c r="D169" s="50"/>
      <c r="G169" s="52"/>
      <c r="H169" s="53"/>
      <c r="I169" s="53"/>
      <c r="J169" s="50"/>
      <c r="K169" s="50"/>
    </row>
    <row r="170" spans="1:11">
      <c r="A170" s="49"/>
      <c r="B170" s="50"/>
      <c r="C170" s="50"/>
      <c r="D170" s="50"/>
      <c r="G170" s="52"/>
      <c r="H170" s="50"/>
      <c r="I170" s="50"/>
      <c r="J170" s="50"/>
      <c r="K170" s="50"/>
    </row>
  </sheetData>
  <mergeCells count="1">
    <mergeCell ref="A153:K163"/>
  </mergeCells>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2" tint="-0.249977111117893"/>
    <pageSetUpPr autoPageBreaks="0"/>
  </sheetPr>
  <dimension ref="A1:N408"/>
  <sheetViews>
    <sheetView workbookViewId="0">
      <selection activeCell="G185" sqref="G185"/>
    </sheetView>
  </sheetViews>
  <sheetFormatPr defaultColWidth="9.08984375" defaultRowHeight="14.5"/>
  <cols>
    <col min="1" max="1" width="11.81640625" style="77" customWidth="1"/>
    <col min="2" max="2" width="6.6328125" style="90" customWidth="1"/>
    <col min="3" max="3" width="10.08984375" style="77" customWidth="1"/>
    <col min="4" max="4" width="8.6328125" style="77" customWidth="1"/>
    <col min="5" max="5" width="5.81640625" style="77" customWidth="1"/>
    <col min="6" max="6" width="10.81640625" style="82" customWidth="1"/>
    <col min="7" max="7" width="10.81640625" style="79" customWidth="1"/>
    <col min="8" max="8" width="9.36328125" style="79" customWidth="1"/>
    <col min="9" max="9" width="7.81640625" style="79" customWidth="1"/>
    <col min="10" max="10" width="12.6328125" style="79" customWidth="1"/>
    <col min="11" max="11" width="47.08984375" style="81" customWidth="1"/>
    <col min="12" max="12" width="23" style="82" customWidth="1"/>
    <col min="13" max="13" width="50.453125" style="82" customWidth="1"/>
    <col min="14" max="14" width="77.36328125" style="81" customWidth="1"/>
  </cols>
  <sheetData>
    <row r="1" spans="1:14" s="77" customFormat="1" ht="43.5">
      <c r="A1" s="71" t="s">
        <v>169</v>
      </c>
      <c r="B1" s="72" t="s">
        <v>374</v>
      </c>
      <c r="C1" s="73" t="s">
        <v>375</v>
      </c>
      <c r="D1" s="73" t="s">
        <v>376</v>
      </c>
      <c r="E1" s="74" t="s">
        <v>377</v>
      </c>
      <c r="F1" s="73" t="s">
        <v>378</v>
      </c>
      <c r="G1" s="73" t="s">
        <v>379</v>
      </c>
      <c r="H1" s="73" t="s">
        <v>380</v>
      </c>
      <c r="I1" s="73" t="s">
        <v>381</v>
      </c>
      <c r="J1" s="75" t="s">
        <v>382</v>
      </c>
      <c r="K1" s="73" t="s">
        <v>383</v>
      </c>
      <c r="L1" s="73" t="s">
        <v>384</v>
      </c>
      <c r="M1" s="73" t="s">
        <v>385</v>
      </c>
      <c r="N1" s="76" t="s">
        <v>386</v>
      </c>
    </row>
    <row r="2" spans="1:14" ht="58" hidden="1">
      <c r="A2" s="77" t="s">
        <v>185</v>
      </c>
      <c r="B2" s="78">
        <v>1885</v>
      </c>
      <c r="C2" s="79">
        <v>0</v>
      </c>
      <c r="D2" s="79">
        <v>1</v>
      </c>
      <c r="E2" s="79">
        <v>0</v>
      </c>
      <c r="F2" s="80"/>
      <c r="G2" s="79">
        <v>0</v>
      </c>
      <c r="H2" s="79">
        <v>0</v>
      </c>
      <c r="I2" s="79">
        <v>0</v>
      </c>
      <c r="J2" s="79">
        <v>0</v>
      </c>
      <c r="M2" s="82" t="s">
        <v>387</v>
      </c>
      <c r="N2" s="81" t="s">
        <v>388</v>
      </c>
    </row>
    <row r="3" spans="1:14" ht="145" hidden="1">
      <c r="A3" s="77" t="s">
        <v>185</v>
      </c>
      <c r="B3" s="78">
        <v>1891</v>
      </c>
      <c r="C3" s="79">
        <v>1</v>
      </c>
      <c r="D3" s="79">
        <v>1890</v>
      </c>
      <c r="E3" s="79">
        <v>1</v>
      </c>
      <c r="F3" s="83" t="s">
        <v>389</v>
      </c>
      <c r="G3" s="79">
        <v>1</v>
      </c>
      <c r="H3" s="79">
        <v>1</v>
      </c>
      <c r="I3" s="79">
        <v>1</v>
      </c>
      <c r="J3" s="79">
        <v>1</v>
      </c>
      <c r="K3" s="81" t="s">
        <v>390</v>
      </c>
      <c r="L3" s="82" t="s">
        <v>391</v>
      </c>
      <c r="M3" s="82" t="s">
        <v>392</v>
      </c>
      <c r="N3" s="81" t="s">
        <v>393</v>
      </c>
    </row>
    <row r="4" spans="1:14" ht="116" hidden="1">
      <c r="A4" s="77" t="s">
        <v>185</v>
      </c>
      <c r="B4" s="78">
        <v>1914</v>
      </c>
      <c r="C4" s="79">
        <v>1</v>
      </c>
      <c r="D4" s="79">
        <v>1</v>
      </c>
      <c r="E4" s="79">
        <v>1</v>
      </c>
      <c r="F4" s="80" t="s">
        <v>394</v>
      </c>
      <c r="G4" s="79">
        <v>0</v>
      </c>
      <c r="H4" s="79">
        <v>1</v>
      </c>
      <c r="I4" s="79">
        <v>0</v>
      </c>
      <c r="J4" s="79">
        <v>1</v>
      </c>
      <c r="K4" s="81" t="s">
        <v>395</v>
      </c>
      <c r="L4" s="82" t="s">
        <v>396</v>
      </c>
      <c r="M4" s="82" t="s">
        <v>397</v>
      </c>
      <c r="N4" s="81" t="s">
        <v>398</v>
      </c>
    </row>
    <row r="5" spans="1:14" ht="116" hidden="1">
      <c r="A5" s="77" t="s">
        <v>185</v>
      </c>
      <c r="B5" s="78">
        <v>1930</v>
      </c>
      <c r="C5" s="79">
        <v>1</v>
      </c>
      <c r="D5" s="79">
        <v>1931</v>
      </c>
      <c r="E5" s="79">
        <v>1</v>
      </c>
      <c r="F5" s="80" t="s">
        <v>399</v>
      </c>
      <c r="G5" s="79">
        <v>0</v>
      </c>
      <c r="H5" s="79">
        <v>1</v>
      </c>
      <c r="I5" s="79">
        <v>0</v>
      </c>
      <c r="J5" s="79">
        <v>1</v>
      </c>
      <c r="K5" s="82" t="s">
        <v>400</v>
      </c>
      <c r="M5" s="82" t="s">
        <v>401</v>
      </c>
      <c r="N5" s="84" t="s">
        <v>402</v>
      </c>
    </row>
    <row r="6" spans="1:14" ht="101.5" hidden="1">
      <c r="A6" s="77" t="s">
        <v>185</v>
      </c>
      <c r="B6" s="78">
        <v>1934</v>
      </c>
      <c r="C6" s="79">
        <v>1</v>
      </c>
      <c r="D6" s="79">
        <v>1</v>
      </c>
      <c r="E6" s="79">
        <v>1</v>
      </c>
      <c r="F6" s="80" t="s">
        <v>403</v>
      </c>
      <c r="G6" s="79">
        <v>1</v>
      </c>
      <c r="H6" s="79">
        <v>1</v>
      </c>
      <c r="I6" s="79">
        <v>1</v>
      </c>
      <c r="J6" s="79">
        <v>1</v>
      </c>
      <c r="K6" s="81" t="s">
        <v>404</v>
      </c>
      <c r="L6" s="82" t="s">
        <v>405</v>
      </c>
      <c r="M6" s="82" t="s">
        <v>406</v>
      </c>
      <c r="N6" s="81" t="s">
        <v>407</v>
      </c>
    </row>
    <row r="7" spans="1:14" ht="159.5" hidden="1">
      <c r="A7" s="77" t="s">
        <v>185</v>
      </c>
      <c r="B7" s="78">
        <v>1980</v>
      </c>
      <c r="C7" s="79"/>
      <c r="D7" s="79">
        <v>1</v>
      </c>
      <c r="E7" s="79">
        <v>1</v>
      </c>
      <c r="F7" s="80" t="s">
        <v>408</v>
      </c>
      <c r="G7" s="79">
        <v>1</v>
      </c>
      <c r="H7" s="79">
        <v>1</v>
      </c>
      <c r="I7" s="79">
        <v>1</v>
      </c>
      <c r="J7" s="79">
        <v>1</v>
      </c>
      <c r="K7" s="81" t="s">
        <v>409</v>
      </c>
      <c r="L7" s="82" t="s">
        <v>410</v>
      </c>
      <c r="M7" s="82" t="s">
        <v>411</v>
      </c>
      <c r="N7" s="81" t="s">
        <v>412</v>
      </c>
    </row>
    <row r="8" spans="1:14" ht="130.5" hidden="1">
      <c r="A8" s="77" t="s">
        <v>185</v>
      </c>
      <c r="B8" s="78">
        <v>1985</v>
      </c>
      <c r="C8" s="79"/>
      <c r="D8" s="79">
        <v>1</v>
      </c>
      <c r="E8" s="79">
        <v>1</v>
      </c>
      <c r="F8" s="80" t="s">
        <v>413</v>
      </c>
      <c r="G8" s="79">
        <v>1</v>
      </c>
      <c r="H8" s="79">
        <v>1</v>
      </c>
      <c r="I8" s="79">
        <v>1</v>
      </c>
      <c r="J8" s="79">
        <v>1</v>
      </c>
      <c r="K8" s="81" t="s">
        <v>414</v>
      </c>
      <c r="L8" s="82" t="s">
        <v>415</v>
      </c>
      <c r="M8" s="82" t="s">
        <v>416</v>
      </c>
      <c r="N8" s="81" t="s">
        <v>417</v>
      </c>
    </row>
    <row r="9" spans="1:14" ht="116" hidden="1">
      <c r="A9" s="77" t="s">
        <v>185</v>
      </c>
      <c r="B9" s="78">
        <v>1989</v>
      </c>
      <c r="C9" s="79"/>
      <c r="D9" s="79">
        <v>1</v>
      </c>
      <c r="E9" s="79">
        <v>1</v>
      </c>
      <c r="F9" s="80" t="s">
        <v>418</v>
      </c>
      <c r="G9" s="79">
        <v>1</v>
      </c>
      <c r="H9" s="79">
        <v>1</v>
      </c>
      <c r="I9" s="79">
        <v>1</v>
      </c>
      <c r="J9" s="79">
        <v>1</v>
      </c>
      <c r="K9" s="81" t="s">
        <v>419</v>
      </c>
      <c r="L9" s="82" t="s">
        <v>420</v>
      </c>
      <c r="M9" s="82" t="s">
        <v>421</v>
      </c>
      <c r="N9" s="81" t="s">
        <v>422</v>
      </c>
    </row>
    <row r="10" spans="1:14" ht="101.5" hidden="1">
      <c r="A10" s="77" t="s">
        <v>185</v>
      </c>
      <c r="B10" s="78">
        <v>1995</v>
      </c>
      <c r="C10" s="79">
        <v>1</v>
      </c>
      <c r="D10" s="79">
        <v>1</v>
      </c>
      <c r="E10" s="79">
        <v>1</v>
      </c>
      <c r="F10" s="80" t="s">
        <v>423</v>
      </c>
      <c r="G10" s="79">
        <v>1</v>
      </c>
      <c r="H10" s="79">
        <v>1</v>
      </c>
      <c r="I10" s="79">
        <v>1</v>
      </c>
      <c r="J10" s="79">
        <v>1</v>
      </c>
      <c r="K10" s="81" t="s">
        <v>424</v>
      </c>
      <c r="L10" s="82" t="s">
        <v>425</v>
      </c>
      <c r="M10" s="82" t="s">
        <v>426</v>
      </c>
      <c r="N10" s="81" t="s">
        <v>427</v>
      </c>
    </row>
    <row r="11" spans="1:14" ht="130.5" hidden="1">
      <c r="A11" s="77" t="s">
        <v>185</v>
      </c>
      <c r="B11" s="78">
        <v>2000</v>
      </c>
      <c r="C11" s="79">
        <v>1</v>
      </c>
      <c r="D11" s="79">
        <v>2001</v>
      </c>
      <c r="E11" s="79">
        <v>1</v>
      </c>
      <c r="F11" s="80" t="s">
        <v>428</v>
      </c>
      <c r="G11" s="79">
        <v>1</v>
      </c>
      <c r="H11" s="79">
        <v>1</v>
      </c>
      <c r="I11" s="79">
        <v>1</v>
      </c>
      <c r="J11" s="79">
        <v>1</v>
      </c>
      <c r="K11" s="81" t="s">
        <v>429</v>
      </c>
      <c r="L11" s="82" t="s">
        <v>430</v>
      </c>
      <c r="M11" s="82" t="s">
        <v>431</v>
      </c>
      <c r="N11" s="81" t="s">
        <v>432</v>
      </c>
    </row>
    <row r="12" spans="1:14" ht="101.5" hidden="1">
      <c r="A12" s="77" t="s">
        <v>185</v>
      </c>
      <c r="B12" s="78">
        <v>2008</v>
      </c>
      <c r="C12" s="79">
        <v>1</v>
      </c>
      <c r="D12" s="79"/>
      <c r="E12" s="79">
        <v>0</v>
      </c>
      <c r="F12" s="80"/>
      <c r="G12" s="79">
        <v>0</v>
      </c>
      <c r="H12" s="79">
        <v>0</v>
      </c>
      <c r="I12" s="79">
        <v>0</v>
      </c>
      <c r="J12" s="79">
        <v>0</v>
      </c>
      <c r="M12" s="82" t="s">
        <v>433</v>
      </c>
    </row>
    <row r="13" spans="1:14" ht="58" hidden="1">
      <c r="A13" s="77" t="s">
        <v>185</v>
      </c>
      <c r="B13" s="78">
        <v>2011</v>
      </c>
      <c r="C13" s="79">
        <v>1</v>
      </c>
      <c r="D13" s="79"/>
      <c r="E13" s="79">
        <v>0</v>
      </c>
      <c r="F13" s="80"/>
      <c r="G13" s="79">
        <v>0</v>
      </c>
      <c r="H13" s="79">
        <v>0</v>
      </c>
      <c r="I13" s="79">
        <v>0</v>
      </c>
      <c r="J13" s="79">
        <v>0</v>
      </c>
      <c r="M13" s="82" t="s">
        <v>434</v>
      </c>
      <c r="N13" s="81" t="s">
        <v>435</v>
      </c>
    </row>
    <row r="14" spans="1:14" ht="116" hidden="1">
      <c r="A14" s="77" t="s">
        <v>436</v>
      </c>
      <c r="B14" s="78">
        <v>1893</v>
      </c>
      <c r="C14" s="79">
        <v>1</v>
      </c>
      <c r="D14" s="79">
        <v>1</v>
      </c>
      <c r="E14" s="79">
        <v>1</v>
      </c>
      <c r="F14" s="80" t="s">
        <v>437</v>
      </c>
      <c r="G14" s="79">
        <v>1</v>
      </c>
      <c r="H14" s="79">
        <v>1</v>
      </c>
      <c r="I14" s="79">
        <v>1</v>
      </c>
      <c r="J14" s="79">
        <v>1</v>
      </c>
      <c r="K14" s="81" t="s">
        <v>438</v>
      </c>
      <c r="L14" s="82" t="s">
        <v>439</v>
      </c>
      <c r="M14" s="82" t="s">
        <v>440</v>
      </c>
      <c r="N14" s="81" t="s">
        <v>441</v>
      </c>
    </row>
    <row r="15" spans="1:14" ht="87" hidden="1">
      <c r="A15" s="77" t="s">
        <v>436</v>
      </c>
      <c r="B15" s="78">
        <v>1931</v>
      </c>
      <c r="C15" s="79">
        <v>0</v>
      </c>
      <c r="D15" s="79">
        <v>1</v>
      </c>
      <c r="E15" s="79">
        <v>1</v>
      </c>
      <c r="F15" s="80" t="s">
        <v>399</v>
      </c>
      <c r="G15" s="79">
        <v>0</v>
      </c>
      <c r="H15" s="79">
        <v>1</v>
      </c>
      <c r="I15" s="79">
        <v>0</v>
      </c>
      <c r="J15" s="79">
        <v>1</v>
      </c>
      <c r="K15" s="81" t="s">
        <v>442</v>
      </c>
      <c r="L15" s="82" t="s">
        <v>443</v>
      </c>
      <c r="M15" s="82" t="s">
        <v>444</v>
      </c>
      <c r="N15" s="81" t="s">
        <v>445</v>
      </c>
    </row>
    <row r="16" spans="1:14" ht="29" hidden="1">
      <c r="A16" s="77" t="s">
        <v>436</v>
      </c>
      <c r="B16" s="78">
        <v>1952</v>
      </c>
      <c r="C16" s="79">
        <v>1</v>
      </c>
      <c r="D16" s="79"/>
      <c r="E16" s="79">
        <v>0</v>
      </c>
      <c r="F16" s="80"/>
      <c r="G16" s="79">
        <v>0</v>
      </c>
      <c r="H16" s="79">
        <v>0</v>
      </c>
      <c r="I16" s="79">
        <v>0</v>
      </c>
      <c r="J16" s="79">
        <v>0</v>
      </c>
      <c r="M16" s="82" t="s">
        <v>446</v>
      </c>
    </row>
    <row r="17" spans="1:14" ht="87" hidden="1">
      <c r="A17" s="77" t="s">
        <v>436</v>
      </c>
      <c r="B17" s="78">
        <v>1974</v>
      </c>
      <c r="C17" s="79">
        <v>1</v>
      </c>
      <c r="D17" s="79"/>
      <c r="E17" s="79">
        <v>0</v>
      </c>
      <c r="F17" s="80"/>
      <c r="G17" s="79">
        <v>0</v>
      </c>
      <c r="H17" s="79">
        <v>0</v>
      </c>
      <c r="I17" s="79">
        <v>0</v>
      </c>
      <c r="J17" s="79">
        <v>0</v>
      </c>
      <c r="M17" s="82" t="s">
        <v>447</v>
      </c>
      <c r="N17" s="81" t="s">
        <v>448</v>
      </c>
    </row>
    <row r="18" spans="1:14" ht="174" hidden="1">
      <c r="A18" s="77" t="s">
        <v>436</v>
      </c>
      <c r="B18" s="78">
        <v>1989</v>
      </c>
      <c r="C18" s="79">
        <v>0</v>
      </c>
      <c r="D18" s="79">
        <v>1</v>
      </c>
      <c r="E18" s="85">
        <v>1</v>
      </c>
      <c r="F18" s="80" t="s">
        <v>449</v>
      </c>
      <c r="G18" s="79">
        <v>1</v>
      </c>
      <c r="H18" s="79">
        <v>1</v>
      </c>
      <c r="I18" s="79">
        <v>0</v>
      </c>
      <c r="J18" s="79">
        <v>1</v>
      </c>
      <c r="K18" s="81" t="s">
        <v>450</v>
      </c>
      <c r="L18" s="82" t="s">
        <v>451</v>
      </c>
      <c r="M18" s="82" t="s">
        <v>452</v>
      </c>
      <c r="N18" s="81" t="s">
        <v>453</v>
      </c>
    </row>
    <row r="19" spans="1:14" ht="72.5" hidden="1">
      <c r="A19" s="77" t="s">
        <v>436</v>
      </c>
      <c r="B19" s="78">
        <v>2008</v>
      </c>
      <c r="C19" s="79">
        <v>1</v>
      </c>
      <c r="D19" s="79"/>
      <c r="E19" s="79">
        <v>0</v>
      </c>
      <c r="F19" s="80"/>
      <c r="G19" s="79">
        <v>0</v>
      </c>
      <c r="H19" s="79">
        <v>0</v>
      </c>
      <c r="I19" s="79">
        <v>0</v>
      </c>
      <c r="J19" s="79">
        <v>0</v>
      </c>
      <c r="M19" s="82" t="s">
        <v>454</v>
      </c>
    </row>
    <row r="20" spans="1:14" ht="72.5" hidden="1">
      <c r="A20" s="77" t="s">
        <v>190</v>
      </c>
      <c r="B20" s="78">
        <v>1873</v>
      </c>
      <c r="C20" s="79">
        <v>1</v>
      </c>
      <c r="D20" s="79">
        <v>1</v>
      </c>
      <c r="E20" s="79">
        <v>1</v>
      </c>
      <c r="F20" s="80" t="s">
        <v>455</v>
      </c>
      <c r="G20" s="79">
        <v>1</v>
      </c>
      <c r="H20" s="79">
        <v>1</v>
      </c>
      <c r="I20" s="79">
        <v>1</v>
      </c>
      <c r="J20" s="79">
        <v>1</v>
      </c>
      <c r="K20" s="81" t="s">
        <v>456</v>
      </c>
      <c r="L20" s="82" t="s">
        <v>457</v>
      </c>
      <c r="M20" s="82" t="s">
        <v>458</v>
      </c>
    </row>
    <row r="21" spans="1:14" hidden="1">
      <c r="A21" s="77" t="s">
        <v>190</v>
      </c>
      <c r="B21" s="78">
        <v>1888</v>
      </c>
      <c r="C21" s="79">
        <v>1</v>
      </c>
      <c r="D21" s="79"/>
      <c r="E21" s="79">
        <v>0</v>
      </c>
      <c r="F21" s="80"/>
      <c r="G21" s="79">
        <v>0</v>
      </c>
      <c r="H21" s="79">
        <v>0</v>
      </c>
      <c r="I21" s="79">
        <v>0</v>
      </c>
      <c r="J21" s="79">
        <v>0</v>
      </c>
      <c r="M21" s="82" t="s">
        <v>434</v>
      </c>
    </row>
    <row r="22" spans="1:14" hidden="1">
      <c r="A22" s="77" t="s">
        <v>190</v>
      </c>
      <c r="B22" s="78">
        <v>1920</v>
      </c>
      <c r="C22" s="79">
        <v>1</v>
      </c>
      <c r="D22" s="79"/>
      <c r="E22" s="79">
        <v>0</v>
      </c>
      <c r="F22" s="80"/>
      <c r="G22" s="79">
        <v>0</v>
      </c>
      <c r="H22" s="79">
        <v>0</v>
      </c>
      <c r="I22" s="79">
        <v>0</v>
      </c>
      <c r="J22" s="79">
        <v>0</v>
      </c>
      <c r="M22" s="82" t="s">
        <v>434</v>
      </c>
    </row>
    <row r="23" spans="1:14" ht="159.5" hidden="1">
      <c r="A23" s="77" t="s">
        <v>190</v>
      </c>
      <c r="B23" s="78">
        <v>1924</v>
      </c>
      <c r="C23" s="79">
        <v>1</v>
      </c>
      <c r="D23" s="79">
        <v>1</v>
      </c>
      <c r="E23" s="79">
        <v>0</v>
      </c>
      <c r="F23" s="80"/>
      <c r="G23" s="79">
        <v>1</v>
      </c>
      <c r="H23" s="79">
        <v>0</v>
      </c>
      <c r="I23" s="79">
        <v>1</v>
      </c>
      <c r="J23" s="79">
        <v>1</v>
      </c>
      <c r="K23" s="81" t="s">
        <v>459</v>
      </c>
      <c r="L23" s="82" t="s">
        <v>460</v>
      </c>
      <c r="M23" s="82" t="s">
        <v>461</v>
      </c>
      <c r="N23" s="82" t="s">
        <v>462</v>
      </c>
    </row>
    <row r="24" spans="1:14" ht="72.5" hidden="1">
      <c r="A24" s="77" t="s">
        <v>190</v>
      </c>
      <c r="B24" s="78">
        <v>1931</v>
      </c>
      <c r="C24" s="79">
        <v>1</v>
      </c>
      <c r="D24" s="79" t="s">
        <v>463</v>
      </c>
      <c r="E24" s="79">
        <v>1</v>
      </c>
      <c r="F24" s="80" t="s">
        <v>464</v>
      </c>
      <c r="G24" s="79">
        <v>1</v>
      </c>
      <c r="H24" s="79">
        <v>1</v>
      </c>
      <c r="I24" s="79">
        <v>1</v>
      </c>
      <c r="J24" s="79">
        <v>1</v>
      </c>
      <c r="K24" s="81" t="s">
        <v>465</v>
      </c>
      <c r="L24" s="82" t="s">
        <v>466</v>
      </c>
      <c r="M24" s="82" t="s">
        <v>467</v>
      </c>
      <c r="N24" s="81" t="s">
        <v>468</v>
      </c>
    </row>
    <row r="25" spans="1:14" hidden="1">
      <c r="A25" s="77" t="s">
        <v>190</v>
      </c>
      <c r="B25" s="78">
        <v>1966</v>
      </c>
      <c r="C25" s="79">
        <v>1</v>
      </c>
      <c r="D25" s="79"/>
      <c r="E25" s="79">
        <v>0</v>
      </c>
      <c r="F25" s="80"/>
      <c r="G25" s="79">
        <v>0</v>
      </c>
      <c r="H25" s="79">
        <v>0</v>
      </c>
      <c r="I25" s="79">
        <v>0</v>
      </c>
      <c r="J25" s="79">
        <v>0</v>
      </c>
      <c r="M25" s="82" t="s">
        <v>434</v>
      </c>
    </row>
    <row r="26" spans="1:14" ht="58" hidden="1">
      <c r="A26" s="77" t="s">
        <v>190</v>
      </c>
      <c r="B26" s="78">
        <v>1982</v>
      </c>
      <c r="C26" s="79">
        <v>1</v>
      </c>
      <c r="D26" s="79"/>
      <c r="E26" s="79">
        <v>0</v>
      </c>
      <c r="F26" s="80"/>
      <c r="G26" s="79">
        <v>0</v>
      </c>
      <c r="H26" s="79">
        <v>0</v>
      </c>
      <c r="I26" s="79">
        <v>0</v>
      </c>
      <c r="J26" s="79">
        <v>0</v>
      </c>
      <c r="M26" s="82" t="s">
        <v>469</v>
      </c>
    </row>
    <row r="27" spans="1:14" hidden="1">
      <c r="A27" s="77" t="s">
        <v>190</v>
      </c>
      <c r="B27" s="78">
        <v>1995</v>
      </c>
      <c r="C27" s="79">
        <v>1</v>
      </c>
      <c r="D27" s="79"/>
      <c r="E27" s="79">
        <v>0</v>
      </c>
      <c r="F27" s="80"/>
      <c r="G27" s="79">
        <v>0</v>
      </c>
      <c r="H27" s="79">
        <v>0</v>
      </c>
      <c r="I27" s="79">
        <v>0</v>
      </c>
      <c r="J27" s="79">
        <v>0</v>
      </c>
      <c r="M27" s="82" t="s">
        <v>434</v>
      </c>
    </row>
    <row r="28" spans="1:14" ht="87" hidden="1">
      <c r="A28" s="77" t="s">
        <v>190</v>
      </c>
      <c r="B28" s="78">
        <v>2008</v>
      </c>
      <c r="C28" s="79">
        <v>1</v>
      </c>
      <c r="D28" s="79">
        <v>1</v>
      </c>
      <c r="E28" s="79">
        <v>1</v>
      </c>
      <c r="F28" s="80" t="s">
        <v>470</v>
      </c>
      <c r="G28" s="79">
        <v>1</v>
      </c>
      <c r="H28" s="79">
        <v>1</v>
      </c>
      <c r="I28" s="79">
        <v>1</v>
      </c>
      <c r="J28" s="79">
        <v>1</v>
      </c>
      <c r="K28" s="81" t="s">
        <v>471</v>
      </c>
      <c r="L28" s="82" t="s">
        <v>472</v>
      </c>
      <c r="M28" s="82" t="s">
        <v>473</v>
      </c>
    </row>
    <row r="29" spans="1:14" ht="130.5" hidden="1">
      <c r="A29" s="77" t="s">
        <v>190</v>
      </c>
      <c r="B29" s="78">
        <v>2011</v>
      </c>
      <c r="C29" s="79">
        <v>1</v>
      </c>
      <c r="D29" s="79"/>
      <c r="E29" s="79">
        <v>0</v>
      </c>
      <c r="F29" s="80"/>
      <c r="G29" s="79">
        <v>1</v>
      </c>
      <c r="H29" s="79">
        <v>0</v>
      </c>
      <c r="I29" s="79">
        <v>1</v>
      </c>
      <c r="J29" s="79">
        <v>1</v>
      </c>
      <c r="K29" s="81" t="s">
        <v>474</v>
      </c>
      <c r="M29" s="82" t="s">
        <v>475</v>
      </c>
    </row>
    <row r="30" spans="1:14" ht="72.5" hidden="1">
      <c r="A30" s="77" t="s">
        <v>196</v>
      </c>
      <c r="B30" s="78">
        <v>1870</v>
      </c>
      <c r="C30" s="79">
        <v>0</v>
      </c>
      <c r="D30" s="79">
        <v>1</v>
      </c>
      <c r="E30" s="79">
        <v>1</v>
      </c>
      <c r="F30" s="80" t="s">
        <v>476</v>
      </c>
      <c r="G30" s="79">
        <v>0</v>
      </c>
      <c r="H30" s="79">
        <v>1</v>
      </c>
      <c r="I30" s="79">
        <v>0</v>
      </c>
      <c r="J30" s="79">
        <v>1</v>
      </c>
      <c r="K30" s="81" t="s">
        <v>477</v>
      </c>
      <c r="M30" s="82" t="s">
        <v>478</v>
      </c>
    </row>
    <row r="31" spans="1:14" ht="72.5" hidden="1">
      <c r="A31" s="77" t="s">
        <v>196</v>
      </c>
      <c r="B31" s="78">
        <v>1876</v>
      </c>
      <c r="C31" s="79">
        <v>1</v>
      </c>
      <c r="D31" s="79"/>
      <c r="E31" s="79">
        <v>1</v>
      </c>
      <c r="F31" s="80" t="s">
        <v>479</v>
      </c>
      <c r="G31" s="79">
        <v>1</v>
      </c>
      <c r="H31" s="79">
        <v>1</v>
      </c>
      <c r="I31" s="79">
        <v>1</v>
      </c>
      <c r="J31" s="79">
        <v>1</v>
      </c>
      <c r="K31" s="81" t="s">
        <v>480</v>
      </c>
      <c r="L31" s="82" t="s">
        <v>481</v>
      </c>
      <c r="M31" s="82" t="s">
        <v>482</v>
      </c>
    </row>
    <row r="32" spans="1:14" ht="58" hidden="1">
      <c r="A32" s="77" t="s">
        <v>196</v>
      </c>
      <c r="B32" s="78">
        <v>1883</v>
      </c>
      <c r="C32" s="79">
        <v>0</v>
      </c>
      <c r="D32" s="79">
        <v>1885</v>
      </c>
      <c r="E32" s="79">
        <v>1</v>
      </c>
      <c r="F32" s="80" t="s">
        <v>483</v>
      </c>
      <c r="G32" s="79">
        <v>1</v>
      </c>
      <c r="H32" s="79">
        <v>1</v>
      </c>
      <c r="I32" s="79">
        <v>0</v>
      </c>
      <c r="J32" s="79">
        <v>1</v>
      </c>
      <c r="K32" s="81" t="s">
        <v>484</v>
      </c>
      <c r="L32" s="82" t="s">
        <v>485</v>
      </c>
      <c r="M32" s="82" t="s">
        <v>486</v>
      </c>
    </row>
    <row r="33" spans="1:13" ht="58" hidden="1">
      <c r="A33" s="77" t="s">
        <v>196</v>
      </c>
      <c r="B33" s="78">
        <v>1914</v>
      </c>
      <c r="C33" s="79"/>
      <c r="D33" s="79">
        <v>1</v>
      </c>
      <c r="E33" s="79">
        <v>1</v>
      </c>
      <c r="F33" s="80" t="s">
        <v>394</v>
      </c>
      <c r="G33" s="79">
        <v>1</v>
      </c>
      <c r="H33" s="79">
        <v>1</v>
      </c>
      <c r="I33" s="79">
        <v>1</v>
      </c>
      <c r="J33" s="79">
        <v>1</v>
      </c>
      <c r="K33" s="81" t="s">
        <v>487</v>
      </c>
      <c r="L33" s="82" t="s">
        <v>488</v>
      </c>
      <c r="M33" s="82" t="s">
        <v>489</v>
      </c>
    </row>
    <row r="34" spans="1:13" ht="116" hidden="1">
      <c r="A34" s="77" t="s">
        <v>196</v>
      </c>
      <c r="B34" s="78">
        <v>1925</v>
      </c>
      <c r="C34" s="79">
        <v>0</v>
      </c>
      <c r="D34" s="79">
        <v>1</v>
      </c>
      <c r="E34" s="79">
        <v>0</v>
      </c>
      <c r="F34" s="80"/>
      <c r="G34" s="79">
        <v>0</v>
      </c>
      <c r="H34" s="79">
        <v>0</v>
      </c>
      <c r="I34" s="79">
        <v>0</v>
      </c>
      <c r="J34" s="79">
        <v>0</v>
      </c>
      <c r="K34" s="81" t="s">
        <v>477</v>
      </c>
      <c r="M34" s="82" t="s">
        <v>490</v>
      </c>
    </row>
    <row r="35" spans="1:13" ht="87" hidden="1">
      <c r="A35" s="77" t="s">
        <v>196</v>
      </c>
      <c r="B35" s="78">
        <v>1929</v>
      </c>
      <c r="C35" s="79">
        <v>1</v>
      </c>
      <c r="D35" s="79" t="s">
        <v>491</v>
      </c>
      <c r="E35" s="79">
        <v>1</v>
      </c>
      <c r="F35" s="80" t="s">
        <v>464</v>
      </c>
      <c r="G35" s="79">
        <v>1</v>
      </c>
      <c r="H35" s="79">
        <v>1</v>
      </c>
      <c r="I35" s="79">
        <v>1</v>
      </c>
      <c r="J35" s="79">
        <v>1</v>
      </c>
      <c r="K35" s="81" t="s">
        <v>492</v>
      </c>
      <c r="L35" s="82" t="s">
        <v>493</v>
      </c>
      <c r="M35" s="82" t="s">
        <v>494</v>
      </c>
    </row>
    <row r="36" spans="1:13" ht="43.5" hidden="1">
      <c r="A36" s="77" t="s">
        <v>196</v>
      </c>
      <c r="B36" s="78">
        <v>1939</v>
      </c>
      <c r="C36" s="79"/>
      <c r="D36" s="79">
        <v>1</v>
      </c>
      <c r="E36" s="79">
        <v>1</v>
      </c>
      <c r="F36" s="80" t="s">
        <v>495</v>
      </c>
      <c r="G36" s="79">
        <v>1</v>
      </c>
      <c r="H36" s="79">
        <v>1</v>
      </c>
      <c r="I36" s="79">
        <v>1</v>
      </c>
      <c r="J36" s="79">
        <v>1</v>
      </c>
      <c r="K36" s="81" t="s">
        <v>496</v>
      </c>
      <c r="L36" s="82" t="s">
        <v>497</v>
      </c>
      <c r="M36" s="82" t="s">
        <v>498</v>
      </c>
    </row>
    <row r="37" spans="1:13" hidden="1">
      <c r="A37" s="77" t="s">
        <v>196</v>
      </c>
      <c r="B37" s="78">
        <v>1974</v>
      </c>
      <c r="C37" s="79">
        <v>1</v>
      </c>
      <c r="D37" s="79"/>
      <c r="E37" s="79">
        <v>0</v>
      </c>
      <c r="F37" s="80"/>
      <c r="G37" s="79">
        <v>0</v>
      </c>
      <c r="H37" s="79">
        <v>0</v>
      </c>
      <c r="I37" s="79">
        <v>0</v>
      </c>
      <c r="J37" s="79">
        <v>0</v>
      </c>
      <c r="M37" s="82" t="s">
        <v>434</v>
      </c>
    </row>
    <row r="38" spans="1:13" ht="43.5" hidden="1">
      <c r="A38" s="77" t="s">
        <v>196</v>
      </c>
      <c r="B38" s="78">
        <v>1980</v>
      </c>
      <c r="C38" s="79">
        <v>1</v>
      </c>
      <c r="D38" s="79"/>
      <c r="E38" s="79">
        <v>0</v>
      </c>
      <c r="F38" s="80"/>
      <c r="G38" s="79">
        <v>0</v>
      </c>
      <c r="H38" s="79">
        <v>0</v>
      </c>
      <c r="I38" s="79">
        <v>0</v>
      </c>
      <c r="J38" s="79">
        <v>0</v>
      </c>
      <c r="K38" s="81" t="s">
        <v>499</v>
      </c>
      <c r="L38" s="82" t="s">
        <v>500</v>
      </c>
      <c r="M38" s="82" t="s">
        <v>434</v>
      </c>
    </row>
    <row r="39" spans="1:13" hidden="1">
      <c r="A39" s="77" t="s">
        <v>196</v>
      </c>
      <c r="B39" s="78">
        <v>2002</v>
      </c>
      <c r="C39" s="79">
        <v>1</v>
      </c>
      <c r="D39" s="79"/>
      <c r="E39" s="79">
        <v>0</v>
      </c>
      <c r="F39" s="80"/>
      <c r="G39" s="79">
        <v>0</v>
      </c>
      <c r="H39" s="79">
        <v>0</v>
      </c>
      <c r="I39" s="79">
        <v>0</v>
      </c>
      <c r="J39" s="79">
        <v>0</v>
      </c>
      <c r="M39" s="82" t="s">
        <v>434</v>
      </c>
    </row>
    <row r="40" spans="1:13" ht="72.5" hidden="1">
      <c r="A40" s="77" t="s">
        <v>196</v>
      </c>
      <c r="B40" s="78">
        <v>2008</v>
      </c>
      <c r="C40" s="79">
        <v>1</v>
      </c>
      <c r="D40" s="79">
        <v>1</v>
      </c>
      <c r="E40" s="79">
        <v>1</v>
      </c>
      <c r="F40" s="80" t="s">
        <v>470</v>
      </c>
      <c r="G40" s="79">
        <v>1</v>
      </c>
      <c r="H40" s="79">
        <v>1</v>
      </c>
      <c r="I40" s="79">
        <v>1</v>
      </c>
      <c r="J40" s="79">
        <v>1</v>
      </c>
      <c r="K40" s="81" t="s">
        <v>501</v>
      </c>
      <c r="L40" s="82" t="s">
        <v>502</v>
      </c>
      <c r="M40" s="82" t="s">
        <v>473</v>
      </c>
    </row>
    <row r="41" spans="1:13" ht="58" hidden="1">
      <c r="A41" s="77" t="s">
        <v>196</v>
      </c>
      <c r="B41" s="78">
        <v>2011</v>
      </c>
      <c r="C41" s="79">
        <v>1</v>
      </c>
      <c r="D41" s="79"/>
      <c r="E41" s="79">
        <v>0</v>
      </c>
      <c r="F41" s="80"/>
      <c r="G41" s="79">
        <v>1</v>
      </c>
      <c r="H41" s="79">
        <v>0</v>
      </c>
      <c r="I41" s="79">
        <v>1</v>
      </c>
      <c r="J41" s="79">
        <v>1</v>
      </c>
      <c r="K41" s="81" t="s">
        <v>503</v>
      </c>
      <c r="L41" s="82" t="s">
        <v>504</v>
      </c>
      <c r="M41" s="82" t="s">
        <v>505</v>
      </c>
    </row>
    <row r="42" spans="1:13" ht="116" hidden="1">
      <c r="A42" s="77" t="s">
        <v>203</v>
      </c>
      <c r="B42" s="78">
        <v>1890</v>
      </c>
      <c r="C42" s="79">
        <v>0</v>
      </c>
      <c r="D42" s="79">
        <v>1</v>
      </c>
      <c r="E42" s="79">
        <v>1</v>
      </c>
      <c r="F42" s="83" t="s">
        <v>506</v>
      </c>
      <c r="G42" s="79">
        <v>1</v>
      </c>
      <c r="H42" s="79">
        <v>1</v>
      </c>
      <c r="I42" s="79">
        <v>0</v>
      </c>
      <c r="J42" s="79">
        <v>1</v>
      </c>
      <c r="K42" s="81" t="s">
        <v>507</v>
      </c>
      <c r="L42" s="82" t="s">
        <v>508</v>
      </c>
      <c r="M42" s="82" t="s">
        <v>509</v>
      </c>
    </row>
    <row r="43" spans="1:13" ht="43.5" hidden="1">
      <c r="A43" s="77" t="s">
        <v>203</v>
      </c>
      <c r="B43" s="78">
        <v>1897</v>
      </c>
      <c r="C43" s="79">
        <v>0</v>
      </c>
      <c r="D43" s="79">
        <v>1</v>
      </c>
      <c r="E43" s="79">
        <v>0</v>
      </c>
      <c r="F43" s="80"/>
      <c r="G43" s="79">
        <v>0</v>
      </c>
      <c r="H43" s="79">
        <v>0</v>
      </c>
      <c r="I43" s="79">
        <v>0</v>
      </c>
      <c r="J43" s="79">
        <v>0</v>
      </c>
      <c r="M43" s="82" t="s">
        <v>510</v>
      </c>
    </row>
    <row r="44" spans="1:13" ht="58" hidden="1">
      <c r="A44" s="77" t="s">
        <v>203</v>
      </c>
      <c r="B44" s="78">
        <v>1900</v>
      </c>
      <c r="C44" s="79">
        <v>0</v>
      </c>
      <c r="D44" s="79">
        <v>1</v>
      </c>
      <c r="E44" s="79">
        <v>1</v>
      </c>
      <c r="F44" s="80" t="s">
        <v>511</v>
      </c>
      <c r="G44" s="79">
        <v>1</v>
      </c>
      <c r="H44" s="79">
        <v>1</v>
      </c>
      <c r="I44" s="79">
        <v>0</v>
      </c>
      <c r="J44" s="79">
        <v>1</v>
      </c>
      <c r="K44" s="81" t="s">
        <v>512</v>
      </c>
      <c r="L44" s="82" t="s">
        <v>508</v>
      </c>
      <c r="M44" s="82" t="s">
        <v>513</v>
      </c>
    </row>
    <row r="45" spans="1:13" ht="58" hidden="1">
      <c r="A45" s="77" t="s">
        <v>203</v>
      </c>
      <c r="B45" s="78">
        <v>1914</v>
      </c>
      <c r="C45" s="79">
        <v>1</v>
      </c>
      <c r="D45" s="79">
        <v>1</v>
      </c>
      <c r="E45" s="79">
        <v>1</v>
      </c>
      <c r="F45" s="80" t="s">
        <v>394</v>
      </c>
      <c r="G45" s="79">
        <v>0</v>
      </c>
      <c r="H45" s="79">
        <v>1</v>
      </c>
      <c r="I45" s="79">
        <v>0</v>
      </c>
      <c r="J45" s="79">
        <v>1</v>
      </c>
      <c r="K45" s="81" t="s">
        <v>514</v>
      </c>
      <c r="M45" s="82" t="s">
        <v>515</v>
      </c>
    </row>
    <row r="46" spans="1:13" ht="87" hidden="1">
      <c r="A46" s="77" t="s">
        <v>203</v>
      </c>
      <c r="B46" s="78">
        <v>1923</v>
      </c>
      <c r="C46" s="79">
        <v>0</v>
      </c>
      <c r="D46" s="79">
        <v>1</v>
      </c>
      <c r="E46" s="79">
        <v>0</v>
      </c>
      <c r="F46" s="80"/>
      <c r="G46" s="79">
        <v>0</v>
      </c>
      <c r="H46" s="79">
        <v>0</v>
      </c>
      <c r="I46" s="79">
        <v>0</v>
      </c>
      <c r="J46" s="79">
        <v>0</v>
      </c>
      <c r="K46" s="81" t="s">
        <v>516</v>
      </c>
      <c r="L46" s="82" t="s">
        <v>517</v>
      </c>
      <c r="M46" s="82" t="s">
        <v>518</v>
      </c>
    </row>
    <row r="47" spans="1:13" ht="72.5" hidden="1">
      <c r="A47" s="77" t="s">
        <v>203</v>
      </c>
      <c r="B47" s="78">
        <v>1926</v>
      </c>
      <c r="C47" s="79">
        <v>0</v>
      </c>
      <c r="D47" s="79">
        <v>1</v>
      </c>
      <c r="E47" s="79">
        <v>0</v>
      </c>
      <c r="F47" s="80"/>
      <c r="G47" s="79">
        <v>0</v>
      </c>
      <c r="H47" s="79">
        <v>0</v>
      </c>
      <c r="I47" s="79">
        <v>0</v>
      </c>
      <c r="J47" s="79">
        <v>0</v>
      </c>
      <c r="M47" s="82" t="s">
        <v>519</v>
      </c>
    </row>
    <row r="48" spans="1:13" ht="130.5" hidden="1">
      <c r="A48" s="77" t="s">
        <v>203</v>
      </c>
      <c r="B48" s="78">
        <v>1929</v>
      </c>
      <c r="C48" s="79">
        <v>0</v>
      </c>
      <c r="D48" s="79">
        <v>1</v>
      </c>
      <c r="E48" s="79">
        <v>1</v>
      </c>
      <c r="F48" s="80" t="s">
        <v>520</v>
      </c>
      <c r="G48" s="79">
        <v>0</v>
      </c>
      <c r="H48" s="79">
        <v>1</v>
      </c>
      <c r="I48" s="79">
        <v>0</v>
      </c>
      <c r="J48" s="79">
        <v>1</v>
      </c>
      <c r="K48" s="81" t="s">
        <v>477</v>
      </c>
      <c r="M48" s="82" t="s">
        <v>521</v>
      </c>
    </row>
    <row r="49" spans="1:14" hidden="1">
      <c r="A49" s="77" t="s">
        <v>203</v>
      </c>
      <c r="B49" s="78">
        <v>1953</v>
      </c>
      <c r="C49" s="79">
        <v>1</v>
      </c>
      <c r="D49" s="79"/>
      <c r="E49" s="79">
        <v>0</v>
      </c>
      <c r="F49" s="80"/>
      <c r="G49" s="79">
        <v>0</v>
      </c>
      <c r="H49" s="79">
        <v>0</v>
      </c>
      <c r="I49" s="79">
        <v>0</v>
      </c>
      <c r="J49" s="79">
        <v>0</v>
      </c>
      <c r="M49" s="82" t="s">
        <v>434</v>
      </c>
    </row>
    <row r="50" spans="1:14" hidden="1">
      <c r="A50" s="77" t="s">
        <v>203</v>
      </c>
      <c r="B50" s="78">
        <v>1957</v>
      </c>
      <c r="C50" s="79">
        <v>1</v>
      </c>
      <c r="D50" s="79"/>
      <c r="E50" s="79">
        <v>0</v>
      </c>
      <c r="F50" s="80"/>
      <c r="G50" s="79">
        <v>0</v>
      </c>
      <c r="H50" s="79">
        <v>0</v>
      </c>
      <c r="I50" s="79">
        <v>0</v>
      </c>
      <c r="J50" s="79">
        <v>0</v>
      </c>
      <c r="M50" s="82" t="s">
        <v>434</v>
      </c>
    </row>
    <row r="51" spans="1:14" ht="72.5" hidden="1">
      <c r="A51" s="77" t="s">
        <v>203</v>
      </c>
      <c r="B51" s="78">
        <v>1962</v>
      </c>
      <c r="C51" s="79"/>
      <c r="D51" s="79">
        <v>1963</v>
      </c>
      <c r="E51" s="79">
        <v>0</v>
      </c>
      <c r="F51" s="80"/>
      <c r="G51" s="79">
        <v>0</v>
      </c>
      <c r="H51" s="79">
        <v>0</v>
      </c>
      <c r="I51" s="79">
        <v>0</v>
      </c>
      <c r="J51" s="79">
        <v>0</v>
      </c>
      <c r="M51" s="82" t="s">
        <v>522</v>
      </c>
    </row>
    <row r="52" spans="1:14" ht="87" hidden="1">
      <c r="A52" s="77" t="s">
        <v>203</v>
      </c>
      <c r="B52" s="78">
        <v>1985</v>
      </c>
      <c r="C52" s="79"/>
      <c r="D52" s="79">
        <v>1</v>
      </c>
      <c r="E52" s="79">
        <v>1</v>
      </c>
      <c r="F52" s="80" t="s">
        <v>523</v>
      </c>
      <c r="G52" s="79">
        <v>1</v>
      </c>
      <c r="H52" s="79">
        <v>1</v>
      </c>
      <c r="I52" s="79">
        <v>1</v>
      </c>
      <c r="J52" s="79">
        <v>1</v>
      </c>
      <c r="K52" s="81" t="s">
        <v>524</v>
      </c>
      <c r="L52" s="82" t="s">
        <v>525</v>
      </c>
      <c r="M52" s="86" t="s">
        <v>526</v>
      </c>
    </row>
    <row r="53" spans="1:14" ht="72.5" hidden="1">
      <c r="A53" s="77" t="s">
        <v>203</v>
      </c>
      <c r="B53" s="78">
        <v>1990</v>
      </c>
      <c r="C53" s="79"/>
      <c r="D53" s="79">
        <v>1</v>
      </c>
      <c r="E53" s="79">
        <v>1</v>
      </c>
      <c r="F53" s="80" t="s">
        <v>527</v>
      </c>
      <c r="G53" s="79">
        <v>0</v>
      </c>
      <c r="H53" s="79">
        <v>1</v>
      </c>
      <c r="I53" s="79">
        <v>0</v>
      </c>
      <c r="J53" s="79">
        <v>1</v>
      </c>
      <c r="K53" s="81" t="s">
        <v>477</v>
      </c>
      <c r="M53" s="82" t="s">
        <v>528</v>
      </c>
    </row>
    <row r="54" spans="1:14" ht="72.5" hidden="1">
      <c r="A54" s="77" t="s">
        <v>203</v>
      </c>
      <c r="B54" s="78">
        <v>1994</v>
      </c>
      <c r="C54" s="79"/>
      <c r="D54" s="79">
        <v>1</v>
      </c>
      <c r="E54" s="79">
        <v>1</v>
      </c>
      <c r="F54" s="80" t="s">
        <v>529</v>
      </c>
      <c r="G54" s="79">
        <v>1</v>
      </c>
      <c r="H54" s="79">
        <v>1</v>
      </c>
      <c r="I54" s="79">
        <v>1</v>
      </c>
      <c r="J54" s="79">
        <v>1</v>
      </c>
      <c r="K54" s="81" t="s">
        <v>530</v>
      </c>
      <c r="L54" s="82" t="s">
        <v>531</v>
      </c>
      <c r="M54" s="82" t="s">
        <v>532</v>
      </c>
    </row>
    <row r="55" spans="1:14" hidden="1">
      <c r="A55" s="77" t="s">
        <v>203</v>
      </c>
      <c r="B55" s="78">
        <v>1998</v>
      </c>
      <c r="C55" s="79">
        <v>1</v>
      </c>
      <c r="D55" s="79"/>
      <c r="E55" s="79">
        <v>0</v>
      </c>
      <c r="F55" s="80"/>
      <c r="G55" s="79">
        <v>0</v>
      </c>
      <c r="H55" s="79">
        <v>0</v>
      </c>
      <c r="I55" s="79">
        <v>0</v>
      </c>
      <c r="J55" s="79">
        <v>0</v>
      </c>
      <c r="M55" s="82" t="s">
        <v>434</v>
      </c>
    </row>
    <row r="56" spans="1:14" ht="101.5" hidden="1">
      <c r="A56" s="77" t="s">
        <v>203</v>
      </c>
      <c r="B56" s="78">
        <v>2008</v>
      </c>
      <c r="C56" s="79">
        <v>1</v>
      </c>
      <c r="D56" s="79"/>
      <c r="E56" s="79">
        <v>0</v>
      </c>
      <c r="F56" s="80"/>
      <c r="G56" s="79">
        <v>0</v>
      </c>
      <c r="H56" s="79">
        <v>0</v>
      </c>
      <c r="I56" s="79">
        <v>0</v>
      </c>
      <c r="J56" s="79">
        <v>0</v>
      </c>
      <c r="M56" s="82" t="s">
        <v>533</v>
      </c>
    </row>
    <row r="57" spans="1:14" hidden="1">
      <c r="A57" s="77" t="s">
        <v>203</v>
      </c>
      <c r="B57" s="78">
        <v>2012</v>
      </c>
      <c r="C57" s="79">
        <v>1</v>
      </c>
      <c r="D57" s="79"/>
      <c r="E57" s="79">
        <v>0</v>
      </c>
      <c r="F57" s="80"/>
      <c r="G57" s="79">
        <v>0</v>
      </c>
      <c r="H57" s="79">
        <v>0</v>
      </c>
      <c r="I57" s="79">
        <v>0</v>
      </c>
      <c r="J57" s="79">
        <v>0</v>
      </c>
      <c r="M57" s="82" t="s">
        <v>434</v>
      </c>
    </row>
    <row r="58" spans="1:14" ht="406" hidden="1">
      <c r="A58" s="77" t="s">
        <v>534</v>
      </c>
      <c r="B58" s="78">
        <v>1873</v>
      </c>
      <c r="C58" s="79">
        <v>0</v>
      </c>
      <c r="D58" s="79">
        <v>1</v>
      </c>
      <c r="E58" s="79">
        <v>1</v>
      </c>
      <c r="F58" s="80" t="s">
        <v>535</v>
      </c>
      <c r="G58" s="79">
        <v>1</v>
      </c>
      <c r="H58" s="79">
        <v>1</v>
      </c>
      <c r="I58" s="79">
        <v>0</v>
      </c>
      <c r="J58" s="79">
        <v>1</v>
      </c>
      <c r="K58" s="81" t="s">
        <v>536</v>
      </c>
      <c r="L58" s="82" t="s">
        <v>537</v>
      </c>
      <c r="M58" s="82" t="s">
        <v>538</v>
      </c>
      <c r="N58" s="81" t="s">
        <v>539</v>
      </c>
    </row>
    <row r="59" spans="1:14" ht="116" hidden="1">
      <c r="A59" s="77" t="s">
        <v>534</v>
      </c>
      <c r="B59" s="78">
        <v>1906</v>
      </c>
      <c r="C59" s="79">
        <v>0</v>
      </c>
      <c r="D59" s="79">
        <v>1</v>
      </c>
      <c r="E59" s="79">
        <v>0</v>
      </c>
      <c r="F59" s="80"/>
      <c r="G59" s="79">
        <v>0</v>
      </c>
      <c r="H59" s="79">
        <v>0</v>
      </c>
      <c r="I59" s="79">
        <v>0</v>
      </c>
      <c r="J59" s="79">
        <v>0</v>
      </c>
      <c r="K59" s="81" t="s">
        <v>540</v>
      </c>
      <c r="M59" s="82" t="s">
        <v>541</v>
      </c>
    </row>
    <row r="60" spans="1:14" ht="116" hidden="1">
      <c r="A60" s="77" t="s">
        <v>534</v>
      </c>
      <c r="B60" s="78">
        <v>1907</v>
      </c>
      <c r="C60" s="79">
        <v>0</v>
      </c>
      <c r="D60" s="79">
        <v>1</v>
      </c>
      <c r="E60" s="79">
        <v>0</v>
      </c>
      <c r="F60" s="80"/>
      <c r="G60" s="79">
        <v>1</v>
      </c>
      <c r="H60" s="79">
        <v>0</v>
      </c>
      <c r="I60" s="79">
        <v>0</v>
      </c>
      <c r="J60" s="79">
        <v>0</v>
      </c>
      <c r="K60" s="81" t="s">
        <v>542</v>
      </c>
      <c r="L60" s="82" t="s">
        <v>543</v>
      </c>
      <c r="M60" s="82" t="s">
        <v>544</v>
      </c>
      <c r="N60" s="81" t="s">
        <v>545</v>
      </c>
    </row>
    <row r="61" spans="1:14" ht="145" hidden="1">
      <c r="A61" s="77" t="s">
        <v>534</v>
      </c>
      <c r="B61" s="78">
        <v>1912</v>
      </c>
      <c r="C61" s="79">
        <v>0</v>
      </c>
      <c r="D61" s="79">
        <v>1</v>
      </c>
      <c r="E61" s="79">
        <v>0</v>
      </c>
      <c r="F61" s="80"/>
      <c r="G61" s="79">
        <v>0</v>
      </c>
      <c r="H61" s="79">
        <v>0</v>
      </c>
      <c r="I61" s="79">
        <v>0</v>
      </c>
      <c r="J61" s="79">
        <v>0</v>
      </c>
      <c r="K61" s="81" t="s">
        <v>546</v>
      </c>
      <c r="M61" s="82" t="s">
        <v>547</v>
      </c>
      <c r="N61" s="81" t="s">
        <v>548</v>
      </c>
    </row>
    <row r="62" spans="1:14" ht="116" hidden="1">
      <c r="A62" s="77" t="s">
        <v>534</v>
      </c>
      <c r="B62" s="78">
        <v>1920</v>
      </c>
      <c r="C62" s="79">
        <v>1</v>
      </c>
      <c r="D62" s="79">
        <v>1923</v>
      </c>
      <c r="E62" s="79">
        <v>1</v>
      </c>
      <c r="F62" s="80" t="s">
        <v>549</v>
      </c>
      <c r="G62" s="79">
        <v>1</v>
      </c>
      <c r="H62" s="79">
        <v>1</v>
      </c>
      <c r="I62" s="79">
        <v>1</v>
      </c>
      <c r="J62" s="79">
        <v>1</v>
      </c>
      <c r="K62" s="81" t="s">
        <v>550</v>
      </c>
      <c r="L62" s="82" t="s">
        <v>551</v>
      </c>
      <c r="M62" s="82" t="s">
        <v>552</v>
      </c>
      <c r="N62" s="81" t="s">
        <v>553</v>
      </c>
    </row>
    <row r="63" spans="1:14" ht="72.5" hidden="1">
      <c r="A63" s="77" t="s">
        <v>534</v>
      </c>
      <c r="B63" s="78">
        <v>1932</v>
      </c>
      <c r="C63" s="79">
        <v>1</v>
      </c>
      <c r="D63" s="79"/>
      <c r="E63" s="79">
        <v>0</v>
      </c>
      <c r="F63" s="80"/>
      <c r="G63" s="79">
        <v>0</v>
      </c>
      <c r="H63" s="79">
        <v>0</v>
      </c>
      <c r="I63" s="79">
        <v>0</v>
      </c>
      <c r="J63" s="79">
        <v>0</v>
      </c>
      <c r="K63" s="81" t="s">
        <v>554</v>
      </c>
      <c r="M63" s="82" t="s">
        <v>555</v>
      </c>
      <c r="N63" s="81" t="s">
        <v>556</v>
      </c>
    </row>
    <row r="64" spans="1:14" hidden="1">
      <c r="A64" s="77" t="s">
        <v>534</v>
      </c>
      <c r="B64" s="78">
        <v>1974</v>
      </c>
      <c r="C64" s="79">
        <v>1</v>
      </c>
      <c r="D64" s="79"/>
      <c r="E64" s="79">
        <v>0</v>
      </c>
      <c r="F64" s="80"/>
      <c r="G64" s="79">
        <v>0</v>
      </c>
      <c r="H64" s="79">
        <v>0</v>
      </c>
      <c r="I64" s="79">
        <v>0</v>
      </c>
      <c r="J64" s="79">
        <v>0</v>
      </c>
      <c r="M64" s="82" t="s">
        <v>434</v>
      </c>
    </row>
    <row r="65" spans="1:14" ht="87" hidden="1">
      <c r="A65" s="77" t="s">
        <v>534</v>
      </c>
      <c r="B65" s="78">
        <v>1982</v>
      </c>
      <c r="C65" s="79">
        <v>0</v>
      </c>
      <c r="D65" s="79">
        <v>1</v>
      </c>
      <c r="E65" s="79">
        <v>1</v>
      </c>
      <c r="F65" s="80" t="s">
        <v>557</v>
      </c>
      <c r="G65" s="79">
        <v>1</v>
      </c>
      <c r="H65" s="79">
        <v>1</v>
      </c>
      <c r="I65" s="79">
        <v>0</v>
      </c>
      <c r="J65" s="79">
        <v>1</v>
      </c>
      <c r="K65" s="81" t="s">
        <v>558</v>
      </c>
      <c r="L65" s="82" t="s">
        <v>559</v>
      </c>
      <c r="M65" s="82" t="s">
        <v>560</v>
      </c>
      <c r="N65" s="81" t="s">
        <v>561</v>
      </c>
    </row>
    <row r="66" spans="1:14" ht="29" hidden="1">
      <c r="A66" s="77" t="s">
        <v>534</v>
      </c>
      <c r="B66" s="78">
        <v>2008</v>
      </c>
      <c r="C66" s="79">
        <v>1</v>
      </c>
      <c r="D66" s="79"/>
      <c r="E66" s="79">
        <v>0</v>
      </c>
      <c r="F66" s="80"/>
      <c r="G66" s="79">
        <v>0</v>
      </c>
      <c r="H66" s="79">
        <v>0</v>
      </c>
      <c r="I66" s="79">
        <v>0</v>
      </c>
      <c r="J66" s="79">
        <v>0</v>
      </c>
      <c r="M66" s="82" t="s">
        <v>562</v>
      </c>
    </row>
    <row r="67" spans="1:14" ht="72.5" hidden="1">
      <c r="A67" s="77" t="s">
        <v>213</v>
      </c>
      <c r="B67" s="78">
        <v>1878</v>
      </c>
      <c r="C67" s="79"/>
      <c r="D67" s="79"/>
      <c r="E67" s="79">
        <v>1</v>
      </c>
      <c r="F67" s="80" t="s">
        <v>563</v>
      </c>
      <c r="G67" s="79">
        <v>1</v>
      </c>
      <c r="H67" s="79">
        <v>1</v>
      </c>
      <c r="I67" s="79">
        <v>1</v>
      </c>
      <c r="J67" s="79">
        <v>1</v>
      </c>
      <c r="K67" s="81" t="s">
        <v>564</v>
      </c>
      <c r="L67" s="82" t="s">
        <v>565</v>
      </c>
      <c r="M67" s="82" t="s">
        <v>566</v>
      </c>
      <c r="N67" s="81" t="s">
        <v>567</v>
      </c>
    </row>
    <row r="68" spans="1:14" ht="72.5" hidden="1">
      <c r="A68" s="77" t="s">
        <v>213</v>
      </c>
      <c r="B68" s="78">
        <v>1889</v>
      </c>
      <c r="C68" s="79">
        <v>0</v>
      </c>
      <c r="D68" s="79">
        <v>1</v>
      </c>
      <c r="E68" s="79">
        <v>0</v>
      </c>
      <c r="F68" s="80"/>
      <c r="G68" s="79">
        <v>0</v>
      </c>
      <c r="H68" s="79">
        <v>0</v>
      </c>
      <c r="I68" s="79">
        <v>0</v>
      </c>
      <c r="J68" s="79">
        <v>0</v>
      </c>
      <c r="N68" s="82" t="s">
        <v>568</v>
      </c>
    </row>
    <row r="69" spans="1:14" ht="29" hidden="1">
      <c r="A69" s="77" t="s">
        <v>213</v>
      </c>
      <c r="B69" s="78">
        <v>1898</v>
      </c>
      <c r="C69" s="79">
        <v>0</v>
      </c>
      <c r="D69" s="79">
        <v>1</v>
      </c>
      <c r="E69" s="79">
        <v>1</v>
      </c>
      <c r="F69" s="80" t="s">
        <v>569</v>
      </c>
      <c r="G69" s="79">
        <v>1</v>
      </c>
      <c r="H69" s="79">
        <v>1</v>
      </c>
      <c r="I69" s="79">
        <v>0</v>
      </c>
      <c r="J69" s="79">
        <v>1</v>
      </c>
      <c r="K69" s="81" t="s">
        <v>570</v>
      </c>
      <c r="L69" s="82" t="s">
        <v>565</v>
      </c>
      <c r="M69" s="82" t="s">
        <v>571</v>
      </c>
      <c r="N69" s="81" t="s">
        <v>572</v>
      </c>
    </row>
    <row r="70" spans="1:14" ht="58" hidden="1">
      <c r="A70" s="77" t="s">
        <v>213</v>
      </c>
      <c r="B70" s="78">
        <v>1907</v>
      </c>
      <c r="C70" s="79"/>
      <c r="D70" s="79">
        <v>1</v>
      </c>
      <c r="E70" s="79">
        <v>1</v>
      </c>
      <c r="F70" s="80" t="s">
        <v>573</v>
      </c>
      <c r="G70" s="79">
        <v>1</v>
      </c>
      <c r="H70" s="79">
        <v>1</v>
      </c>
      <c r="I70" s="79">
        <v>1</v>
      </c>
      <c r="J70" s="79">
        <v>1</v>
      </c>
      <c r="K70" s="81" t="s">
        <v>574</v>
      </c>
      <c r="L70" s="82" t="s">
        <v>575</v>
      </c>
      <c r="M70" s="82" t="s">
        <v>576</v>
      </c>
      <c r="N70" s="81" t="s">
        <v>577</v>
      </c>
    </row>
    <row r="71" spans="1:14" ht="58" hidden="1">
      <c r="A71" s="77" t="s">
        <v>213</v>
      </c>
      <c r="B71" s="78">
        <v>1914</v>
      </c>
      <c r="C71" s="79"/>
      <c r="D71" s="79">
        <v>1</v>
      </c>
      <c r="E71" s="79">
        <v>1</v>
      </c>
      <c r="F71" s="80" t="s">
        <v>394</v>
      </c>
      <c r="G71" s="79">
        <v>0</v>
      </c>
      <c r="H71" s="79">
        <v>1</v>
      </c>
      <c r="I71" s="79">
        <v>0</v>
      </c>
      <c r="J71" s="79">
        <v>1</v>
      </c>
      <c r="K71" s="81" t="s">
        <v>578</v>
      </c>
      <c r="L71" s="87" t="s">
        <v>579</v>
      </c>
      <c r="M71" s="82" t="s">
        <v>580</v>
      </c>
      <c r="N71" s="81" t="s">
        <v>581</v>
      </c>
    </row>
    <row r="72" spans="1:14" ht="72.5" hidden="1">
      <c r="A72" s="77" t="s">
        <v>213</v>
      </c>
      <c r="B72" s="78">
        <v>1925</v>
      </c>
      <c r="C72" s="79"/>
      <c r="D72" s="79">
        <v>1</v>
      </c>
      <c r="E72" s="79">
        <v>1</v>
      </c>
      <c r="F72" s="80" t="s">
        <v>582</v>
      </c>
      <c r="G72" s="79">
        <v>1</v>
      </c>
      <c r="H72" s="79">
        <v>1</v>
      </c>
      <c r="I72" s="79">
        <v>1</v>
      </c>
      <c r="J72" s="79">
        <v>1</v>
      </c>
      <c r="K72" s="81" t="s">
        <v>583</v>
      </c>
      <c r="L72" s="82" t="s">
        <v>584</v>
      </c>
      <c r="M72" s="82" t="s">
        <v>585</v>
      </c>
      <c r="N72" s="81" t="s">
        <v>586</v>
      </c>
    </row>
    <row r="73" spans="1:14" ht="43.5" hidden="1">
      <c r="A73" s="77" t="s">
        <v>213</v>
      </c>
      <c r="B73" s="78">
        <v>1931</v>
      </c>
      <c r="C73" s="79">
        <v>1</v>
      </c>
      <c r="D73" s="79"/>
      <c r="E73" s="79">
        <v>1</v>
      </c>
      <c r="F73" s="80" t="s">
        <v>520</v>
      </c>
      <c r="G73" s="79">
        <v>1</v>
      </c>
      <c r="H73" s="79">
        <v>1</v>
      </c>
      <c r="I73" s="79">
        <v>1</v>
      </c>
      <c r="J73" s="79">
        <v>1</v>
      </c>
      <c r="K73" s="81" t="s">
        <v>587</v>
      </c>
      <c r="L73" s="82" t="s">
        <v>588</v>
      </c>
      <c r="M73" s="82" t="s">
        <v>589</v>
      </c>
      <c r="N73" s="81" t="s">
        <v>590</v>
      </c>
    </row>
    <row r="74" spans="1:14" hidden="1">
      <c r="A74" s="77" t="s">
        <v>213</v>
      </c>
      <c r="B74" s="78">
        <v>1954</v>
      </c>
      <c r="C74" s="79">
        <v>1</v>
      </c>
      <c r="D74" s="79"/>
      <c r="E74" s="79">
        <v>0</v>
      </c>
      <c r="F74" s="80"/>
      <c r="G74" s="79">
        <v>0</v>
      </c>
      <c r="H74" s="79">
        <v>0</v>
      </c>
      <c r="I74" s="79">
        <v>0</v>
      </c>
      <c r="J74" s="79">
        <v>0</v>
      </c>
      <c r="M74" s="82" t="s">
        <v>434</v>
      </c>
    </row>
    <row r="75" spans="1:14" ht="43.5" hidden="1">
      <c r="A75" s="77" t="s">
        <v>213</v>
      </c>
      <c r="B75" s="78">
        <v>1962</v>
      </c>
      <c r="C75" s="79">
        <v>1</v>
      </c>
      <c r="D75" s="79"/>
      <c r="E75" s="79">
        <v>0</v>
      </c>
      <c r="F75" s="80"/>
      <c r="G75" s="79">
        <v>0</v>
      </c>
      <c r="H75" s="79">
        <v>0</v>
      </c>
      <c r="I75" s="79">
        <v>0</v>
      </c>
      <c r="J75" s="79">
        <v>0</v>
      </c>
      <c r="M75" s="82" t="s">
        <v>591</v>
      </c>
    </row>
    <row r="76" spans="1:14" ht="43.5" hidden="1">
      <c r="A76" s="77" t="s">
        <v>213</v>
      </c>
      <c r="B76" s="78">
        <v>1970</v>
      </c>
      <c r="C76" s="79">
        <v>1</v>
      </c>
      <c r="D76" s="79"/>
      <c r="E76" s="79">
        <v>0</v>
      </c>
      <c r="F76" s="80"/>
      <c r="G76" s="79">
        <v>0</v>
      </c>
      <c r="H76" s="79">
        <v>0</v>
      </c>
      <c r="I76" s="79">
        <v>0</v>
      </c>
      <c r="J76" s="79">
        <v>0</v>
      </c>
      <c r="M76" s="82" t="s">
        <v>592</v>
      </c>
    </row>
    <row r="77" spans="1:14" ht="43.5" hidden="1">
      <c r="A77" s="77" t="s">
        <v>213</v>
      </c>
      <c r="B77" s="78">
        <v>1976</v>
      </c>
      <c r="C77" s="79">
        <v>0</v>
      </c>
      <c r="D77" s="79">
        <v>1</v>
      </c>
      <c r="E77" s="79">
        <v>1</v>
      </c>
      <c r="F77" s="80" t="s">
        <v>593</v>
      </c>
      <c r="G77" s="79">
        <v>1</v>
      </c>
      <c r="H77" s="79">
        <v>1</v>
      </c>
      <c r="I77" s="79">
        <v>0</v>
      </c>
      <c r="J77" s="79">
        <v>1</v>
      </c>
      <c r="K77" s="81" t="s">
        <v>594</v>
      </c>
      <c r="L77" s="82" t="s">
        <v>595</v>
      </c>
      <c r="M77" s="82" t="s">
        <v>596</v>
      </c>
      <c r="N77" s="81" t="s">
        <v>597</v>
      </c>
    </row>
    <row r="78" spans="1:14" ht="72.5" hidden="1">
      <c r="A78" s="77" t="s">
        <v>213</v>
      </c>
      <c r="B78" s="78">
        <v>1982</v>
      </c>
      <c r="C78" s="79">
        <v>1</v>
      </c>
      <c r="D78" s="79">
        <v>1980</v>
      </c>
      <c r="E78" s="79">
        <v>1</v>
      </c>
      <c r="F78" s="80" t="s">
        <v>598</v>
      </c>
      <c r="G78" s="79">
        <v>1</v>
      </c>
      <c r="H78" s="79">
        <v>1</v>
      </c>
      <c r="I78" s="79">
        <v>1</v>
      </c>
      <c r="J78" s="79">
        <v>1</v>
      </c>
      <c r="K78" s="81" t="s">
        <v>599</v>
      </c>
      <c r="L78" s="82" t="s">
        <v>600</v>
      </c>
      <c r="M78" s="82" t="s">
        <v>601</v>
      </c>
      <c r="N78" s="81" t="s">
        <v>602</v>
      </c>
    </row>
    <row r="79" spans="1:14" hidden="1">
      <c r="A79" s="77" t="s">
        <v>213</v>
      </c>
      <c r="B79" s="78">
        <v>1998</v>
      </c>
      <c r="C79" s="79">
        <v>1</v>
      </c>
      <c r="D79" s="79"/>
      <c r="E79" s="79">
        <v>0</v>
      </c>
      <c r="F79" s="80"/>
      <c r="G79" s="79">
        <v>0</v>
      </c>
      <c r="H79" s="79">
        <v>0</v>
      </c>
      <c r="I79" s="79">
        <v>0</v>
      </c>
      <c r="J79" s="79">
        <v>0</v>
      </c>
      <c r="M79" s="82" t="s">
        <v>434</v>
      </c>
    </row>
    <row r="80" spans="1:14" ht="116" hidden="1">
      <c r="A80" s="77" t="s">
        <v>216</v>
      </c>
      <c r="B80" s="78">
        <v>1931</v>
      </c>
      <c r="C80" s="79">
        <v>1</v>
      </c>
      <c r="D80" s="79"/>
      <c r="E80" s="79">
        <v>1</v>
      </c>
      <c r="F80" s="80" t="s">
        <v>603</v>
      </c>
      <c r="G80" s="79">
        <v>0</v>
      </c>
      <c r="H80" s="79">
        <v>1</v>
      </c>
      <c r="I80" s="79">
        <v>0</v>
      </c>
      <c r="J80" s="79">
        <v>1</v>
      </c>
      <c r="K80" s="81" t="s">
        <v>604</v>
      </c>
      <c r="M80" s="82" t="s">
        <v>605</v>
      </c>
      <c r="N80" s="81" t="s">
        <v>606</v>
      </c>
    </row>
    <row r="81" spans="1:14" hidden="1">
      <c r="A81" s="77" t="s">
        <v>216</v>
      </c>
      <c r="B81" s="78">
        <v>1972</v>
      </c>
      <c r="C81" s="79">
        <v>1</v>
      </c>
      <c r="D81" s="79"/>
      <c r="E81" s="79">
        <v>0</v>
      </c>
      <c r="F81" s="80"/>
      <c r="G81" s="79">
        <v>0</v>
      </c>
      <c r="H81" s="79">
        <v>0</v>
      </c>
      <c r="I81" s="79">
        <v>0</v>
      </c>
      <c r="J81" s="79">
        <v>0</v>
      </c>
      <c r="M81" s="82" t="s">
        <v>434</v>
      </c>
    </row>
    <row r="82" spans="1:14" ht="72.5" hidden="1">
      <c r="A82" s="77" t="s">
        <v>216</v>
      </c>
      <c r="B82" s="78">
        <v>1982</v>
      </c>
      <c r="C82" s="79">
        <v>1</v>
      </c>
      <c r="D82" s="79">
        <v>1</v>
      </c>
      <c r="E82" s="79">
        <v>0</v>
      </c>
      <c r="F82" s="80"/>
      <c r="G82" s="79">
        <v>1</v>
      </c>
      <c r="H82" s="79">
        <v>0</v>
      </c>
      <c r="I82" s="79">
        <v>1</v>
      </c>
      <c r="J82" s="79">
        <v>1</v>
      </c>
      <c r="K82" s="81" t="s">
        <v>607</v>
      </c>
      <c r="L82" s="82" t="s">
        <v>608</v>
      </c>
      <c r="M82" s="82" t="s">
        <v>609</v>
      </c>
      <c r="N82" s="81" t="s">
        <v>610</v>
      </c>
    </row>
    <row r="83" spans="1:14" ht="58" hidden="1">
      <c r="A83" s="77" t="s">
        <v>216</v>
      </c>
      <c r="B83" s="78">
        <v>1998</v>
      </c>
      <c r="C83" s="79">
        <v>1</v>
      </c>
      <c r="D83" s="79">
        <v>1</v>
      </c>
      <c r="E83" s="79">
        <v>1</v>
      </c>
      <c r="F83" s="80" t="s">
        <v>611</v>
      </c>
      <c r="G83" s="79">
        <v>1</v>
      </c>
      <c r="H83" s="79">
        <v>1</v>
      </c>
      <c r="I83" s="79">
        <v>1</v>
      </c>
      <c r="J83" s="79">
        <v>1</v>
      </c>
      <c r="K83" s="81" t="s">
        <v>612</v>
      </c>
      <c r="L83" s="82" t="s">
        <v>613</v>
      </c>
      <c r="M83" s="82" t="s">
        <v>614</v>
      </c>
      <c r="N83" s="81" t="s">
        <v>615</v>
      </c>
    </row>
    <row r="84" spans="1:14" ht="101.5" hidden="1">
      <c r="A84" s="77" t="s">
        <v>216</v>
      </c>
      <c r="B84" s="78">
        <v>2008</v>
      </c>
      <c r="C84" s="79">
        <v>1</v>
      </c>
      <c r="D84" s="79"/>
      <c r="E84" s="79">
        <v>0</v>
      </c>
      <c r="F84" s="80"/>
      <c r="G84" s="79">
        <v>0</v>
      </c>
      <c r="H84" s="79">
        <v>0</v>
      </c>
      <c r="I84" s="79">
        <v>0</v>
      </c>
      <c r="J84" s="79">
        <v>0</v>
      </c>
      <c r="M84" s="82" t="s">
        <v>616</v>
      </c>
    </row>
    <row r="85" spans="1:14" ht="87" hidden="1">
      <c r="A85" s="77" t="s">
        <v>617</v>
      </c>
      <c r="B85" s="78">
        <v>1923</v>
      </c>
      <c r="C85" s="79"/>
      <c r="D85" s="79"/>
      <c r="E85" s="79">
        <v>1</v>
      </c>
      <c r="F85" s="80" t="s">
        <v>618</v>
      </c>
      <c r="G85" s="79">
        <v>1</v>
      </c>
      <c r="H85" s="79">
        <v>1</v>
      </c>
      <c r="I85" s="79">
        <v>1</v>
      </c>
      <c r="J85" s="79">
        <v>1</v>
      </c>
      <c r="K85" s="81" t="s">
        <v>619</v>
      </c>
      <c r="L85" s="82" t="s">
        <v>620</v>
      </c>
      <c r="M85" s="82" t="s">
        <v>621</v>
      </c>
    </row>
    <row r="86" spans="1:14" ht="29" hidden="1">
      <c r="A86" s="77" t="s">
        <v>617</v>
      </c>
      <c r="B86" s="78">
        <v>1931</v>
      </c>
      <c r="C86" s="79">
        <v>0</v>
      </c>
      <c r="D86" s="79">
        <v>1</v>
      </c>
      <c r="E86" s="79">
        <v>0</v>
      </c>
      <c r="F86" s="80"/>
      <c r="G86" s="79">
        <v>0</v>
      </c>
      <c r="H86" s="79">
        <v>0</v>
      </c>
      <c r="I86" s="79">
        <v>0</v>
      </c>
      <c r="J86" s="79">
        <v>0</v>
      </c>
      <c r="M86" s="82" t="s">
        <v>622</v>
      </c>
      <c r="N86" s="81" t="s">
        <v>623</v>
      </c>
    </row>
    <row r="87" spans="1:14" ht="43.5" hidden="1">
      <c r="A87" s="77" t="s">
        <v>617</v>
      </c>
      <c r="B87" s="78">
        <v>1991</v>
      </c>
      <c r="C87" s="79"/>
      <c r="D87" s="79">
        <v>1</v>
      </c>
      <c r="E87" s="79">
        <v>1</v>
      </c>
      <c r="F87" s="83" t="s">
        <v>624</v>
      </c>
      <c r="G87" s="79">
        <v>1</v>
      </c>
      <c r="H87" s="79">
        <v>1</v>
      </c>
      <c r="I87" s="79">
        <v>1</v>
      </c>
      <c r="J87" s="79">
        <v>1</v>
      </c>
      <c r="K87" s="81" t="s">
        <v>625</v>
      </c>
      <c r="L87" s="81" t="s">
        <v>626</v>
      </c>
      <c r="M87" s="82" t="s">
        <v>627</v>
      </c>
      <c r="N87" s="81" t="s">
        <v>628</v>
      </c>
    </row>
    <row r="88" spans="1:14" ht="43.5" hidden="1">
      <c r="A88" s="77" t="s">
        <v>617</v>
      </c>
      <c r="B88" s="78">
        <v>1995</v>
      </c>
      <c r="C88" s="79">
        <v>1</v>
      </c>
      <c r="D88" s="79">
        <v>1996</v>
      </c>
      <c r="E88" s="79">
        <v>1</v>
      </c>
      <c r="F88" s="83" t="s">
        <v>629</v>
      </c>
      <c r="G88" s="79">
        <v>1</v>
      </c>
      <c r="H88" s="79">
        <v>1</v>
      </c>
      <c r="I88" s="79">
        <v>1</v>
      </c>
      <c r="J88" s="79">
        <v>1</v>
      </c>
      <c r="K88" s="81" t="s">
        <v>630</v>
      </c>
      <c r="L88" s="82" t="s">
        <v>631</v>
      </c>
      <c r="M88" s="81" t="s">
        <v>632</v>
      </c>
      <c r="N88" s="82" t="s">
        <v>633</v>
      </c>
    </row>
    <row r="89" spans="1:14" ht="72.5" hidden="1">
      <c r="A89" s="77" t="s">
        <v>226</v>
      </c>
      <c r="B89" s="78">
        <v>1877</v>
      </c>
      <c r="C89" s="79">
        <v>0</v>
      </c>
      <c r="D89" s="79">
        <v>1</v>
      </c>
      <c r="E89" s="79">
        <v>1</v>
      </c>
      <c r="F89" s="80" t="s">
        <v>483</v>
      </c>
      <c r="G89" s="79">
        <v>1</v>
      </c>
      <c r="H89" s="79">
        <v>1</v>
      </c>
      <c r="I89" s="79">
        <v>0</v>
      </c>
      <c r="J89" s="79">
        <v>1</v>
      </c>
      <c r="K89" s="81" t="s">
        <v>634</v>
      </c>
      <c r="L89" s="82" t="s">
        <v>635</v>
      </c>
      <c r="M89" s="82" t="s">
        <v>636</v>
      </c>
    </row>
    <row r="90" spans="1:14" ht="87" hidden="1">
      <c r="A90" s="77" t="s">
        <v>226</v>
      </c>
      <c r="B90" s="78">
        <v>1885</v>
      </c>
      <c r="C90" s="79">
        <v>0</v>
      </c>
      <c r="D90" s="79">
        <v>1</v>
      </c>
      <c r="E90" s="79">
        <v>1</v>
      </c>
      <c r="F90" s="80" t="s">
        <v>637</v>
      </c>
      <c r="G90" s="79">
        <v>1</v>
      </c>
      <c r="H90" s="79">
        <v>1</v>
      </c>
      <c r="I90" s="79">
        <v>0</v>
      </c>
      <c r="J90" s="79">
        <v>1</v>
      </c>
      <c r="K90" s="81" t="s">
        <v>638</v>
      </c>
      <c r="L90" s="82" t="s">
        <v>639</v>
      </c>
      <c r="M90" s="82" t="s">
        <v>640</v>
      </c>
    </row>
    <row r="91" spans="1:14" ht="72.5" hidden="1">
      <c r="A91" s="77" t="s">
        <v>226</v>
      </c>
      <c r="B91" s="78">
        <v>1902</v>
      </c>
      <c r="C91" s="79">
        <v>0</v>
      </c>
      <c r="D91" s="79">
        <v>1</v>
      </c>
      <c r="E91" s="79">
        <v>0</v>
      </c>
      <c r="F91" s="80"/>
      <c r="G91" s="79">
        <v>0</v>
      </c>
      <c r="H91" s="79">
        <v>0</v>
      </c>
      <c r="I91" s="79">
        <v>0</v>
      </c>
      <c r="J91" s="79">
        <v>0</v>
      </c>
      <c r="N91" s="82" t="s">
        <v>641</v>
      </c>
    </row>
    <row r="92" spans="1:14" ht="72.5" hidden="1">
      <c r="A92" s="77" t="s">
        <v>226</v>
      </c>
      <c r="B92" s="78">
        <v>1907</v>
      </c>
      <c r="C92" s="79">
        <v>0</v>
      </c>
      <c r="D92" s="79">
        <v>1</v>
      </c>
      <c r="E92" s="79">
        <v>1</v>
      </c>
      <c r="F92" s="80" t="s">
        <v>642</v>
      </c>
      <c r="G92" s="79">
        <v>1</v>
      </c>
      <c r="H92" s="79">
        <v>1</v>
      </c>
      <c r="I92" s="79">
        <v>0</v>
      </c>
      <c r="J92" s="79">
        <v>1</v>
      </c>
      <c r="K92" s="81" t="s">
        <v>643</v>
      </c>
      <c r="L92" s="82" t="s">
        <v>644</v>
      </c>
      <c r="M92" s="82" t="s">
        <v>645</v>
      </c>
    </row>
    <row r="93" spans="1:14" ht="72.5" hidden="1">
      <c r="A93" s="77" t="s">
        <v>226</v>
      </c>
      <c r="B93" s="78">
        <v>1914</v>
      </c>
      <c r="C93" s="79"/>
      <c r="D93" s="79">
        <v>1</v>
      </c>
      <c r="E93" s="79">
        <v>0</v>
      </c>
      <c r="F93" s="80"/>
      <c r="G93" s="79">
        <v>0</v>
      </c>
      <c r="H93" s="79">
        <v>0</v>
      </c>
      <c r="I93" s="79">
        <v>0</v>
      </c>
      <c r="J93" s="79">
        <v>0</v>
      </c>
      <c r="K93" s="81" t="s">
        <v>646</v>
      </c>
      <c r="L93" s="82" t="s">
        <v>647</v>
      </c>
      <c r="M93" s="82" t="s">
        <v>648</v>
      </c>
      <c r="N93" s="81" t="s">
        <v>581</v>
      </c>
    </row>
    <row r="94" spans="1:14" ht="101.5" hidden="1">
      <c r="A94" s="77" t="s">
        <v>226</v>
      </c>
      <c r="B94" s="78">
        <v>1919</v>
      </c>
      <c r="C94" s="79">
        <v>1</v>
      </c>
      <c r="D94" s="79">
        <v>1921</v>
      </c>
      <c r="E94" s="79">
        <v>1</v>
      </c>
      <c r="F94" s="80" t="s">
        <v>649</v>
      </c>
      <c r="G94" s="79">
        <v>1</v>
      </c>
      <c r="H94" s="79">
        <v>1</v>
      </c>
      <c r="I94" s="79">
        <v>1</v>
      </c>
      <c r="J94" s="79">
        <v>1</v>
      </c>
      <c r="K94" s="81" t="s">
        <v>650</v>
      </c>
      <c r="L94" s="82" t="s">
        <v>651</v>
      </c>
      <c r="M94" s="82" t="s">
        <v>652</v>
      </c>
      <c r="N94" s="81" t="s">
        <v>653</v>
      </c>
    </row>
    <row r="95" spans="1:14" ht="43.5" hidden="1">
      <c r="A95" s="77" t="s">
        <v>226</v>
      </c>
      <c r="B95" s="78">
        <v>1931</v>
      </c>
      <c r="C95" s="79">
        <v>0</v>
      </c>
      <c r="D95" s="79">
        <v>1</v>
      </c>
      <c r="E95" s="79">
        <v>0</v>
      </c>
      <c r="F95" s="80"/>
      <c r="G95" s="79">
        <v>0</v>
      </c>
      <c r="H95" s="79">
        <v>0</v>
      </c>
      <c r="I95" s="79">
        <v>0</v>
      </c>
      <c r="J95" s="79">
        <v>0</v>
      </c>
      <c r="K95" s="81" t="s">
        <v>654</v>
      </c>
      <c r="M95" s="82" t="s">
        <v>655</v>
      </c>
    </row>
    <row r="96" spans="1:14" ht="43.5" hidden="1">
      <c r="A96" s="77" t="s">
        <v>226</v>
      </c>
      <c r="B96" s="78">
        <v>1974</v>
      </c>
      <c r="C96" s="79">
        <v>1</v>
      </c>
      <c r="D96" s="79"/>
      <c r="E96" s="79">
        <v>0</v>
      </c>
      <c r="F96" s="80"/>
      <c r="G96" s="79">
        <v>0</v>
      </c>
      <c r="H96" s="79">
        <v>0</v>
      </c>
      <c r="I96" s="79">
        <v>0</v>
      </c>
      <c r="J96" s="79">
        <v>0</v>
      </c>
      <c r="M96" s="82" t="s">
        <v>656</v>
      </c>
    </row>
    <row r="97" spans="1:14" ht="188.5" hidden="1">
      <c r="A97" s="77" t="s">
        <v>226</v>
      </c>
      <c r="B97" s="78">
        <v>1992</v>
      </c>
      <c r="C97" s="79">
        <v>1</v>
      </c>
      <c r="D97" s="79">
        <v>1987</v>
      </c>
      <c r="E97" s="79">
        <v>0</v>
      </c>
      <c r="F97" s="80"/>
      <c r="G97" s="79">
        <v>1</v>
      </c>
      <c r="H97" s="79">
        <v>0</v>
      </c>
      <c r="I97" s="79">
        <v>1</v>
      </c>
      <c r="J97" s="79">
        <v>1</v>
      </c>
      <c r="K97" s="81" t="s">
        <v>657</v>
      </c>
      <c r="L97" s="82" t="s">
        <v>658</v>
      </c>
      <c r="M97" s="82" t="s">
        <v>659</v>
      </c>
      <c r="N97" s="81" t="s">
        <v>660</v>
      </c>
    </row>
    <row r="98" spans="1:14" ht="72.5" hidden="1">
      <c r="A98" s="77" t="s">
        <v>226</v>
      </c>
      <c r="B98" s="78">
        <v>2008</v>
      </c>
      <c r="C98" s="79">
        <v>1</v>
      </c>
      <c r="D98" s="79">
        <v>1</v>
      </c>
      <c r="E98" s="79">
        <v>1</v>
      </c>
      <c r="F98" s="80" t="s">
        <v>470</v>
      </c>
      <c r="G98" s="79">
        <v>1</v>
      </c>
      <c r="H98" s="79">
        <v>1</v>
      </c>
      <c r="I98" s="79">
        <v>1</v>
      </c>
      <c r="J98" s="79">
        <v>1</v>
      </c>
      <c r="K98" s="81" t="s">
        <v>661</v>
      </c>
      <c r="L98" s="82" t="s">
        <v>662</v>
      </c>
      <c r="M98" s="82" t="s">
        <v>663</v>
      </c>
      <c r="N98" s="81" t="s">
        <v>664</v>
      </c>
    </row>
    <row r="99" spans="1:14" ht="29" hidden="1">
      <c r="A99" s="77" t="s">
        <v>226</v>
      </c>
      <c r="B99" s="78">
        <v>2011</v>
      </c>
      <c r="C99" s="79">
        <v>1</v>
      </c>
      <c r="D99" s="79"/>
      <c r="E99" s="79">
        <v>0</v>
      </c>
      <c r="F99" s="80"/>
      <c r="G99" s="79">
        <v>1</v>
      </c>
      <c r="H99" s="79">
        <v>0</v>
      </c>
      <c r="I99" s="79">
        <v>1</v>
      </c>
      <c r="J99" s="79">
        <v>1</v>
      </c>
      <c r="K99" s="81" t="s">
        <v>665</v>
      </c>
      <c r="L99" s="82" t="s">
        <v>666</v>
      </c>
      <c r="M99" s="82" t="s">
        <v>667</v>
      </c>
      <c r="N99" s="81" t="s">
        <v>668</v>
      </c>
    </row>
    <row r="100" spans="1:14" ht="87" hidden="1">
      <c r="A100" s="77" t="s">
        <v>232</v>
      </c>
      <c r="B100" s="78">
        <v>1907</v>
      </c>
      <c r="C100" s="79">
        <v>0</v>
      </c>
      <c r="D100" s="79">
        <v>1</v>
      </c>
      <c r="E100" s="79">
        <v>1</v>
      </c>
      <c r="F100" s="80" t="s">
        <v>669</v>
      </c>
      <c r="G100" s="79">
        <v>1</v>
      </c>
      <c r="H100" s="79">
        <v>1</v>
      </c>
      <c r="I100" s="79">
        <v>0</v>
      </c>
      <c r="J100" s="79">
        <v>1</v>
      </c>
      <c r="K100" s="81" t="s">
        <v>670</v>
      </c>
      <c r="L100" s="82" t="s">
        <v>671</v>
      </c>
      <c r="M100" s="82" t="s">
        <v>672</v>
      </c>
      <c r="N100" s="81" t="s">
        <v>673</v>
      </c>
    </row>
    <row r="101" spans="1:14" ht="87" hidden="1">
      <c r="A101" s="77" t="s">
        <v>232</v>
      </c>
      <c r="B101" s="78">
        <v>1914</v>
      </c>
      <c r="C101" s="79">
        <v>1</v>
      </c>
      <c r="D101" s="79"/>
      <c r="E101" s="79">
        <v>1</v>
      </c>
      <c r="F101" s="80" t="s">
        <v>394</v>
      </c>
      <c r="G101" s="85">
        <v>0</v>
      </c>
      <c r="H101" s="79">
        <v>1</v>
      </c>
      <c r="I101" s="79">
        <v>0</v>
      </c>
      <c r="J101" s="79">
        <v>1</v>
      </c>
      <c r="K101" s="81" t="s">
        <v>674</v>
      </c>
      <c r="L101" s="82" t="s">
        <v>675</v>
      </c>
      <c r="M101" s="82" t="s">
        <v>676</v>
      </c>
    </row>
    <row r="102" spans="1:14" ht="87" hidden="1">
      <c r="A102" s="77" t="s">
        <v>232</v>
      </c>
      <c r="B102" s="78">
        <v>1931</v>
      </c>
      <c r="C102" s="79">
        <v>1</v>
      </c>
      <c r="D102" s="79">
        <v>1</v>
      </c>
      <c r="E102" s="79">
        <v>1</v>
      </c>
      <c r="F102" s="80" t="s">
        <v>677</v>
      </c>
      <c r="G102" s="85">
        <v>1</v>
      </c>
      <c r="H102" s="79">
        <v>1</v>
      </c>
      <c r="I102" s="79">
        <v>1</v>
      </c>
      <c r="J102" s="79">
        <v>1</v>
      </c>
      <c r="K102" s="81" t="s">
        <v>678</v>
      </c>
      <c r="L102" s="82" t="s">
        <v>679</v>
      </c>
      <c r="M102" s="82" t="s">
        <v>680</v>
      </c>
    </row>
    <row r="103" spans="1:14" ht="58" hidden="1">
      <c r="A103" s="77" t="s">
        <v>232</v>
      </c>
      <c r="B103" s="78">
        <v>1980</v>
      </c>
      <c r="C103" s="79"/>
      <c r="D103" s="79">
        <v>1</v>
      </c>
      <c r="E103" s="79">
        <v>0</v>
      </c>
      <c r="F103" s="80"/>
      <c r="G103" s="79">
        <v>0</v>
      </c>
      <c r="H103" s="79">
        <v>0</v>
      </c>
      <c r="I103" s="79">
        <v>0</v>
      </c>
      <c r="J103" s="79">
        <v>0</v>
      </c>
      <c r="K103" s="81" t="s">
        <v>681</v>
      </c>
      <c r="L103" s="82" t="s">
        <v>682</v>
      </c>
      <c r="M103" s="82" t="s">
        <v>683</v>
      </c>
      <c r="N103" s="82" t="s">
        <v>684</v>
      </c>
    </row>
    <row r="104" spans="1:14" ht="58" hidden="1">
      <c r="A104" s="77" t="s">
        <v>232</v>
      </c>
      <c r="B104" s="78">
        <v>1990</v>
      </c>
      <c r="C104" s="79"/>
      <c r="D104" s="79">
        <v>1</v>
      </c>
      <c r="E104" s="79">
        <v>0</v>
      </c>
      <c r="F104" s="80"/>
      <c r="G104" s="79">
        <v>0</v>
      </c>
      <c r="H104" s="79">
        <v>0</v>
      </c>
      <c r="I104" s="79">
        <v>0</v>
      </c>
      <c r="J104" s="79">
        <v>0</v>
      </c>
      <c r="K104" s="81" t="s">
        <v>685</v>
      </c>
      <c r="L104" s="82" t="s">
        <v>686</v>
      </c>
      <c r="M104" s="82" t="s">
        <v>683</v>
      </c>
      <c r="N104" s="82" t="s">
        <v>687</v>
      </c>
    </row>
    <row r="105" spans="1:14" ht="87" hidden="1">
      <c r="A105" s="77" t="s">
        <v>239</v>
      </c>
      <c r="B105" s="78">
        <v>1877</v>
      </c>
      <c r="C105" s="79"/>
      <c r="D105" s="79">
        <v>1</v>
      </c>
      <c r="E105" s="79">
        <v>0</v>
      </c>
      <c r="F105" s="80"/>
      <c r="G105" s="79">
        <v>0</v>
      </c>
      <c r="H105" s="79">
        <v>0</v>
      </c>
      <c r="I105" s="79">
        <v>0</v>
      </c>
      <c r="J105" s="79">
        <v>0</v>
      </c>
      <c r="K105" s="81" t="s">
        <v>688</v>
      </c>
      <c r="L105" s="82" t="s">
        <v>689</v>
      </c>
      <c r="M105" s="82" t="s">
        <v>690</v>
      </c>
      <c r="N105" s="82" t="s">
        <v>691</v>
      </c>
    </row>
    <row r="106" spans="1:14" ht="58" hidden="1">
      <c r="A106" s="77" t="s">
        <v>239</v>
      </c>
      <c r="B106" s="78">
        <v>1900</v>
      </c>
      <c r="C106" s="79"/>
      <c r="D106" s="79">
        <v>1</v>
      </c>
      <c r="E106" s="79">
        <v>1</v>
      </c>
      <c r="F106" s="80" t="s">
        <v>692</v>
      </c>
      <c r="G106" s="79">
        <v>1</v>
      </c>
      <c r="H106" s="79">
        <v>1</v>
      </c>
      <c r="I106" s="79">
        <v>1</v>
      </c>
      <c r="J106" s="79">
        <v>1</v>
      </c>
      <c r="K106" s="81" t="s">
        <v>693</v>
      </c>
      <c r="L106" s="82" t="s">
        <v>694</v>
      </c>
      <c r="M106" s="82" t="s">
        <v>695</v>
      </c>
      <c r="N106" s="81" t="s">
        <v>696</v>
      </c>
    </row>
    <row r="107" spans="1:14" ht="43.5" hidden="1">
      <c r="A107" s="77" t="s">
        <v>239</v>
      </c>
      <c r="B107" s="78">
        <v>1921</v>
      </c>
      <c r="C107" s="79">
        <v>1</v>
      </c>
      <c r="D107" s="79">
        <v>1</v>
      </c>
      <c r="E107" s="79">
        <v>0</v>
      </c>
      <c r="F107" s="80"/>
      <c r="G107" s="79">
        <v>1</v>
      </c>
      <c r="H107" s="79">
        <v>0</v>
      </c>
      <c r="I107" s="79">
        <v>1</v>
      </c>
      <c r="J107" s="79">
        <v>1</v>
      </c>
      <c r="K107" s="81" t="s">
        <v>697</v>
      </c>
      <c r="L107" s="82" t="s">
        <v>698</v>
      </c>
      <c r="M107" s="82" t="s">
        <v>699</v>
      </c>
      <c r="N107" s="81" t="s">
        <v>700</v>
      </c>
    </row>
    <row r="108" spans="1:14" ht="159.5" hidden="1">
      <c r="A108" s="77" t="s">
        <v>239</v>
      </c>
      <c r="B108" s="78">
        <v>1931</v>
      </c>
      <c r="C108" s="79">
        <v>0</v>
      </c>
      <c r="D108" s="79">
        <v>1</v>
      </c>
      <c r="E108" s="79">
        <v>1</v>
      </c>
      <c r="F108" s="80" t="s">
        <v>701</v>
      </c>
      <c r="G108" s="79">
        <v>1</v>
      </c>
      <c r="H108" s="79">
        <v>1</v>
      </c>
      <c r="I108" s="79">
        <v>0</v>
      </c>
      <c r="J108" s="79">
        <v>1</v>
      </c>
      <c r="K108" s="81" t="s">
        <v>702</v>
      </c>
      <c r="L108" s="82" t="s">
        <v>703</v>
      </c>
      <c r="M108" s="82" t="s">
        <v>704</v>
      </c>
      <c r="N108" s="81" t="s">
        <v>705</v>
      </c>
    </row>
    <row r="109" spans="1:14" ht="72.5" hidden="1">
      <c r="A109" s="77" t="s">
        <v>239</v>
      </c>
      <c r="B109" s="78">
        <v>1939</v>
      </c>
      <c r="C109" s="79">
        <v>0</v>
      </c>
      <c r="D109" s="79">
        <v>1</v>
      </c>
      <c r="E109" s="79">
        <v>0</v>
      </c>
      <c r="F109" s="88"/>
      <c r="G109" s="79">
        <v>0</v>
      </c>
      <c r="H109" s="79">
        <v>0</v>
      </c>
      <c r="I109" s="79">
        <v>0</v>
      </c>
      <c r="J109" s="79">
        <v>0</v>
      </c>
      <c r="M109" s="82" t="s">
        <v>706</v>
      </c>
    </row>
    <row r="110" spans="1:14" ht="29" hidden="1">
      <c r="A110" s="77" t="s">
        <v>239</v>
      </c>
      <c r="B110" s="78">
        <v>1974</v>
      </c>
      <c r="C110" s="79">
        <v>1</v>
      </c>
      <c r="D110" s="79"/>
      <c r="E110" s="79">
        <v>0</v>
      </c>
      <c r="F110" s="80"/>
      <c r="G110" s="79">
        <v>0</v>
      </c>
      <c r="H110" s="79">
        <v>0</v>
      </c>
      <c r="I110" s="79">
        <v>0</v>
      </c>
      <c r="J110" s="79">
        <v>0</v>
      </c>
      <c r="M110" s="82" t="s">
        <v>707</v>
      </c>
    </row>
    <row r="111" spans="1:14" ht="130.5" hidden="1">
      <c r="A111" s="77" t="s">
        <v>239</v>
      </c>
      <c r="B111" s="78">
        <v>1990</v>
      </c>
      <c r="C111" s="79">
        <v>1</v>
      </c>
      <c r="D111" s="79">
        <v>1991</v>
      </c>
      <c r="E111" s="79">
        <v>1</v>
      </c>
      <c r="F111" s="80" t="s">
        <v>708</v>
      </c>
      <c r="G111" s="79">
        <v>1</v>
      </c>
      <c r="H111" s="79">
        <v>1</v>
      </c>
      <c r="I111" s="79">
        <v>1</v>
      </c>
      <c r="J111" s="79">
        <v>1</v>
      </c>
      <c r="K111" s="81" t="s">
        <v>709</v>
      </c>
      <c r="L111" s="82" t="s">
        <v>689</v>
      </c>
      <c r="M111" s="82" t="s">
        <v>710</v>
      </c>
      <c r="N111" s="82" t="s">
        <v>711</v>
      </c>
    </row>
    <row r="112" spans="1:14" ht="29" hidden="1">
      <c r="A112" s="77" t="s">
        <v>239</v>
      </c>
      <c r="B112" s="78">
        <v>2002</v>
      </c>
      <c r="C112" s="79">
        <v>1</v>
      </c>
      <c r="D112" s="79"/>
      <c r="E112" s="79">
        <v>0</v>
      </c>
      <c r="F112" s="80"/>
      <c r="G112" s="79">
        <v>0</v>
      </c>
      <c r="H112" s="79">
        <v>0</v>
      </c>
      <c r="I112" s="79">
        <v>0</v>
      </c>
      <c r="J112" s="79">
        <v>0</v>
      </c>
      <c r="M112" s="82" t="s">
        <v>707</v>
      </c>
    </row>
    <row r="113" spans="1:14" ht="72.5" hidden="1">
      <c r="A113" s="77" t="s">
        <v>239</v>
      </c>
      <c r="B113" s="78">
        <v>2008</v>
      </c>
      <c r="C113" s="79">
        <v>1</v>
      </c>
      <c r="D113" s="79"/>
      <c r="E113" s="79">
        <v>0</v>
      </c>
      <c r="F113" s="80"/>
      <c r="G113" s="79">
        <v>0</v>
      </c>
      <c r="H113" s="79">
        <v>0</v>
      </c>
      <c r="I113" s="79">
        <v>0</v>
      </c>
      <c r="J113" s="79">
        <v>0</v>
      </c>
      <c r="M113" s="82" t="s">
        <v>712</v>
      </c>
    </row>
    <row r="114" spans="1:14" ht="43.5" hidden="1">
      <c r="A114" s="77" t="s">
        <v>713</v>
      </c>
      <c r="B114" s="78">
        <v>1871</v>
      </c>
      <c r="C114" s="79"/>
      <c r="D114" s="79">
        <v>1</v>
      </c>
      <c r="E114" s="79">
        <v>1</v>
      </c>
      <c r="F114" s="80" t="s">
        <v>483</v>
      </c>
      <c r="G114" s="79">
        <v>0</v>
      </c>
      <c r="H114" s="79">
        <v>1</v>
      </c>
      <c r="I114" s="79">
        <v>0</v>
      </c>
      <c r="J114" s="79">
        <v>1</v>
      </c>
      <c r="M114" s="82" t="s">
        <v>714</v>
      </c>
    </row>
    <row r="115" spans="1:14" ht="174" hidden="1">
      <c r="A115" s="77" t="s">
        <v>713</v>
      </c>
      <c r="B115" s="78">
        <v>1882</v>
      </c>
      <c r="C115" s="79">
        <v>1</v>
      </c>
      <c r="D115" s="79">
        <v>1</v>
      </c>
      <c r="E115" s="79">
        <v>1</v>
      </c>
      <c r="F115" s="80" t="s">
        <v>715</v>
      </c>
      <c r="G115" s="79">
        <v>1</v>
      </c>
      <c r="H115" s="79">
        <v>1</v>
      </c>
      <c r="I115" s="79">
        <v>1</v>
      </c>
      <c r="J115" s="79">
        <v>1</v>
      </c>
      <c r="K115" s="81" t="s">
        <v>716</v>
      </c>
      <c r="L115" s="82" t="s">
        <v>717</v>
      </c>
      <c r="M115" s="82" t="s">
        <v>718</v>
      </c>
    </row>
    <row r="116" spans="1:14" ht="58" hidden="1">
      <c r="A116" s="77" t="s">
        <v>713</v>
      </c>
      <c r="B116" s="78">
        <v>1889</v>
      </c>
      <c r="C116" s="79">
        <v>0</v>
      </c>
      <c r="D116" s="79">
        <v>1</v>
      </c>
      <c r="E116" s="79">
        <v>1</v>
      </c>
      <c r="F116" s="80" t="s">
        <v>719</v>
      </c>
      <c r="G116" s="79">
        <v>1</v>
      </c>
      <c r="H116" s="79">
        <v>1</v>
      </c>
      <c r="I116" s="79">
        <v>0</v>
      </c>
      <c r="J116" s="79">
        <v>1</v>
      </c>
      <c r="K116" s="81" t="s">
        <v>720</v>
      </c>
      <c r="M116" s="82" t="s">
        <v>721</v>
      </c>
      <c r="N116" s="82" t="s">
        <v>722</v>
      </c>
    </row>
    <row r="117" spans="1:14" ht="43.5" hidden="1">
      <c r="A117" s="77" t="s">
        <v>713</v>
      </c>
      <c r="B117" s="78">
        <v>1904</v>
      </c>
      <c r="C117" s="79">
        <v>0</v>
      </c>
      <c r="D117" s="79">
        <v>1</v>
      </c>
      <c r="E117" s="79">
        <v>0</v>
      </c>
      <c r="F117" s="80"/>
      <c r="G117" s="79">
        <v>0</v>
      </c>
      <c r="H117" s="79">
        <v>0</v>
      </c>
      <c r="I117" s="79">
        <v>0</v>
      </c>
      <c r="J117" s="79">
        <v>0</v>
      </c>
      <c r="M117" s="82" t="s">
        <v>723</v>
      </c>
    </row>
    <row r="118" spans="1:14" ht="130.5" hidden="1">
      <c r="A118" s="77" t="s">
        <v>713</v>
      </c>
      <c r="B118" s="78">
        <v>1907</v>
      </c>
      <c r="C118" s="79">
        <v>0</v>
      </c>
      <c r="D118" s="79">
        <v>1</v>
      </c>
      <c r="E118" s="79">
        <v>0</v>
      </c>
      <c r="F118" s="80"/>
      <c r="G118" s="79">
        <v>0</v>
      </c>
      <c r="H118" s="79">
        <v>0</v>
      </c>
      <c r="I118" s="79">
        <v>0</v>
      </c>
      <c r="J118" s="79">
        <v>0</v>
      </c>
      <c r="M118" s="82" t="s">
        <v>724</v>
      </c>
    </row>
    <row r="119" spans="1:14" ht="87" hidden="1">
      <c r="A119" s="77" t="s">
        <v>713</v>
      </c>
      <c r="B119" s="78">
        <v>1914</v>
      </c>
      <c r="C119" s="79">
        <v>1</v>
      </c>
      <c r="D119" s="79">
        <v>1</v>
      </c>
      <c r="E119" s="79">
        <v>1</v>
      </c>
      <c r="F119" s="80" t="s">
        <v>394</v>
      </c>
      <c r="G119" s="79">
        <v>0</v>
      </c>
      <c r="H119" s="79">
        <v>1</v>
      </c>
      <c r="I119" s="79">
        <v>0</v>
      </c>
      <c r="J119" s="79">
        <v>1</v>
      </c>
      <c r="K119" s="81" t="s">
        <v>674</v>
      </c>
      <c r="M119" s="82" t="s">
        <v>725</v>
      </c>
    </row>
    <row r="120" spans="1:14" hidden="1">
      <c r="A120" s="77" t="s">
        <v>713</v>
      </c>
      <c r="B120" s="78">
        <v>1919</v>
      </c>
      <c r="C120" s="79">
        <v>1</v>
      </c>
      <c r="D120" s="79"/>
      <c r="E120" s="79">
        <v>0</v>
      </c>
      <c r="F120" s="80"/>
      <c r="G120" s="79">
        <v>0</v>
      </c>
      <c r="H120" s="79">
        <v>0</v>
      </c>
      <c r="I120" s="79">
        <v>0</v>
      </c>
      <c r="J120" s="79">
        <v>0</v>
      </c>
      <c r="M120" s="82" t="s">
        <v>434</v>
      </c>
    </row>
    <row r="121" spans="1:14" ht="72.5" hidden="1">
      <c r="A121" s="77" t="s">
        <v>713</v>
      </c>
      <c r="B121" s="78">
        <v>1930</v>
      </c>
      <c r="C121" s="79">
        <v>1</v>
      </c>
      <c r="D121" s="79">
        <v>1</v>
      </c>
      <c r="E121" s="79">
        <v>1</v>
      </c>
      <c r="F121" s="83" t="s">
        <v>726</v>
      </c>
      <c r="G121" s="79">
        <v>1</v>
      </c>
      <c r="H121" s="79">
        <v>1</v>
      </c>
      <c r="I121" s="79">
        <v>1</v>
      </c>
      <c r="J121" s="79">
        <v>1</v>
      </c>
      <c r="K121" s="81" t="s">
        <v>727</v>
      </c>
      <c r="L121" s="82" t="s">
        <v>728</v>
      </c>
      <c r="M121" s="82" t="s">
        <v>729</v>
      </c>
    </row>
    <row r="122" spans="1:14" ht="72.5" hidden="1">
      <c r="A122" s="77" t="s">
        <v>713</v>
      </c>
      <c r="B122" s="78">
        <v>1937</v>
      </c>
      <c r="C122" s="79">
        <v>1</v>
      </c>
      <c r="D122" s="79"/>
      <c r="E122" s="79">
        <v>1</v>
      </c>
      <c r="F122" s="80" t="s">
        <v>730</v>
      </c>
      <c r="G122" s="79">
        <v>0</v>
      </c>
      <c r="H122" s="79">
        <v>1</v>
      </c>
      <c r="I122" s="79">
        <v>0</v>
      </c>
      <c r="J122" s="79">
        <v>1</v>
      </c>
      <c r="K122" s="81" t="s">
        <v>731</v>
      </c>
      <c r="M122" s="82" t="s">
        <v>732</v>
      </c>
    </row>
    <row r="123" spans="1:14" ht="58" hidden="1">
      <c r="A123" s="77" t="s">
        <v>713</v>
      </c>
      <c r="B123" s="78">
        <v>1939</v>
      </c>
      <c r="C123" s="79">
        <v>0</v>
      </c>
      <c r="D123" s="79">
        <v>1</v>
      </c>
      <c r="E123" s="79">
        <v>0</v>
      </c>
      <c r="F123" s="80"/>
      <c r="G123" s="79">
        <v>0</v>
      </c>
      <c r="H123" s="79">
        <v>0</v>
      </c>
      <c r="I123" s="79">
        <v>0</v>
      </c>
      <c r="J123" s="79">
        <v>0</v>
      </c>
      <c r="M123" s="82" t="s">
        <v>733</v>
      </c>
    </row>
    <row r="124" spans="1:14" hidden="1">
      <c r="A124" s="77" t="s">
        <v>713</v>
      </c>
      <c r="B124" s="78">
        <v>1974</v>
      </c>
      <c r="C124" s="79">
        <v>1</v>
      </c>
      <c r="D124" s="79"/>
      <c r="E124" s="79">
        <v>0</v>
      </c>
      <c r="F124" s="80"/>
      <c r="G124" s="79">
        <v>0</v>
      </c>
      <c r="H124" s="79">
        <v>0</v>
      </c>
      <c r="I124" s="79">
        <v>0</v>
      </c>
      <c r="J124" s="79">
        <v>0</v>
      </c>
      <c r="M124" s="82" t="s">
        <v>734</v>
      </c>
    </row>
    <row r="125" spans="1:14" ht="29" hidden="1">
      <c r="A125" s="77" t="s">
        <v>713</v>
      </c>
      <c r="B125" s="78">
        <v>1987</v>
      </c>
      <c r="C125" s="79">
        <v>1</v>
      </c>
      <c r="D125" s="79"/>
      <c r="E125" s="79">
        <v>0</v>
      </c>
      <c r="F125" s="80"/>
      <c r="G125" s="79">
        <v>0</v>
      </c>
      <c r="H125" s="79">
        <v>0</v>
      </c>
      <c r="I125" s="79">
        <v>0</v>
      </c>
      <c r="J125" s="79">
        <v>0</v>
      </c>
      <c r="K125" s="81" t="s">
        <v>735</v>
      </c>
      <c r="L125" s="82" t="s">
        <v>736</v>
      </c>
      <c r="M125" s="82" t="s">
        <v>734</v>
      </c>
    </row>
    <row r="126" spans="1:14" ht="72.5" hidden="1">
      <c r="A126" s="77" t="s">
        <v>713</v>
      </c>
      <c r="B126" s="78">
        <v>1994</v>
      </c>
      <c r="C126" s="79">
        <v>0</v>
      </c>
      <c r="D126" s="79">
        <v>1</v>
      </c>
      <c r="E126" s="79">
        <v>0</v>
      </c>
      <c r="F126" s="80"/>
      <c r="G126" s="79">
        <v>1</v>
      </c>
      <c r="H126" s="79">
        <v>0</v>
      </c>
      <c r="I126" s="79">
        <v>0</v>
      </c>
      <c r="J126" s="79">
        <v>0</v>
      </c>
      <c r="K126" s="81" t="s">
        <v>737</v>
      </c>
      <c r="L126" s="82" t="s">
        <v>738</v>
      </c>
      <c r="M126" s="82" t="s">
        <v>739</v>
      </c>
      <c r="N126" s="82" t="s">
        <v>740</v>
      </c>
    </row>
    <row r="127" spans="1:14" ht="72.5" hidden="1">
      <c r="A127" s="77" t="s">
        <v>713</v>
      </c>
      <c r="B127" s="78">
        <v>2008</v>
      </c>
      <c r="C127" s="79">
        <v>1</v>
      </c>
      <c r="D127" s="79">
        <v>1</v>
      </c>
      <c r="E127" s="79">
        <v>1</v>
      </c>
      <c r="F127" s="80" t="s">
        <v>470</v>
      </c>
      <c r="G127" s="85">
        <v>0</v>
      </c>
      <c r="H127" s="79">
        <v>1</v>
      </c>
      <c r="I127" s="79">
        <v>0</v>
      </c>
      <c r="J127" s="79">
        <v>1</v>
      </c>
      <c r="K127" s="81" t="s">
        <v>741</v>
      </c>
      <c r="L127" s="82" t="s">
        <v>742</v>
      </c>
      <c r="M127" s="82" t="s">
        <v>743</v>
      </c>
    </row>
    <row r="128" spans="1:14" ht="43.5" hidden="1">
      <c r="A128" s="77" t="s">
        <v>713</v>
      </c>
      <c r="B128" s="78">
        <v>2011</v>
      </c>
      <c r="C128" s="79">
        <v>1</v>
      </c>
      <c r="D128" s="79"/>
      <c r="E128" s="79">
        <v>0</v>
      </c>
      <c r="F128" s="80"/>
      <c r="G128" s="79">
        <v>0</v>
      </c>
      <c r="H128" s="79">
        <v>0</v>
      </c>
      <c r="I128" s="79">
        <v>0</v>
      </c>
      <c r="J128" s="79">
        <v>0</v>
      </c>
      <c r="K128" s="81" t="s">
        <v>744</v>
      </c>
      <c r="L128" s="82" t="s">
        <v>504</v>
      </c>
      <c r="M128" s="82" t="s">
        <v>434</v>
      </c>
    </row>
    <row r="129" spans="1:14" ht="145" hidden="1">
      <c r="A129" s="77" t="s">
        <v>242</v>
      </c>
      <c r="B129" s="78">
        <v>1874</v>
      </c>
      <c r="C129" s="79">
        <v>1</v>
      </c>
      <c r="D129" s="79">
        <v>1873</v>
      </c>
      <c r="E129" s="79">
        <v>1</v>
      </c>
      <c r="F129" s="80" t="s">
        <v>745</v>
      </c>
      <c r="G129" s="79">
        <v>1</v>
      </c>
      <c r="H129" s="79">
        <v>1</v>
      </c>
      <c r="I129" s="79">
        <v>1</v>
      </c>
      <c r="J129" s="79">
        <v>1</v>
      </c>
      <c r="K129" s="81" t="s">
        <v>746</v>
      </c>
      <c r="L129" s="82" t="s">
        <v>747</v>
      </c>
      <c r="M129" s="82" t="s">
        <v>748</v>
      </c>
      <c r="N129" s="81" t="s">
        <v>749</v>
      </c>
    </row>
    <row r="130" spans="1:14" ht="72.5" hidden="1">
      <c r="A130" s="77" t="s">
        <v>242</v>
      </c>
      <c r="B130" s="78">
        <v>1880</v>
      </c>
      <c r="C130" s="79">
        <v>0</v>
      </c>
      <c r="D130" s="79">
        <v>1</v>
      </c>
      <c r="E130" s="79">
        <v>0</v>
      </c>
      <c r="F130" s="80"/>
      <c r="G130" s="79">
        <v>0</v>
      </c>
      <c r="H130" s="79">
        <v>0</v>
      </c>
      <c r="I130" s="79">
        <v>0</v>
      </c>
      <c r="J130" s="79">
        <v>0</v>
      </c>
      <c r="M130" s="82" t="s">
        <v>750</v>
      </c>
    </row>
    <row r="131" spans="1:14" ht="116" hidden="1">
      <c r="A131" s="77" t="s">
        <v>242</v>
      </c>
      <c r="B131" s="78">
        <v>1891</v>
      </c>
      <c r="C131" s="79">
        <v>0</v>
      </c>
      <c r="D131" s="79">
        <v>1</v>
      </c>
      <c r="E131" s="79">
        <v>1</v>
      </c>
      <c r="F131" s="80" t="s">
        <v>751</v>
      </c>
      <c r="G131" s="79">
        <v>1</v>
      </c>
      <c r="H131" s="79">
        <v>1</v>
      </c>
      <c r="I131" s="79">
        <v>0</v>
      </c>
      <c r="J131" s="79">
        <v>1</v>
      </c>
      <c r="K131" s="81" t="s">
        <v>752</v>
      </c>
      <c r="L131" s="82" t="s">
        <v>753</v>
      </c>
      <c r="M131" s="82" t="s">
        <v>754</v>
      </c>
      <c r="N131" s="82" t="s">
        <v>755</v>
      </c>
    </row>
    <row r="132" spans="1:14" ht="101.5" hidden="1">
      <c r="A132" s="77" t="s">
        <v>242</v>
      </c>
      <c r="B132" s="78">
        <v>1901</v>
      </c>
      <c r="C132" s="79">
        <v>0</v>
      </c>
      <c r="D132" s="79">
        <v>1</v>
      </c>
      <c r="E132" s="79">
        <v>1</v>
      </c>
      <c r="F132" s="80" t="s">
        <v>756</v>
      </c>
      <c r="G132" s="79">
        <v>1</v>
      </c>
      <c r="H132" s="79">
        <v>1</v>
      </c>
      <c r="I132" s="79">
        <v>0</v>
      </c>
      <c r="J132" s="79">
        <v>1</v>
      </c>
      <c r="K132" s="81" t="s">
        <v>757</v>
      </c>
      <c r="L132" s="82" t="s">
        <v>758</v>
      </c>
      <c r="M132" s="82" t="s">
        <v>759</v>
      </c>
      <c r="N132" s="81" t="s">
        <v>760</v>
      </c>
    </row>
    <row r="133" spans="1:14" ht="72.5" hidden="1">
      <c r="A133" s="77" t="s">
        <v>242</v>
      </c>
      <c r="B133" s="78">
        <v>1907</v>
      </c>
      <c r="C133" s="79">
        <v>0</v>
      </c>
      <c r="D133" s="79">
        <v>1</v>
      </c>
      <c r="E133" s="79">
        <v>0</v>
      </c>
      <c r="F133" s="80"/>
      <c r="G133" s="79">
        <v>0</v>
      </c>
      <c r="H133" s="79">
        <v>0</v>
      </c>
      <c r="I133" s="79">
        <v>0</v>
      </c>
      <c r="J133" s="79">
        <v>0</v>
      </c>
      <c r="K133" s="81" t="s">
        <v>761</v>
      </c>
      <c r="L133" s="82" t="s">
        <v>762</v>
      </c>
      <c r="M133" s="82" t="s">
        <v>763</v>
      </c>
      <c r="N133" s="81" t="s">
        <v>764</v>
      </c>
    </row>
    <row r="134" spans="1:14" ht="101.5" hidden="1">
      <c r="A134" s="77" t="s">
        <v>242</v>
      </c>
      <c r="B134" s="78">
        <v>1914</v>
      </c>
      <c r="C134" s="79"/>
      <c r="D134" s="79"/>
      <c r="E134" s="79">
        <v>1</v>
      </c>
      <c r="F134" s="80" t="s">
        <v>394</v>
      </c>
      <c r="G134" s="79">
        <v>0</v>
      </c>
      <c r="H134" s="79">
        <v>1</v>
      </c>
      <c r="I134" s="79">
        <v>0</v>
      </c>
      <c r="J134" s="79">
        <v>1</v>
      </c>
      <c r="K134" s="81" t="s">
        <v>674</v>
      </c>
      <c r="M134" s="82" t="s">
        <v>765</v>
      </c>
    </row>
    <row r="135" spans="1:14" ht="29" hidden="1">
      <c r="A135" s="77" t="s">
        <v>242</v>
      </c>
      <c r="B135" s="78">
        <v>1920</v>
      </c>
      <c r="C135" s="79">
        <v>1</v>
      </c>
      <c r="D135" s="79"/>
      <c r="E135" s="79">
        <v>0</v>
      </c>
      <c r="F135" s="80"/>
      <c r="G135" s="79">
        <v>0</v>
      </c>
      <c r="H135" s="79">
        <v>0</v>
      </c>
      <c r="I135" s="79">
        <v>0</v>
      </c>
      <c r="J135" s="79">
        <v>0</v>
      </c>
      <c r="M135" s="82" t="s">
        <v>766</v>
      </c>
    </row>
    <row r="136" spans="1:14" ht="72.5" hidden="1">
      <c r="A136" s="77" t="s">
        <v>242</v>
      </c>
      <c r="B136" s="78">
        <v>1925</v>
      </c>
      <c r="C136" s="79">
        <v>0</v>
      </c>
      <c r="D136" s="79">
        <v>1</v>
      </c>
      <c r="E136" s="79">
        <v>0</v>
      </c>
      <c r="F136" s="80"/>
      <c r="G136" s="79">
        <v>0</v>
      </c>
      <c r="H136" s="79">
        <v>0</v>
      </c>
      <c r="I136" s="79">
        <v>0</v>
      </c>
      <c r="J136" s="79">
        <v>0</v>
      </c>
      <c r="N136" s="84" t="s">
        <v>767</v>
      </c>
    </row>
    <row r="137" spans="1:14" ht="87" hidden="1">
      <c r="A137" s="77" t="s">
        <v>242</v>
      </c>
      <c r="B137" s="78">
        <v>1930</v>
      </c>
      <c r="C137" s="79">
        <v>1</v>
      </c>
      <c r="D137" s="79">
        <v>1929</v>
      </c>
      <c r="E137" s="79">
        <v>1</v>
      </c>
      <c r="F137" s="80" t="s">
        <v>399</v>
      </c>
      <c r="G137" s="79">
        <v>1</v>
      </c>
      <c r="H137" s="79">
        <v>1</v>
      </c>
      <c r="I137" s="79">
        <v>1</v>
      </c>
      <c r="J137" s="79">
        <v>1</v>
      </c>
      <c r="K137" s="81" t="s">
        <v>768</v>
      </c>
      <c r="L137" s="82" t="s">
        <v>769</v>
      </c>
      <c r="M137" s="82" t="s">
        <v>770</v>
      </c>
      <c r="N137" s="81" t="s">
        <v>771</v>
      </c>
    </row>
    <row r="138" spans="1:14" hidden="1">
      <c r="A138" s="77" t="s">
        <v>242</v>
      </c>
      <c r="B138" s="78">
        <v>1962</v>
      </c>
      <c r="C138" s="79">
        <v>1</v>
      </c>
      <c r="D138" s="79"/>
      <c r="E138" s="79">
        <v>0</v>
      </c>
      <c r="F138" s="80"/>
      <c r="G138" s="79">
        <v>0</v>
      </c>
      <c r="H138" s="79">
        <v>0</v>
      </c>
      <c r="I138" s="79">
        <v>0</v>
      </c>
      <c r="J138" s="79">
        <v>0</v>
      </c>
      <c r="M138" s="82" t="s">
        <v>434</v>
      </c>
    </row>
    <row r="139" spans="1:14" ht="58" hidden="1">
      <c r="A139" s="77" t="s">
        <v>242</v>
      </c>
      <c r="B139" s="78">
        <v>1973</v>
      </c>
      <c r="C139" s="79">
        <v>1</v>
      </c>
      <c r="D139" s="79"/>
      <c r="E139" s="79">
        <v>0</v>
      </c>
      <c r="F139" s="80"/>
      <c r="G139" s="79">
        <v>0</v>
      </c>
      <c r="H139" s="79">
        <v>0</v>
      </c>
      <c r="I139" s="79">
        <v>0</v>
      </c>
      <c r="J139" s="79">
        <v>0</v>
      </c>
      <c r="K139" s="81" t="s">
        <v>772</v>
      </c>
      <c r="L139" s="82" t="s">
        <v>773</v>
      </c>
      <c r="N139" s="82" t="s">
        <v>774</v>
      </c>
    </row>
    <row r="140" spans="1:14" ht="87" hidden="1">
      <c r="A140" s="77" t="s">
        <v>242</v>
      </c>
      <c r="B140" s="78">
        <v>1977</v>
      </c>
      <c r="C140" s="79">
        <v>0</v>
      </c>
      <c r="D140" s="79">
        <v>1</v>
      </c>
      <c r="E140" s="79">
        <v>0</v>
      </c>
      <c r="F140" s="80"/>
      <c r="G140" s="79">
        <v>0</v>
      </c>
      <c r="H140" s="79">
        <v>0</v>
      </c>
      <c r="I140" s="79">
        <v>0</v>
      </c>
      <c r="J140" s="79">
        <v>0</v>
      </c>
      <c r="N140" s="82" t="s">
        <v>775</v>
      </c>
    </row>
    <row r="141" spans="1:14" ht="29" hidden="1">
      <c r="A141" s="77" t="s">
        <v>242</v>
      </c>
      <c r="B141" s="78">
        <v>1987</v>
      </c>
      <c r="C141" s="79">
        <v>1</v>
      </c>
      <c r="D141" s="79"/>
      <c r="E141" s="79">
        <v>0</v>
      </c>
      <c r="F141" s="80"/>
      <c r="G141" s="79">
        <v>0</v>
      </c>
      <c r="H141" s="79">
        <v>0</v>
      </c>
      <c r="I141" s="79">
        <v>0</v>
      </c>
      <c r="J141" s="79">
        <v>0</v>
      </c>
      <c r="M141" s="82" t="s">
        <v>776</v>
      </c>
    </row>
    <row r="142" spans="1:14" ht="72.5" hidden="1">
      <c r="A142" s="77" t="s">
        <v>242</v>
      </c>
      <c r="B142" s="78">
        <v>2002</v>
      </c>
      <c r="C142" s="79">
        <v>1</v>
      </c>
      <c r="D142" s="79"/>
      <c r="E142" s="79">
        <v>0</v>
      </c>
      <c r="F142" s="80"/>
      <c r="G142" s="79">
        <v>0</v>
      </c>
      <c r="H142" s="79">
        <v>0</v>
      </c>
      <c r="I142" s="79">
        <v>0</v>
      </c>
      <c r="J142" s="79">
        <v>0</v>
      </c>
      <c r="K142" s="81" t="s">
        <v>777</v>
      </c>
      <c r="L142" s="82" t="s">
        <v>778</v>
      </c>
      <c r="M142" s="82" t="s">
        <v>779</v>
      </c>
    </row>
    <row r="143" spans="1:14" ht="145" hidden="1">
      <c r="A143" s="77" t="s">
        <v>242</v>
      </c>
      <c r="B143" s="78">
        <v>2008</v>
      </c>
      <c r="C143" s="79">
        <v>1</v>
      </c>
      <c r="D143" s="79">
        <v>1</v>
      </c>
      <c r="E143" s="79">
        <v>1</v>
      </c>
      <c r="F143" s="80" t="s">
        <v>470</v>
      </c>
      <c r="G143" s="79">
        <v>1</v>
      </c>
      <c r="H143" s="79">
        <v>1</v>
      </c>
      <c r="I143" s="79">
        <v>1</v>
      </c>
      <c r="J143" s="79">
        <v>1</v>
      </c>
      <c r="K143" s="81" t="s">
        <v>780</v>
      </c>
      <c r="L143" s="82" t="s">
        <v>781</v>
      </c>
      <c r="M143" s="82" t="s">
        <v>782</v>
      </c>
      <c r="N143" s="81" t="s">
        <v>711</v>
      </c>
    </row>
    <row r="144" spans="1:14" ht="29" hidden="1">
      <c r="A144" s="77" t="s">
        <v>242</v>
      </c>
      <c r="B144" s="78">
        <v>2011</v>
      </c>
      <c r="C144" s="79">
        <v>1</v>
      </c>
      <c r="D144" s="79"/>
      <c r="E144" s="79">
        <v>0</v>
      </c>
      <c r="F144" s="80"/>
      <c r="G144" s="79">
        <v>0</v>
      </c>
      <c r="H144" s="79">
        <v>0</v>
      </c>
      <c r="I144" s="79">
        <v>0</v>
      </c>
      <c r="J144" s="79">
        <v>0</v>
      </c>
      <c r="M144" s="82" t="s">
        <v>776</v>
      </c>
    </row>
    <row r="145" spans="1:14" ht="58" hidden="1">
      <c r="A145" s="77" t="s">
        <v>244</v>
      </c>
      <c r="B145" s="78">
        <v>1929</v>
      </c>
      <c r="C145" s="79">
        <v>1</v>
      </c>
      <c r="D145" s="79">
        <v>1931</v>
      </c>
      <c r="E145" s="79">
        <v>1</v>
      </c>
      <c r="F145" s="80" t="s">
        <v>783</v>
      </c>
      <c r="G145" s="79">
        <v>1</v>
      </c>
      <c r="H145" s="79">
        <v>1</v>
      </c>
      <c r="I145" s="79">
        <v>1</v>
      </c>
      <c r="J145" s="79">
        <v>1</v>
      </c>
      <c r="K145" s="81" t="s">
        <v>784</v>
      </c>
      <c r="L145" s="82" t="s">
        <v>785</v>
      </c>
      <c r="M145" s="82" t="s">
        <v>786</v>
      </c>
      <c r="N145" s="81" t="s">
        <v>787</v>
      </c>
    </row>
    <row r="146" spans="1:14" ht="29" hidden="1">
      <c r="A146" s="77" t="s">
        <v>244</v>
      </c>
      <c r="B146" s="78">
        <v>1973</v>
      </c>
      <c r="C146" s="79">
        <v>1</v>
      </c>
      <c r="D146" s="79"/>
      <c r="E146" s="79">
        <v>0</v>
      </c>
      <c r="F146" s="80"/>
      <c r="G146" s="79">
        <v>0</v>
      </c>
      <c r="H146" s="79">
        <v>0</v>
      </c>
      <c r="I146" s="79">
        <v>0</v>
      </c>
      <c r="J146" s="79">
        <v>0</v>
      </c>
      <c r="M146" s="82" t="s">
        <v>788</v>
      </c>
    </row>
    <row r="147" spans="1:14" hidden="1">
      <c r="A147" s="77" t="s">
        <v>244</v>
      </c>
      <c r="B147" s="78">
        <v>1980</v>
      </c>
      <c r="C147" s="79">
        <v>1</v>
      </c>
      <c r="D147" s="79"/>
      <c r="E147" s="79">
        <v>0</v>
      </c>
      <c r="F147" s="80"/>
      <c r="G147" s="79">
        <v>0</v>
      </c>
      <c r="H147" s="79">
        <v>0</v>
      </c>
      <c r="I147" s="79">
        <v>0</v>
      </c>
      <c r="J147" s="79">
        <v>0</v>
      </c>
      <c r="M147" s="82" t="s">
        <v>434</v>
      </c>
    </row>
    <row r="148" spans="1:14" hidden="1">
      <c r="A148" s="77" t="s">
        <v>244</v>
      </c>
      <c r="B148" s="78">
        <v>1988</v>
      </c>
      <c r="C148" s="79">
        <v>1</v>
      </c>
      <c r="D148" s="79"/>
      <c r="E148" s="79">
        <v>0</v>
      </c>
      <c r="F148" s="80"/>
      <c r="G148" s="79">
        <v>0</v>
      </c>
      <c r="H148" s="79">
        <v>0</v>
      </c>
      <c r="I148" s="79">
        <v>0</v>
      </c>
      <c r="J148" s="79">
        <v>0</v>
      </c>
      <c r="M148" s="82" t="s">
        <v>434</v>
      </c>
    </row>
    <row r="149" spans="1:14" ht="87" hidden="1">
      <c r="A149" s="77" t="s">
        <v>244</v>
      </c>
      <c r="B149" s="78">
        <v>1992</v>
      </c>
      <c r="C149" s="79">
        <v>1</v>
      </c>
      <c r="D149" s="79">
        <v>1991</v>
      </c>
      <c r="E149" s="79">
        <v>0</v>
      </c>
      <c r="F149" s="80"/>
      <c r="G149" s="79">
        <v>0</v>
      </c>
      <c r="H149" s="79">
        <v>0</v>
      </c>
      <c r="I149" s="79">
        <v>0</v>
      </c>
      <c r="J149" s="79">
        <v>0</v>
      </c>
      <c r="K149" s="81" t="s">
        <v>789</v>
      </c>
      <c r="M149" s="82" t="s">
        <v>790</v>
      </c>
      <c r="N149" s="81" t="s">
        <v>791</v>
      </c>
    </row>
    <row r="150" spans="1:14" hidden="1">
      <c r="A150" s="77" t="s">
        <v>244</v>
      </c>
      <c r="B150" s="78">
        <v>2001</v>
      </c>
      <c r="C150" s="79">
        <v>1</v>
      </c>
      <c r="D150" s="79"/>
      <c r="E150" s="79">
        <v>0</v>
      </c>
      <c r="F150" s="80"/>
      <c r="G150" s="79">
        <v>0</v>
      </c>
      <c r="H150" s="79">
        <v>0</v>
      </c>
      <c r="I150" s="79">
        <v>0</v>
      </c>
      <c r="J150" s="79">
        <v>0</v>
      </c>
      <c r="M150" s="82" t="s">
        <v>734</v>
      </c>
    </row>
    <row r="151" spans="1:14" ht="72.5" hidden="1">
      <c r="A151" s="77" t="s">
        <v>244</v>
      </c>
      <c r="B151" s="78">
        <v>2008</v>
      </c>
      <c r="C151" s="79">
        <v>1</v>
      </c>
      <c r="D151" s="79">
        <v>1</v>
      </c>
      <c r="E151" s="79">
        <v>1</v>
      </c>
      <c r="F151" s="80" t="s">
        <v>470</v>
      </c>
      <c r="G151" s="79">
        <v>0</v>
      </c>
      <c r="H151" s="79">
        <v>1</v>
      </c>
      <c r="I151" s="79">
        <v>0</v>
      </c>
      <c r="J151" s="79">
        <v>1</v>
      </c>
      <c r="K151" s="81" t="s">
        <v>792</v>
      </c>
      <c r="M151" s="82" t="s">
        <v>793</v>
      </c>
      <c r="N151" s="81" t="s">
        <v>794</v>
      </c>
    </row>
    <row r="152" spans="1:14" ht="101.5" hidden="1">
      <c r="A152" s="77" t="s">
        <v>244</v>
      </c>
      <c r="B152" s="78">
        <v>2010</v>
      </c>
      <c r="C152" s="79">
        <v>1</v>
      </c>
      <c r="D152" s="79"/>
      <c r="E152" s="79">
        <v>1</v>
      </c>
      <c r="F152" s="80" t="s">
        <v>795</v>
      </c>
      <c r="G152" s="79">
        <v>1</v>
      </c>
      <c r="H152" s="79">
        <v>1</v>
      </c>
      <c r="I152" s="79">
        <v>1</v>
      </c>
      <c r="J152" s="79">
        <v>1</v>
      </c>
      <c r="K152" s="81" t="s">
        <v>796</v>
      </c>
      <c r="L152" s="82" t="s">
        <v>797</v>
      </c>
      <c r="M152" s="82" t="s">
        <v>798</v>
      </c>
    </row>
    <row r="153" spans="1:14" hidden="1">
      <c r="A153" s="77" t="s">
        <v>799</v>
      </c>
      <c r="B153" s="78">
        <v>1874</v>
      </c>
      <c r="C153" s="79">
        <v>1</v>
      </c>
      <c r="D153" s="79"/>
      <c r="E153" s="79">
        <v>0</v>
      </c>
      <c r="F153" s="80"/>
      <c r="G153" s="79">
        <v>0</v>
      </c>
      <c r="H153" s="79">
        <v>0</v>
      </c>
      <c r="I153" s="79">
        <v>0</v>
      </c>
      <c r="J153" s="79">
        <v>0</v>
      </c>
      <c r="M153" s="82" t="s">
        <v>434</v>
      </c>
    </row>
    <row r="154" spans="1:14" ht="72.5" hidden="1">
      <c r="A154" s="77" t="s">
        <v>799</v>
      </c>
      <c r="B154" s="78">
        <v>1892</v>
      </c>
      <c r="C154" s="79">
        <v>1</v>
      </c>
      <c r="D154" s="79"/>
      <c r="E154" s="79">
        <v>1</v>
      </c>
      <c r="F154" s="83" t="s">
        <v>800</v>
      </c>
      <c r="G154" s="79">
        <v>1</v>
      </c>
      <c r="H154" s="79">
        <v>1</v>
      </c>
      <c r="I154" s="79">
        <v>1</v>
      </c>
      <c r="J154" s="79">
        <v>1</v>
      </c>
      <c r="K154" s="81" t="s">
        <v>801</v>
      </c>
      <c r="L154" s="82" t="s">
        <v>802</v>
      </c>
      <c r="M154" s="82" t="s">
        <v>803</v>
      </c>
    </row>
    <row r="155" spans="1:14" hidden="1">
      <c r="A155" s="77" t="s">
        <v>799</v>
      </c>
      <c r="B155" s="78">
        <v>1950</v>
      </c>
      <c r="C155" s="79">
        <v>1</v>
      </c>
      <c r="D155" s="79"/>
      <c r="E155" s="79">
        <v>0</v>
      </c>
      <c r="F155" s="80"/>
      <c r="G155" s="79">
        <v>0</v>
      </c>
      <c r="H155" s="79">
        <v>0</v>
      </c>
      <c r="I155" s="79">
        <v>0</v>
      </c>
      <c r="J155" s="79">
        <v>0</v>
      </c>
      <c r="M155" s="82" t="s">
        <v>434</v>
      </c>
    </row>
    <row r="156" spans="1:14" ht="58" hidden="1">
      <c r="A156" s="77" t="s">
        <v>799</v>
      </c>
      <c r="B156" s="78">
        <v>1965</v>
      </c>
      <c r="C156" s="79">
        <v>0</v>
      </c>
      <c r="D156" s="79"/>
      <c r="E156" s="79">
        <v>1</v>
      </c>
      <c r="F156" s="80" t="s">
        <v>804</v>
      </c>
      <c r="G156" s="79">
        <v>1</v>
      </c>
      <c r="H156" s="79">
        <v>1</v>
      </c>
      <c r="I156" s="79">
        <v>0</v>
      </c>
      <c r="J156" s="79">
        <v>1</v>
      </c>
      <c r="K156" s="81" t="s">
        <v>805</v>
      </c>
      <c r="L156" s="82" t="s">
        <v>806</v>
      </c>
      <c r="M156" s="82" t="s">
        <v>807</v>
      </c>
      <c r="N156" s="81" t="s">
        <v>808</v>
      </c>
    </row>
    <row r="157" spans="1:14" hidden="1">
      <c r="A157" s="77" t="s">
        <v>799</v>
      </c>
      <c r="B157" s="78">
        <v>1974</v>
      </c>
      <c r="C157" s="79">
        <v>1</v>
      </c>
      <c r="D157" s="79"/>
      <c r="E157" s="79">
        <v>0</v>
      </c>
      <c r="F157" s="80"/>
      <c r="G157" s="79">
        <v>0</v>
      </c>
      <c r="H157" s="79">
        <v>0</v>
      </c>
      <c r="I157" s="79">
        <v>0</v>
      </c>
      <c r="J157" s="79">
        <v>0</v>
      </c>
      <c r="M157" s="82" t="s">
        <v>434</v>
      </c>
    </row>
    <row r="158" spans="1:14" ht="72.5" hidden="1">
      <c r="A158" s="77" t="s">
        <v>799</v>
      </c>
      <c r="B158" s="78">
        <v>1982</v>
      </c>
      <c r="C158" s="79">
        <v>1</v>
      </c>
      <c r="D158" s="79" t="s">
        <v>809</v>
      </c>
      <c r="E158" s="79">
        <v>1</v>
      </c>
      <c r="F158" s="83" t="s">
        <v>810</v>
      </c>
      <c r="G158" s="79">
        <v>1</v>
      </c>
      <c r="H158" s="79">
        <v>1</v>
      </c>
      <c r="I158" s="79">
        <v>1</v>
      </c>
      <c r="J158" s="79">
        <v>1</v>
      </c>
      <c r="K158" s="81" t="s">
        <v>811</v>
      </c>
      <c r="L158" s="82" t="s">
        <v>812</v>
      </c>
      <c r="M158" s="82" t="s">
        <v>813</v>
      </c>
      <c r="N158" s="81" t="s">
        <v>814</v>
      </c>
    </row>
    <row r="159" spans="1:14" ht="101.5" hidden="1">
      <c r="A159" s="77" t="s">
        <v>799</v>
      </c>
      <c r="B159" s="78" t="s">
        <v>815</v>
      </c>
      <c r="C159" s="79">
        <v>0</v>
      </c>
      <c r="D159" s="79"/>
      <c r="E159" s="79">
        <v>1</v>
      </c>
      <c r="F159" s="80" t="s">
        <v>816</v>
      </c>
      <c r="G159" s="79">
        <v>0</v>
      </c>
      <c r="H159" s="79">
        <v>1</v>
      </c>
      <c r="I159" s="79">
        <v>0</v>
      </c>
      <c r="J159" s="79">
        <v>1</v>
      </c>
      <c r="K159" s="81" t="s">
        <v>817</v>
      </c>
      <c r="M159" s="82" t="s">
        <v>818</v>
      </c>
    </row>
    <row r="160" spans="1:14" ht="116" hidden="1">
      <c r="A160" s="77" t="s">
        <v>799</v>
      </c>
      <c r="B160" s="78">
        <v>1998</v>
      </c>
      <c r="C160" s="79">
        <v>1</v>
      </c>
      <c r="D160" s="79">
        <v>1</v>
      </c>
      <c r="E160" s="79">
        <v>1</v>
      </c>
      <c r="F160" s="80" t="s">
        <v>819</v>
      </c>
      <c r="G160" s="79">
        <v>1</v>
      </c>
      <c r="H160" s="79">
        <v>1</v>
      </c>
      <c r="I160" s="79">
        <v>1</v>
      </c>
      <c r="J160" s="79">
        <v>1</v>
      </c>
      <c r="K160" s="81" t="s">
        <v>820</v>
      </c>
      <c r="L160" s="82" t="s">
        <v>821</v>
      </c>
      <c r="M160" s="82" t="s">
        <v>822</v>
      </c>
      <c r="N160" s="81" t="s">
        <v>823</v>
      </c>
    </row>
    <row r="161" spans="1:14" ht="43.5" hidden="1">
      <c r="A161" s="77" t="s">
        <v>799</v>
      </c>
      <c r="B161" s="78">
        <v>2011</v>
      </c>
      <c r="C161" s="79">
        <v>1</v>
      </c>
      <c r="D161" s="79"/>
      <c r="E161" s="79">
        <v>0</v>
      </c>
      <c r="F161" s="80"/>
      <c r="G161" s="79">
        <v>0</v>
      </c>
      <c r="H161" s="79">
        <v>0</v>
      </c>
      <c r="I161" s="79">
        <v>0</v>
      </c>
      <c r="J161" s="79">
        <v>0</v>
      </c>
      <c r="M161" s="82" t="s">
        <v>824</v>
      </c>
    </row>
    <row r="162" spans="1:14" ht="58" hidden="1">
      <c r="A162" s="77" t="s">
        <v>825</v>
      </c>
      <c r="B162" s="78">
        <v>1873</v>
      </c>
      <c r="C162" s="79">
        <v>1</v>
      </c>
      <c r="D162" s="79"/>
      <c r="E162" s="79">
        <v>1</v>
      </c>
      <c r="F162" s="80" t="s">
        <v>826</v>
      </c>
      <c r="G162" s="79">
        <v>1</v>
      </c>
      <c r="H162" s="79">
        <v>1</v>
      </c>
      <c r="I162" s="79">
        <v>1</v>
      </c>
      <c r="J162" s="79">
        <v>1</v>
      </c>
      <c r="K162" s="81" t="s">
        <v>827</v>
      </c>
      <c r="L162" s="82" t="s">
        <v>828</v>
      </c>
      <c r="M162" s="82" t="s">
        <v>829</v>
      </c>
    </row>
    <row r="163" spans="1:14" hidden="1">
      <c r="A163" s="77" t="s">
        <v>825</v>
      </c>
      <c r="B163" s="78">
        <v>1883</v>
      </c>
      <c r="C163" s="79">
        <v>1</v>
      </c>
      <c r="D163" s="79"/>
      <c r="E163" s="79">
        <v>0</v>
      </c>
      <c r="F163" s="80"/>
      <c r="G163" s="79">
        <v>0</v>
      </c>
      <c r="H163" s="79">
        <v>0</v>
      </c>
      <c r="I163" s="79">
        <v>0</v>
      </c>
      <c r="J163" s="79">
        <v>0</v>
      </c>
      <c r="M163" s="82" t="s">
        <v>434</v>
      </c>
    </row>
    <row r="164" spans="1:14" hidden="1">
      <c r="A164" s="77" t="s">
        <v>825</v>
      </c>
      <c r="B164" s="78">
        <v>1924</v>
      </c>
      <c r="C164" s="79">
        <v>1</v>
      </c>
      <c r="D164" s="79"/>
      <c r="E164" s="79">
        <v>0</v>
      </c>
      <c r="F164" s="80"/>
      <c r="G164" s="79">
        <v>0</v>
      </c>
      <c r="H164" s="79">
        <v>0</v>
      </c>
      <c r="I164" s="79">
        <v>0</v>
      </c>
      <c r="J164" s="79">
        <v>0</v>
      </c>
      <c r="M164" s="82" t="s">
        <v>434</v>
      </c>
    </row>
    <row r="165" spans="1:14" ht="145" hidden="1">
      <c r="A165" s="77" t="s">
        <v>825</v>
      </c>
      <c r="B165" s="78">
        <v>1931</v>
      </c>
      <c r="C165" s="79"/>
      <c r="D165" s="79">
        <v>1</v>
      </c>
      <c r="E165" s="79">
        <v>1</v>
      </c>
      <c r="F165" s="80" t="s">
        <v>726</v>
      </c>
      <c r="G165" s="79">
        <v>1</v>
      </c>
      <c r="H165" s="79">
        <v>1</v>
      </c>
      <c r="I165" s="79">
        <v>1</v>
      </c>
      <c r="J165" s="79">
        <v>1</v>
      </c>
      <c r="K165" s="81" t="s">
        <v>830</v>
      </c>
      <c r="L165" s="82" t="s">
        <v>831</v>
      </c>
      <c r="M165" s="82" t="s">
        <v>832</v>
      </c>
    </row>
    <row r="166" spans="1:14" ht="87" hidden="1">
      <c r="A166" s="77" t="s">
        <v>825</v>
      </c>
      <c r="B166" s="78">
        <v>1991</v>
      </c>
      <c r="C166" s="79"/>
      <c r="D166" s="79">
        <v>1</v>
      </c>
      <c r="E166" s="79">
        <v>0</v>
      </c>
      <c r="F166" s="80"/>
      <c r="G166" s="79">
        <v>1</v>
      </c>
      <c r="H166" s="79">
        <v>0</v>
      </c>
      <c r="I166" s="79">
        <v>1</v>
      </c>
      <c r="J166" s="79">
        <v>1</v>
      </c>
      <c r="K166" s="81" t="s">
        <v>833</v>
      </c>
      <c r="L166" s="82" t="s">
        <v>834</v>
      </c>
      <c r="M166" s="82" t="s">
        <v>835</v>
      </c>
    </row>
    <row r="167" spans="1:14" ht="43.5" hidden="1">
      <c r="A167" s="77" t="s">
        <v>825</v>
      </c>
      <c r="B167" s="78">
        <v>1995</v>
      </c>
      <c r="C167" s="79">
        <v>1</v>
      </c>
      <c r="D167" s="79"/>
      <c r="E167" s="79">
        <v>1</v>
      </c>
      <c r="F167" s="80" t="s">
        <v>836</v>
      </c>
      <c r="G167" s="79">
        <v>1</v>
      </c>
      <c r="H167" s="79">
        <v>1</v>
      </c>
      <c r="I167" s="79">
        <v>1</v>
      </c>
      <c r="J167" s="79">
        <v>1</v>
      </c>
      <c r="K167" s="81" t="s">
        <v>837</v>
      </c>
      <c r="L167" s="82" t="s">
        <v>838</v>
      </c>
      <c r="M167" s="81" t="s">
        <v>839</v>
      </c>
    </row>
    <row r="168" spans="1:14" ht="87" hidden="1">
      <c r="A168" s="77" t="s">
        <v>825</v>
      </c>
      <c r="B168" s="78">
        <v>2008</v>
      </c>
      <c r="C168" s="79">
        <v>1</v>
      </c>
      <c r="D168" s="79">
        <v>1</v>
      </c>
      <c r="E168" s="79">
        <v>1</v>
      </c>
      <c r="F168" s="80" t="s">
        <v>470</v>
      </c>
      <c r="G168" s="79">
        <v>0</v>
      </c>
      <c r="H168" s="79">
        <v>1</v>
      </c>
      <c r="I168" s="79">
        <v>0</v>
      </c>
      <c r="J168" s="79">
        <v>1</v>
      </c>
      <c r="K168" s="81" t="s">
        <v>840</v>
      </c>
      <c r="M168" s="82" t="s">
        <v>841</v>
      </c>
    </row>
    <row r="169" spans="1:14" hidden="1">
      <c r="A169" s="77" t="s">
        <v>825</v>
      </c>
      <c r="B169" s="78">
        <v>2011</v>
      </c>
      <c r="C169" s="79">
        <v>1</v>
      </c>
      <c r="D169" s="79"/>
      <c r="E169" s="79">
        <v>0</v>
      </c>
      <c r="F169" s="80"/>
      <c r="G169" s="79">
        <v>0</v>
      </c>
      <c r="H169" s="79">
        <v>0</v>
      </c>
      <c r="I169" s="79">
        <v>0</v>
      </c>
      <c r="J169" s="79">
        <v>0</v>
      </c>
      <c r="M169" s="82" t="s">
        <v>434</v>
      </c>
    </row>
    <row r="170" spans="1:14" ht="87" hidden="1">
      <c r="A170" s="77" t="s">
        <v>253</v>
      </c>
      <c r="B170" s="78">
        <v>1920</v>
      </c>
      <c r="C170" s="79">
        <v>1</v>
      </c>
      <c r="D170" s="79"/>
      <c r="E170" s="79">
        <v>1</v>
      </c>
      <c r="F170" s="80" t="s">
        <v>842</v>
      </c>
      <c r="G170" s="79">
        <v>1</v>
      </c>
      <c r="H170" s="79">
        <v>1</v>
      </c>
      <c r="I170" s="79">
        <v>1</v>
      </c>
      <c r="J170" s="79">
        <v>1</v>
      </c>
      <c r="K170" s="81" t="s">
        <v>843</v>
      </c>
      <c r="L170" s="82" t="s">
        <v>844</v>
      </c>
      <c r="M170" s="82" t="s">
        <v>845</v>
      </c>
    </row>
    <row r="171" spans="1:14" ht="58" hidden="1">
      <c r="A171" s="77" t="s">
        <v>253</v>
      </c>
      <c r="B171" s="78">
        <v>1930</v>
      </c>
      <c r="C171" s="79">
        <v>1</v>
      </c>
      <c r="D171" s="79"/>
      <c r="E171" s="79">
        <v>1</v>
      </c>
      <c r="F171" s="80" t="s">
        <v>846</v>
      </c>
      <c r="G171" s="79">
        <v>1</v>
      </c>
      <c r="H171" s="79">
        <v>1</v>
      </c>
      <c r="I171" s="79">
        <v>1</v>
      </c>
      <c r="J171" s="79">
        <v>1</v>
      </c>
      <c r="K171" s="81" t="s">
        <v>847</v>
      </c>
      <c r="L171" s="82" t="s">
        <v>844</v>
      </c>
      <c r="M171" s="82" t="s">
        <v>848</v>
      </c>
    </row>
    <row r="172" spans="1:14" ht="43.5" hidden="1">
      <c r="A172" s="77" t="s">
        <v>253</v>
      </c>
      <c r="B172" s="78">
        <v>1985</v>
      </c>
      <c r="C172" s="79"/>
      <c r="D172" s="79">
        <v>1</v>
      </c>
      <c r="E172" s="79">
        <v>0</v>
      </c>
      <c r="F172" s="80"/>
      <c r="G172" s="79">
        <v>1</v>
      </c>
      <c r="H172" s="79">
        <v>0</v>
      </c>
      <c r="I172" s="79">
        <v>1</v>
      </c>
      <c r="J172" s="79">
        <v>1</v>
      </c>
      <c r="K172" s="81" t="s">
        <v>849</v>
      </c>
      <c r="L172" s="82" t="s">
        <v>844</v>
      </c>
      <c r="M172" s="82" t="s">
        <v>850</v>
      </c>
    </row>
    <row r="173" spans="1:14" ht="72.5" hidden="1">
      <c r="A173" s="77" t="s">
        <v>253</v>
      </c>
      <c r="B173" s="78">
        <v>1993</v>
      </c>
      <c r="C173" s="79"/>
      <c r="D173" s="79">
        <v>1</v>
      </c>
      <c r="E173" s="79">
        <v>0</v>
      </c>
      <c r="F173" s="80"/>
      <c r="G173" s="79">
        <v>1</v>
      </c>
      <c r="H173" s="79">
        <v>0</v>
      </c>
      <c r="I173" s="79">
        <v>1</v>
      </c>
      <c r="J173" s="79">
        <v>1</v>
      </c>
      <c r="K173" s="81" t="s">
        <v>851</v>
      </c>
      <c r="L173" s="82" t="s">
        <v>844</v>
      </c>
      <c r="M173" s="82" t="s">
        <v>852</v>
      </c>
    </row>
    <row r="174" spans="1:14" ht="217.5" hidden="1">
      <c r="A174" s="77" t="s">
        <v>253</v>
      </c>
      <c r="B174" s="78">
        <v>2008</v>
      </c>
      <c r="C174" s="79">
        <v>1</v>
      </c>
      <c r="D174" s="79">
        <v>2007</v>
      </c>
      <c r="E174" s="79">
        <v>1</v>
      </c>
      <c r="F174" s="80" t="s">
        <v>470</v>
      </c>
      <c r="G174" s="79">
        <v>1</v>
      </c>
      <c r="H174" s="79">
        <v>1</v>
      </c>
      <c r="I174" s="79">
        <v>1</v>
      </c>
      <c r="J174" s="79">
        <v>1</v>
      </c>
      <c r="K174" s="81" t="s">
        <v>853</v>
      </c>
      <c r="L174" s="82" t="s">
        <v>854</v>
      </c>
      <c r="M174" s="82" t="s">
        <v>855</v>
      </c>
    </row>
    <row r="175" spans="1:14" ht="72.5" hidden="1">
      <c r="A175" s="77" t="s">
        <v>254</v>
      </c>
      <c r="B175" s="78">
        <v>1908</v>
      </c>
      <c r="C175" s="79">
        <v>0</v>
      </c>
      <c r="D175" s="79">
        <v>1</v>
      </c>
      <c r="E175" s="79">
        <v>0</v>
      </c>
      <c r="F175" s="80"/>
      <c r="G175" s="79">
        <v>0</v>
      </c>
      <c r="H175" s="79">
        <v>0</v>
      </c>
      <c r="I175" s="79">
        <v>0</v>
      </c>
      <c r="J175" s="79">
        <v>0</v>
      </c>
      <c r="N175" s="82" t="s">
        <v>856</v>
      </c>
    </row>
    <row r="176" spans="1:14" ht="58" hidden="1">
      <c r="A176" s="77" t="s">
        <v>254</v>
      </c>
      <c r="B176" s="78">
        <v>1913</v>
      </c>
      <c r="C176" s="79">
        <v>0</v>
      </c>
      <c r="D176" s="79">
        <v>1</v>
      </c>
      <c r="E176" s="79">
        <v>1</v>
      </c>
      <c r="F176" s="80" t="s">
        <v>857</v>
      </c>
      <c r="G176" s="79">
        <v>1</v>
      </c>
      <c r="H176" s="79">
        <v>1</v>
      </c>
      <c r="I176" s="79">
        <v>0</v>
      </c>
      <c r="J176" s="79">
        <v>1</v>
      </c>
      <c r="K176" s="81" t="s">
        <v>858</v>
      </c>
      <c r="L176" s="82" t="s">
        <v>859</v>
      </c>
      <c r="M176" s="82" t="s">
        <v>860</v>
      </c>
    </row>
    <row r="177" spans="1:14" ht="72.5" hidden="1">
      <c r="A177" s="77" t="s">
        <v>254</v>
      </c>
      <c r="B177" s="78">
        <v>1920</v>
      </c>
      <c r="C177" s="79">
        <v>1</v>
      </c>
      <c r="D177" s="79">
        <v>1921</v>
      </c>
      <c r="E177" s="79">
        <v>0</v>
      </c>
      <c r="F177" s="80"/>
      <c r="G177" s="79">
        <v>1</v>
      </c>
      <c r="H177" s="79">
        <v>0</v>
      </c>
      <c r="I177" s="79">
        <v>1</v>
      </c>
      <c r="J177" s="79">
        <v>1</v>
      </c>
      <c r="K177" s="81" t="s">
        <v>861</v>
      </c>
      <c r="L177" s="82" t="s">
        <v>862</v>
      </c>
      <c r="M177" s="82" t="s">
        <v>863</v>
      </c>
      <c r="N177" s="87" t="s">
        <v>864</v>
      </c>
    </row>
    <row r="178" spans="1:14" ht="72.5" hidden="1">
      <c r="A178" s="77" t="s">
        <v>254</v>
      </c>
      <c r="B178" s="78">
        <v>1929</v>
      </c>
      <c r="C178" s="79">
        <v>0</v>
      </c>
      <c r="D178" s="79">
        <v>1</v>
      </c>
      <c r="E178" s="79">
        <v>0</v>
      </c>
      <c r="F178" s="80"/>
      <c r="G178" s="79">
        <v>0</v>
      </c>
      <c r="H178" s="79">
        <v>0</v>
      </c>
      <c r="I178" s="79">
        <v>0</v>
      </c>
      <c r="J178" s="79">
        <v>0</v>
      </c>
      <c r="N178" s="82" t="s">
        <v>865</v>
      </c>
    </row>
    <row r="179" spans="1:14" ht="43.5" hidden="1">
      <c r="A179" s="77" t="s">
        <v>254</v>
      </c>
      <c r="B179" s="78">
        <v>1947</v>
      </c>
      <c r="C179" s="79"/>
      <c r="D179" s="79">
        <v>1</v>
      </c>
      <c r="E179" s="79">
        <v>0</v>
      </c>
      <c r="F179" s="80"/>
      <c r="G179" s="79">
        <v>0</v>
      </c>
      <c r="H179" s="79">
        <v>0</v>
      </c>
      <c r="I179" s="79">
        <v>0</v>
      </c>
      <c r="J179" s="79">
        <v>0</v>
      </c>
      <c r="N179" s="82" t="s">
        <v>866</v>
      </c>
    </row>
    <row r="180" spans="1:14" ht="87" hidden="1">
      <c r="A180" s="77" t="s">
        <v>254</v>
      </c>
      <c r="B180" s="78">
        <v>1993</v>
      </c>
      <c r="C180" s="79">
        <v>1</v>
      </c>
      <c r="D180" s="79">
        <v>1991</v>
      </c>
      <c r="E180" s="79">
        <v>0</v>
      </c>
      <c r="F180" s="80"/>
      <c r="G180" s="79">
        <v>1</v>
      </c>
      <c r="H180" s="79">
        <v>0</v>
      </c>
      <c r="I180" s="79">
        <v>1</v>
      </c>
      <c r="J180" s="79">
        <v>1</v>
      </c>
      <c r="K180" s="81" t="s">
        <v>867</v>
      </c>
      <c r="M180" s="82" t="s">
        <v>868</v>
      </c>
      <c r="N180" s="81" t="s">
        <v>869</v>
      </c>
    </row>
    <row r="181" spans="1:14" ht="29" hidden="1">
      <c r="A181" s="77" t="s">
        <v>254</v>
      </c>
      <c r="B181" s="78">
        <v>1998</v>
      </c>
      <c r="C181" s="79">
        <v>1</v>
      </c>
      <c r="D181" s="79"/>
      <c r="E181" s="79">
        <v>0</v>
      </c>
      <c r="F181" s="80"/>
      <c r="G181" s="79">
        <v>0</v>
      </c>
      <c r="H181" s="79">
        <v>0</v>
      </c>
      <c r="I181" s="79">
        <v>0</v>
      </c>
      <c r="J181" s="79">
        <v>0</v>
      </c>
      <c r="M181" s="82" t="s">
        <v>870</v>
      </c>
    </row>
    <row r="182" spans="1:14" hidden="1">
      <c r="A182" s="77" t="s">
        <v>254</v>
      </c>
      <c r="B182" s="78">
        <v>2011</v>
      </c>
      <c r="C182" s="79">
        <v>1</v>
      </c>
      <c r="D182" s="79"/>
      <c r="E182" s="79">
        <v>0</v>
      </c>
      <c r="F182" s="80"/>
      <c r="G182" s="79">
        <v>0</v>
      </c>
      <c r="H182" s="79">
        <v>0</v>
      </c>
      <c r="I182" s="79">
        <v>0</v>
      </c>
      <c r="J182" s="79">
        <v>0</v>
      </c>
      <c r="M182" s="82" t="s">
        <v>434</v>
      </c>
    </row>
    <row r="183" spans="1:14" ht="43.5" hidden="1">
      <c r="A183" s="77" t="s">
        <v>255</v>
      </c>
      <c r="B183" s="78">
        <v>1990</v>
      </c>
      <c r="C183" s="79">
        <v>1</v>
      </c>
      <c r="D183" s="79" t="s">
        <v>871</v>
      </c>
      <c r="E183" s="79">
        <v>1</v>
      </c>
      <c r="F183" s="80" t="s">
        <v>872</v>
      </c>
      <c r="G183" s="79">
        <v>1</v>
      </c>
      <c r="H183" s="79">
        <v>1</v>
      </c>
      <c r="I183" s="79">
        <v>1</v>
      </c>
      <c r="J183" s="79">
        <v>1</v>
      </c>
      <c r="K183" s="81" t="s">
        <v>873</v>
      </c>
      <c r="L183" s="82" t="s">
        <v>874</v>
      </c>
      <c r="M183" s="82" t="s">
        <v>875</v>
      </c>
      <c r="N183" s="81" t="s">
        <v>876</v>
      </c>
    </row>
    <row r="184" spans="1:14" ht="58" hidden="1">
      <c r="A184" s="77" t="s">
        <v>255</v>
      </c>
      <c r="B184" s="78">
        <v>1998</v>
      </c>
      <c r="C184" s="79">
        <v>1</v>
      </c>
      <c r="D184" s="79">
        <v>1997</v>
      </c>
      <c r="E184" s="79">
        <v>1</v>
      </c>
      <c r="F184" s="80" t="s">
        <v>819</v>
      </c>
      <c r="G184" s="79">
        <v>1</v>
      </c>
      <c r="H184" s="79">
        <v>1</v>
      </c>
      <c r="I184" s="79">
        <v>1</v>
      </c>
      <c r="J184" s="79">
        <v>1</v>
      </c>
      <c r="K184" s="81" t="s">
        <v>877</v>
      </c>
      <c r="L184" s="82" t="s">
        <v>878</v>
      </c>
      <c r="M184" s="82" t="s">
        <v>879</v>
      </c>
      <c r="N184" s="81" t="s">
        <v>880</v>
      </c>
    </row>
    <row r="185" spans="1:14">
      <c r="A185" s="77" t="s">
        <v>257</v>
      </c>
      <c r="B185" s="78">
        <v>1974</v>
      </c>
      <c r="C185" s="79">
        <v>1</v>
      </c>
      <c r="D185" s="79"/>
      <c r="E185" s="79">
        <v>0</v>
      </c>
      <c r="F185" s="80"/>
      <c r="G185" s="79">
        <v>0</v>
      </c>
      <c r="H185" s="79">
        <v>0</v>
      </c>
      <c r="I185" s="79">
        <v>0</v>
      </c>
      <c r="J185" s="79">
        <v>0</v>
      </c>
      <c r="M185" s="82" t="s">
        <v>434</v>
      </c>
    </row>
    <row r="186" spans="1:14">
      <c r="A186" s="77" t="s">
        <v>257</v>
      </c>
      <c r="B186" s="78">
        <v>1990</v>
      </c>
      <c r="C186" s="79">
        <v>1</v>
      </c>
      <c r="D186" s="79"/>
      <c r="E186" s="79">
        <v>0</v>
      </c>
      <c r="F186" s="80"/>
      <c r="G186" s="79">
        <v>0</v>
      </c>
      <c r="H186" s="79">
        <v>0</v>
      </c>
      <c r="I186" s="79">
        <v>0</v>
      </c>
      <c r="J186" s="79">
        <v>0</v>
      </c>
      <c r="M186" s="82" t="s">
        <v>434</v>
      </c>
    </row>
    <row r="187" spans="1:14" ht="43.5">
      <c r="A187" s="77" t="s">
        <v>257</v>
      </c>
      <c r="B187" s="78">
        <v>2007</v>
      </c>
      <c r="C187" s="79">
        <v>1</v>
      </c>
      <c r="D187" s="79">
        <v>1</v>
      </c>
      <c r="E187" s="79">
        <v>1</v>
      </c>
      <c r="F187" s="80" t="s">
        <v>470</v>
      </c>
      <c r="G187" s="79">
        <v>1</v>
      </c>
      <c r="H187" s="79">
        <v>1</v>
      </c>
      <c r="I187" s="79">
        <v>1</v>
      </c>
      <c r="J187" s="79">
        <v>1</v>
      </c>
      <c r="K187" s="81" t="s">
        <v>881</v>
      </c>
      <c r="L187" s="82" t="s">
        <v>882</v>
      </c>
      <c r="M187" s="82" t="s">
        <v>883</v>
      </c>
    </row>
    <row r="188" spans="1:14" ht="87">
      <c r="A188" s="77" t="s">
        <v>257</v>
      </c>
      <c r="B188" s="78">
        <v>2010</v>
      </c>
      <c r="C188" s="79">
        <v>1</v>
      </c>
      <c r="D188" s="79"/>
      <c r="E188" s="79">
        <v>1</v>
      </c>
      <c r="F188" s="80" t="s">
        <v>884</v>
      </c>
      <c r="G188" s="79">
        <v>1</v>
      </c>
      <c r="H188" s="79">
        <v>1</v>
      </c>
      <c r="I188" s="79">
        <v>1</v>
      </c>
      <c r="J188" s="79">
        <v>1</v>
      </c>
      <c r="K188" s="81" t="s">
        <v>885</v>
      </c>
      <c r="L188" s="82" t="s">
        <v>886</v>
      </c>
      <c r="M188" s="82" t="s">
        <v>887</v>
      </c>
    </row>
    <row r="189" spans="1:14">
      <c r="A189" s="77" t="s">
        <v>257</v>
      </c>
      <c r="B189" s="78">
        <v>2016</v>
      </c>
      <c r="C189" s="79">
        <v>1</v>
      </c>
      <c r="D189" s="79"/>
      <c r="E189" s="79">
        <v>0</v>
      </c>
      <c r="F189" s="80"/>
      <c r="G189" s="79">
        <v>0</v>
      </c>
      <c r="H189" s="79">
        <v>0</v>
      </c>
      <c r="I189" s="79">
        <v>0</v>
      </c>
      <c r="J189" s="79">
        <v>0</v>
      </c>
      <c r="M189" s="82" t="s">
        <v>434</v>
      </c>
    </row>
    <row r="190" spans="1:14" ht="101.5" hidden="1">
      <c r="A190" s="77" t="s">
        <v>258</v>
      </c>
      <c r="B190" s="78">
        <v>1977</v>
      </c>
      <c r="C190" s="79">
        <v>0</v>
      </c>
      <c r="D190" s="79">
        <v>1</v>
      </c>
      <c r="E190" s="79">
        <v>0</v>
      </c>
      <c r="F190" s="80"/>
      <c r="G190" s="79">
        <v>0</v>
      </c>
      <c r="H190" s="79">
        <v>0</v>
      </c>
      <c r="I190" s="79">
        <v>0</v>
      </c>
      <c r="J190" s="79">
        <v>0</v>
      </c>
      <c r="N190" s="82" t="s">
        <v>888</v>
      </c>
    </row>
    <row r="191" spans="1:14" ht="87" hidden="1">
      <c r="A191" s="77" t="s">
        <v>258</v>
      </c>
      <c r="B191" s="78">
        <v>1983</v>
      </c>
      <c r="C191" s="79">
        <v>1</v>
      </c>
      <c r="D191" s="79">
        <v>1</v>
      </c>
      <c r="E191" s="79">
        <v>0</v>
      </c>
      <c r="F191" s="80"/>
      <c r="G191" s="79">
        <v>1</v>
      </c>
      <c r="H191" s="79">
        <v>0</v>
      </c>
      <c r="I191" s="79">
        <v>1</v>
      </c>
      <c r="J191" s="79">
        <v>1</v>
      </c>
      <c r="K191" s="81" t="s">
        <v>889</v>
      </c>
      <c r="L191" s="82" t="s">
        <v>890</v>
      </c>
      <c r="M191" s="82" t="s">
        <v>891</v>
      </c>
    </row>
    <row r="192" spans="1:14" hidden="1">
      <c r="A192" s="77" t="s">
        <v>258</v>
      </c>
      <c r="B192" s="78">
        <v>1988</v>
      </c>
      <c r="C192" s="79">
        <v>1</v>
      </c>
      <c r="D192" s="79"/>
      <c r="E192" s="79">
        <v>0</v>
      </c>
      <c r="F192" s="80"/>
      <c r="G192" s="79">
        <v>0</v>
      </c>
      <c r="H192" s="79">
        <v>0</v>
      </c>
      <c r="I192" s="79">
        <v>0</v>
      </c>
      <c r="J192" s="79">
        <v>0</v>
      </c>
      <c r="M192" s="82" t="s">
        <v>434</v>
      </c>
    </row>
    <row r="193" spans="1:14" ht="58" hidden="1">
      <c r="A193" s="77" t="s">
        <v>258</v>
      </c>
      <c r="B193" s="78">
        <v>2002</v>
      </c>
      <c r="C193" s="79">
        <v>1</v>
      </c>
      <c r="D193" s="79"/>
      <c r="E193" s="79">
        <v>0</v>
      </c>
      <c r="F193" s="80"/>
      <c r="G193" s="79">
        <v>0</v>
      </c>
      <c r="H193" s="79">
        <v>0</v>
      </c>
      <c r="I193" s="79">
        <v>0</v>
      </c>
      <c r="J193" s="79">
        <v>0</v>
      </c>
      <c r="M193" s="82" t="s">
        <v>892</v>
      </c>
    </row>
    <row r="194" spans="1:14" ht="43.5" hidden="1">
      <c r="A194" s="77" t="s">
        <v>258</v>
      </c>
      <c r="B194" s="78">
        <v>2008</v>
      </c>
      <c r="C194" s="79">
        <v>1</v>
      </c>
      <c r="D194" s="79"/>
      <c r="E194" s="79">
        <v>0</v>
      </c>
      <c r="F194" s="80"/>
      <c r="G194" s="79">
        <v>0</v>
      </c>
      <c r="H194" s="79">
        <v>0</v>
      </c>
      <c r="I194" s="79">
        <v>0</v>
      </c>
      <c r="J194" s="79">
        <v>0</v>
      </c>
      <c r="M194" s="82" t="s">
        <v>893</v>
      </c>
    </row>
    <row r="195" spans="1:14" hidden="1">
      <c r="A195" s="77" t="s">
        <v>258</v>
      </c>
      <c r="B195" s="78">
        <v>2011</v>
      </c>
      <c r="C195" s="79">
        <v>1</v>
      </c>
      <c r="D195" s="79"/>
      <c r="E195" s="79">
        <v>0</v>
      </c>
      <c r="F195" s="80"/>
      <c r="G195" s="79">
        <v>0</v>
      </c>
      <c r="H195" s="79">
        <v>0</v>
      </c>
      <c r="I195" s="79">
        <v>0</v>
      </c>
      <c r="J195" s="79">
        <v>0</v>
      </c>
      <c r="M195" s="82" t="s">
        <v>434</v>
      </c>
    </row>
    <row r="196" spans="1:14" ht="72.5" hidden="1">
      <c r="A196" s="77" t="s">
        <v>259</v>
      </c>
      <c r="B196" s="78">
        <v>1873</v>
      </c>
      <c r="C196" s="79">
        <v>0</v>
      </c>
      <c r="D196" s="79">
        <v>1</v>
      </c>
      <c r="E196" s="79">
        <v>1</v>
      </c>
      <c r="F196" s="80" t="s">
        <v>483</v>
      </c>
      <c r="G196" s="79">
        <v>1</v>
      </c>
      <c r="H196" s="79">
        <v>1</v>
      </c>
      <c r="I196" s="79">
        <v>0</v>
      </c>
      <c r="J196" s="79">
        <v>1</v>
      </c>
      <c r="K196" s="81" t="s">
        <v>894</v>
      </c>
      <c r="L196" s="82" t="s">
        <v>895</v>
      </c>
      <c r="M196" s="82" t="s">
        <v>896</v>
      </c>
      <c r="N196" s="82" t="s">
        <v>897</v>
      </c>
    </row>
    <row r="197" spans="1:14" ht="72.5" hidden="1">
      <c r="A197" s="77" t="s">
        <v>259</v>
      </c>
      <c r="B197" s="78">
        <v>1889</v>
      </c>
      <c r="C197" s="79">
        <v>1</v>
      </c>
      <c r="D197" s="79">
        <v>1887</v>
      </c>
      <c r="E197" s="79">
        <v>1</v>
      </c>
      <c r="F197" s="80" t="s">
        <v>898</v>
      </c>
      <c r="G197" s="79">
        <v>1</v>
      </c>
      <c r="H197" s="79">
        <v>1</v>
      </c>
      <c r="I197" s="79">
        <v>1</v>
      </c>
      <c r="J197" s="79">
        <v>1</v>
      </c>
      <c r="K197" s="81" t="s">
        <v>899</v>
      </c>
      <c r="L197" s="82" t="s">
        <v>900</v>
      </c>
      <c r="N197" s="82" t="s">
        <v>901</v>
      </c>
    </row>
    <row r="198" spans="1:14" ht="159.5" hidden="1">
      <c r="A198" s="77" t="s">
        <v>259</v>
      </c>
      <c r="B198" s="78">
        <v>1891</v>
      </c>
      <c r="C198" s="79">
        <v>1</v>
      </c>
      <c r="D198" s="79" t="s">
        <v>902</v>
      </c>
      <c r="E198" s="79">
        <v>1</v>
      </c>
      <c r="F198" s="80" t="s">
        <v>903</v>
      </c>
      <c r="G198" s="79">
        <v>1</v>
      </c>
      <c r="H198" s="79">
        <v>1</v>
      </c>
      <c r="I198" s="79">
        <v>1</v>
      </c>
      <c r="J198" s="79">
        <v>1</v>
      </c>
      <c r="K198" s="81" t="s">
        <v>904</v>
      </c>
      <c r="L198" s="82" t="s">
        <v>905</v>
      </c>
      <c r="M198" s="82" t="s">
        <v>906</v>
      </c>
      <c r="N198" s="82" t="s">
        <v>907</v>
      </c>
    </row>
    <row r="199" spans="1:14" ht="43.5" hidden="1">
      <c r="A199" s="77" t="s">
        <v>259</v>
      </c>
      <c r="B199" s="78">
        <v>1907</v>
      </c>
      <c r="C199" s="79">
        <v>1</v>
      </c>
      <c r="D199" s="79">
        <v>1</v>
      </c>
      <c r="E199" s="79">
        <v>1</v>
      </c>
      <c r="F199" s="83" t="s">
        <v>908</v>
      </c>
      <c r="G199" s="79">
        <v>1</v>
      </c>
      <c r="H199" s="79">
        <v>1</v>
      </c>
      <c r="I199" s="79">
        <v>1</v>
      </c>
      <c r="J199" s="79">
        <v>1</v>
      </c>
      <c r="K199" s="81" t="s">
        <v>909</v>
      </c>
      <c r="L199" s="82" t="s">
        <v>910</v>
      </c>
      <c r="M199" s="82" t="s">
        <v>911</v>
      </c>
      <c r="N199" s="81" t="s">
        <v>912</v>
      </c>
    </row>
    <row r="200" spans="1:14" ht="72.5" hidden="1">
      <c r="A200" s="77" t="s">
        <v>259</v>
      </c>
      <c r="B200" s="78">
        <v>1914</v>
      </c>
      <c r="C200" s="79">
        <v>1</v>
      </c>
      <c r="D200" s="79">
        <v>1</v>
      </c>
      <c r="E200" s="79">
        <v>1</v>
      </c>
      <c r="F200" s="80" t="s">
        <v>394</v>
      </c>
      <c r="G200" s="79">
        <v>1</v>
      </c>
      <c r="H200" s="79">
        <v>1</v>
      </c>
      <c r="I200" s="79">
        <v>1</v>
      </c>
      <c r="J200" s="79">
        <v>1</v>
      </c>
      <c r="K200" s="81" t="s">
        <v>913</v>
      </c>
      <c r="L200" s="82" t="s">
        <v>914</v>
      </c>
      <c r="M200" s="82" t="s">
        <v>915</v>
      </c>
      <c r="N200" s="81" t="s">
        <v>916</v>
      </c>
    </row>
    <row r="201" spans="1:14" ht="72.5" hidden="1">
      <c r="A201" s="77" t="s">
        <v>259</v>
      </c>
      <c r="B201" s="78">
        <v>1921</v>
      </c>
      <c r="C201" s="79">
        <v>1</v>
      </c>
      <c r="D201" s="79">
        <v>1</v>
      </c>
      <c r="E201" s="79">
        <v>1</v>
      </c>
      <c r="F201" s="80" t="s">
        <v>917</v>
      </c>
      <c r="G201" s="79">
        <v>1</v>
      </c>
      <c r="H201" s="79">
        <v>1</v>
      </c>
      <c r="I201" s="79">
        <v>1</v>
      </c>
      <c r="J201" s="79">
        <v>1</v>
      </c>
      <c r="K201" s="81" t="s">
        <v>918</v>
      </c>
      <c r="L201" s="82" t="s">
        <v>919</v>
      </c>
      <c r="M201" s="82" t="s">
        <v>920</v>
      </c>
      <c r="N201" s="82" t="s">
        <v>921</v>
      </c>
    </row>
    <row r="202" spans="1:14" ht="58" hidden="1">
      <c r="A202" s="77" t="s">
        <v>259</v>
      </c>
      <c r="B202" s="78">
        <v>1930</v>
      </c>
      <c r="C202" s="79">
        <v>0</v>
      </c>
      <c r="D202" s="79">
        <v>1</v>
      </c>
      <c r="E202" s="79">
        <v>1</v>
      </c>
      <c r="F202" s="80" t="s">
        <v>922</v>
      </c>
      <c r="G202" s="79">
        <v>1</v>
      </c>
      <c r="H202" s="79">
        <v>1</v>
      </c>
      <c r="I202" s="79">
        <v>0</v>
      </c>
      <c r="J202" s="79">
        <v>1</v>
      </c>
      <c r="K202" s="81" t="s">
        <v>923</v>
      </c>
      <c r="L202" s="82" t="s">
        <v>924</v>
      </c>
      <c r="M202" s="82" t="s">
        <v>925</v>
      </c>
      <c r="N202" s="81" t="s">
        <v>926</v>
      </c>
    </row>
    <row r="203" spans="1:14" ht="43.5" hidden="1">
      <c r="A203" s="77" t="s">
        <v>259</v>
      </c>
      <c r="B203" s="78">
        <v>1935</v>
      </c>
      <c r="C203" s="79"/>
      <c r="D203" s="79">
        <v>1</v>
      </c>
      <c r="E203" s="79">
        <v>0</v>
      </c>
      <c r="F203" s="80"/>
      <c r="G203" s="79">
        <v>0</v>
      </c>
      <c r="H203" s="79">
        <v>0</v>
      </c>
      <c r="I203" s="79">
        <v>0</v>
      </c>
      <c r="J203" s="79">
        <v>0</v>
      </c>
      <c r="N203" s="81" t="s">
        <v>927</v>
      </c>
    </row>
    <row r="204" spans="1:14" hidden="1">
      <c r="A204" s="77" t="s">
        <v>259</v>
      </c>
      <c r="B204" s="78">
        <v>1962</v>
      </c>
      <c r="C204" s="79">
        <v>1</v>
      </c>
      <c r="D204" s="79"/>
      <c r="E204" s="79">
        <v>0</v>
      </c>
      <c r="F204" s="80"/>
      <c r="G204" s="79">
        <v>0</v>
      </c>
      <c r="H204" s="79">
        <v>0</v>
      </c>
      <c r="I204" s="79">
        <v>0</v>
      </c>
      <c r="J204" s="79">
        <v>0</v>
      </c>
      <c r="M204" s="82" t="s">
        <v>434</v>
      </c>
    </row>
    <row r="205" spans="1:14" hidden="1">
      <c r="A205" s="77" t="s">
        <v>259</v>
      </c>
      <c r="B205" s="78">
        <v>1974</v>
      </c>
      <c r="C205" s="79">
        <v>1</v>
      </c>
      <c r="D205" s="79"/>
      <c r="E205" s="79">
        <v>0</v>
      </c>
      <c r="F205" s="80"/>
      <c r="G205" s="79">
        <v>0</v>
      </c>
      <c r="H205" s="79">
        <v>0</v>
      </c>
      <c r="I205" s="79">
        <v>0</v>
      </c>
      <c r="J205" s="79">
        <v>0</v>
      </c>
      <c r="M205" s="82" t="s">
        <v>434</v>
      </c>
    </row>
    <row r="206" spans="1:14" ht="43.5" hidden="1">
      <c r="A206" s="77" t="s">
        <v>259</v>
      </c>
      <c r="B206" s="78">
        <v>1982</v>
      </c>
      <c r="C206" s="79">
        <v>1</v>
      </c>
      <c r="D206" s="79"/>
      <c r="E206" s="79">
        <v>0</v>
      </c>
      <c r="F206" s="80"/>
      <c r="G206" s="79">
        <v>0</v>
      </c>
      <c r="H206" s="79">
        <v>0</v>
      </c>
      <c r="I206" s="79">
        <v>0</v>
      </c>
      <c r="J206" s="79">
        <v>0</v>
      </c>
      <c r="K206" s="81" t="s">
        <v>928</v>
      </c>
      <c r="L206" s="82" t="s">
        <v>929</v>
      </c>
      <c r="M206" s="82" t="s">
        <v>930</v>
      </c>
    </row>
    <row r="207" spans="1:14" ht="130.5" hidden="1">
      <c r="A207" s="77" t="s">
        <v>259</v>
      </c>
      <c r="B207" s="78">
        <v>1992</v>
      </c>
      <c r="C207" s="79">
        <v>1</v>
      </c>
      <c r="D207" s="79">
        <v>1990</v>
      </c>
      <c r="E207" s="79">
        <v>0</v>
      </c>
      <c r="F207" s="80"/>
      <c r="G207" s="79">
        <v>1</v>
      </c>
      <c r="H207" s="79">
        <v>0</v>
      </c>
      <c r="I207" s="79">
        <v>1</v>
      </c>
      <c r="J207" s="79">
        <v>1</v>
      </c>
      <c r="K207" s="81" t="s">
        <v>931</v>
      </c>
      <c r="L207" s="82" t="s">
        <v>882</v>
      </c>
      <c r="M207" s="82" t="s">
        <v>932</v>
      </c>
    </row>
    <row r="208" spans="1:14" hidden="1">
      <c r="A208" s="77" t="s">
        <v>259</v>
      </c>
      <c r="B208" s="78">
        <v>2001</v>
      </c>
      <c r="C208" s="79">
        <v>1</v>
      </c>
      <c r="D208" s="79"/>
      <c r="E208" s="79">
        <v>0</v>
      </c>
      <c r="F208" s="80"/>
      <c r="G208" s="79">
        <v>0</v>
      </c>
      <c r="H208" s="79">
        <v>0</v>
      </c>
      <c r="I208" s="79">
        <v>0</v>
      </c>
      <c r="J208" s="79">
        <v>0</v>
      </c>
      <c r="M208" s="82" t="s">
        <v>434</v>
      </c>
    </row>
    <row r="209" spans="1:14" ht="101.5" hidden="1">
      <c r="A209" s="77" t="s">
        <v>259</v>
      </c>
      <c r="B209" s="78">
        <v>2008</v>
      </c>
      <c r="C209" s="79">
        <v>1</v>
      </c>
      <c r="D209" s="79">
        <v>1</v>
      </c>
      <c r="E209" s="79">
        <v>1</v>
      </c>
      <c r="F209" s="80" t="s">
        <v>470</v>
      </c>
      <c r="G209" s="85">
        <v>0</v>
      </c>
      <c r="H209" s="79">
        <v>1</v>
      </c>
      <c r="I209" s="79">
        <v>0</v>
      </c>
      <c r="J209" s="79">
        <v>1</v>
      </c>
      <c r="K209" s="81" t="s">
        <v>933</v>
      </c>
      <c r="M209" s="82" t="s">
        <v>934</v>
      </c>
    </row>
    <row r="210" spans="1:14" ht="174" hidden="1">
      <c r="A210" s="77" t="s">
        <v>259</v>
      </c>
      <c r="B210" s="78">
        <v>2011</v>
      </c>
      <c r="C210" s="79">
        <v>1</v>
      </c>
      <c r="D210" s="79"/>
      <c r="E210" s="79">
        <v>0</v>
      </c>
      <c r="F210" s="80"/>
      <c r="G210" s="79">
        <v>1</v>
      </c>
      <c r="H210" s="79">
        <v>0</v>
      </c>
      <c r="I210" s="79">
        <v>1</v>
      </c>
      <c r="J210" s="79">
        <v>1</v>
      </c>
      <c r="K210" s="81" t="s">
        <v>935</v>
      </c>
      <c r="L210" s="82" t="s">
        <v>936</v>
      </c>
      <c r="M210" s="82" t="s">
        <v>937</v>
      </c>
    </row>
    <row r="211" spans="1:14" ht="43.5" hidden="1">
      <c r="A211" s="77" t="s">
        <v>259</v>
      </c>
      <c r="B211" s="78">
        <v>2016</v>
      </c>
      <c r="C211" s="79">
        <v>1</v>
      </c>
      <c r="D211" s="79"/>
      <c r="E211" s="79">
        <v>0</v>
      </c>
      <c r="F211" s="80"/>
      <c r="G211" s="79">
        <v>1</v>
      </c>
      <c r="H211" s="79">
        <v>0</v>
      </c>
      <c r="I211" s="79">
        <v>1</v>
      </c>
      <c r="J211" s="79">
        <v>1</v>
      </c>
      <c r="K211" s="81" t="s">
        <v>938</v>
      </c>
      <c r="L211" s="82" t="s">
        <v>939</v>
      </c>
      <c r="M211" s="82" t="s">
        <v>940</v>
      </c>
    </row>
    <row r="212" spans="1:14" ht="145" hidden="1">
      <c r="A212" s="77" t="s">
        <v>261</v>
      </c>
      <c r="B212" s="78">
        <v>1871</v>
      </c>
      <c r="C212" s="79"/>
      <c r="D212" s="79">
        <v>1</v>
      </c>
      <c r="E212" s="79">
        <v>1</v>
      </c>
      <c r="F212" s="80" t="s">
        <v>941</v>
      </c>
      <c r="G212" s="79">
        <v>1</v>
      </c>
      <c r="H212" s="79">
        <v>1</v>
      </c>
      <c r="I212" s="79">
        <v>1</v>
      </c>
      <c r="J212" s="79">
        <v>1</v>
      </c>
      <c r="K212" s="81" t="s">
        <v>942</v>
      </c>
      <c r="L212" s="82" t="s">
        <v>943</v>
      </c>
      <c r="M212" s="82" t="s">
        <v>944</v>
      </c>
      <c r="N212" s="82" t="s">
        <v>945</v>
      </c>
    </row>
    <row r="213" spans="1:14" ht="203" hidden="1">
      <c r="A213" s="77" t="s">
        <v>261</v>
      </c>
      <c r="B213" s="78">
        <v>1882</v>
      </c>
      <c r="C213" s="79"/>
      <c r="D213" s="79">
        <v>1</v>
      </c>
      <c r="E213" s="79">
        <v>1</v>
      </c>
      <c r="F213" s="80" t="s">
        <v>483</v>
      </c>
      <c r="G213" s="79">
        <v>1</v>
      </c>
      <c r="H213" s="79">
        <v>1</v>
      </c>
      <c r="I213" s="79">
        <v>1</v>
      </c>
      <c r="J213" s="79">
        <v>1</v>
      </c>
      <c r="K213" s="81" t="s">
        <v>946</v>
      </c>
      <c r="M213" s="82" t="s">
        <v>947</v>
      </c>
      <c r="N213" s="82" t="s">
        <v>948</v>
      </c>
    </row>
    <row r="214" spans="1:14" ht="116" hidden="1">
      <c r="A214" s="77" t="s">
        <v>261</v>
      </c>
      <c r="B214" s="78">
        <v>1890</v>
      </c>
      <c r="C214" s="79"/>
      <c r="D214" s="79">
        <v>1</v>
      </c>
      <c r="E214" s="79">
        <v>1</v>
      </c>
      <c r="F214" s="80"/>
      <c r="G214" s="79">
        <v>1</v>
      </c>
      <c r="H214" s="79">
        <v>1</v>
      </c>
      <c r="I214" s="79">
        <v>1</v>
      </c>
      <c r="J214" s="79">
        <v>1</v>
      </c>
      <c r="K214" s="81" t="s">
        <v>949</v>
      </c>
      <c r="L214" s="82" t="s">
        <v>950</v>
      </c>
      <c r="M214" s="82" t="s">
        <v>951</v>
      </c>
      <c r="N214" s="81" t="s">
        <v>952</v>
      </c>
    </row>
    <row r="215" spans="1:14" ht="87" hidden="1">
      <c r="A215" s="77" t="s">
        <v>261</v>
      </c>
      <c r="B215" s="78">
        <v>1901</v>
      </c>
      <c r="C215" s="79">
        <v>0</v>
      </c>
      <c r="D215" s="79">
        <v>1</v>
      </c>
      <c r="E215" s="79">
        <v>1</v>
      </c>
      <c r="F215" s="80" t="s">
        <v>953</v>
      </c>
      <c r="G215" s="79">
        <v>1</v>
      </c>
      <c r="H215" s="79">
        <v>1</v>
      </c>
      <c r="I215" s="79">
        <v>0</v>
      </c>
      <c r="J215" s="79">
        <v>1</v>
      </c>
      <c r="K215" s="81" t="s">
        <v>954</v>
      </c>
      <c r="L215" s="82" t="s">
        <v>955</v>
      </c>
      <c r="M215" s="82" t="s">
        <v>956</v>
      </c>
      <c r="N215" s="81" t="s">
        <v>957</v>
      </c>
    </row>
    <row r="216" spans="1:14" ht="58" hidden="1">
      <c r="A216" s="77" t="s">
        <v>261</v>
      </c>
      <c r="B216" s="78">
        <v>1907</v>
      </c>
      <c r="C216" s="79">
        <v>1</v>
      </c>
      <c r="D216" s="79">
        <v>1</v>
      </c>
      <c r="E216" s="79">
        <v>1</v>
      </c>
      <c r="F216" s="83" t="s">
        <v>958</v>
      </c>
      <c r="G216" s="79">
        <v>1</v>
      </c>
      <c r="H216" s="79">
        <v>1</v>
      </c>
      <c r="I216" s="79">
        <v>1</v>
      </c>
      <c r="J216" s="79">
        <v>1</v>
      </c>
      <c r="K216" s="81" t="s">
        <v>959</v>
      </c>
      <c r="L216" s="82" t="s">
        <v>960</v>
      </c>
      <c r="M216" s="82" t="s">
        <v>961</v>
      </c>
      <c r="N216" s="81" t="s">
        <v>962</v>
      </c>
    </row>
    <row r="217" spans="1:14" ht="43.5" hidden="1">
      <c r="A217" s="77" t="s">
        <v>261</v>
      </c>
      <c r="B217" s="78">
        <v>1914</v>
      </c>
      <c r="C217" s="79">
        <v>0</v>
      </c>
      <c r="D217" s="79">
        <v>1</v>
      </c>
      <c r="E217" s="79">
        <v>0</v>
      </c>
      <c r="F217" s="80"/>
      <c r="G217" s="79">
        <v>0</v>
      </c>
      <c r="H217" s="79">
        <v>0</v>
      </c>
      <c r="I217" s="79">
        <v>0</v>
      </c>
      <c r="J217" s="79">
        <v>0</v>
      </c>
      <c r="K217" s="81" t="s">
        <v>963</v>
      </c>
      <c r="L217" s="82" t="s">
        <v>964</v>
      </c>
      <c r="M217" s="82" t="s">
        <v>965</v>
      </c>
    </row>
    <row r="218" spans="1:14" ht="58" hidden="1">
      <c r="A218" s="77" t="s">
        <v>261</v>
      </c>
      <c r="B218" s="78">
        <v>1917</v>
      </c>
      <c r="C218" s="79">
        <v>0</v>
      </c>
      <c r="D218" s="79">
        <v>1</v>
      </c>
      <c r="E218" s="79">
        <v>0</v>
      </c>
      <c r="F218" s="80"/>
      <c r="G218" s="79">
        <v>0</v>
      </c>
      <c r="H218" s="79">
        <v>0</v>
      </c>
      <c r="I218" s="79">
        <v>0</v>
      </c>
      <c r="J218" s="79">
        <v>0</v>
      </c>
      <c r="N218" s="82" t="s">
        <v>966</v>
      </c>
    </row>
    <row r="219" spans="1:14" ht="72.5" hidden="1">
      <c r="A219" s="77" t="s">
        <v>261</v>
      </c>
      <c r="B219" s="78">
        <v>1920</v>
      </c>
      <c r="C219" s="79">
        <v>1</v>
      </c>
      <c r="D219" s="79">
        <v>1</v>
      </c>
      <c r="E219" s="79">
        <v>1</v>
      </c>
      <c r="F219" s="80" t="s">
        <v>967</v>
      </c>
      <c r="G219" s="79">
        <v>1</v>
      </c>
      <c r="H219" s="79">
        <v>1</v>
      </c>
      <c r="I219" s="79">
        <v>1</v>
      </c>
      <c r="J219" s="79">
        <v>1</v>
      </c>
      <c r="K219" s="81" t="s">
        <v>968</v>
      </c>
      <c r="L219" s="82" t="s">
        <v>969</v>
      </c>
      <c r="M219" s="82" t="s">
        <v>970</v>
      </c>
    </row>
    <row r="220" spans="1:14" ht="43.5" hidden="1">
      <c r="A220" s="77" t="s">
        <v>261</v>
      </c>
      <c r="B220" s="78">
        <v>1922</v>
      </c>
      <c r="C220" s="79">
        <v>1</v>
      </c>
      <c r="D220" s="79"/>
      <c r="E220" s="79">
        <v>1</v>
      </c>
      <c r="F220" s="80" t="s">
        <v>971</v>
      </c>
      <c r="G220" s="79">
        <v>1</v>
      </c>
      <c r="H220" s="79">
        <v>1</v>
      </c>
      <c r="I220" s="79">
        <v>1</v>
      </c>
      <c r="J220" s="79">
        <v>1</v>
      </c>
      <c r="K220" s="81" t="s">
        <v>972</v>
      </c>
      <c r="L220" s="82" t="s">
        <v>964</v>
      </c>
      <c r="M220" s="82" t="s">
        <v>973</v>
      </c>
    </row>
    <row r="221" spans="1:14" ht="72.5" hidden="1">
      <c r="A221" s="77" t="s">
        <v>261</v>
      </c>
      <c r="B221" s="78">
        <v>1923</v>
      </c>
      <c r="C221" s="79">
        <v>1</v>
      </c>
      <c r="D221" s="79">
        <v>1</v>
      </c>
      <c r="E221" s="79">
        <v>1</v>
      </c>
      <c r="F221" s="80" t="s">
        <v>974</v>
      </c>
      <c r="G221" s="79">
        <v>1</v>
      </c>
      <c r="H221" s="79">
        <v>1</v>
      </c>
      <c r="I221" s="79">
        <v>1</v>
      </c>
      <c r="J221" s="79">
        <v>1</v>
      </c>
      <c r="K221" s="81" t="s">
        <v>975</v>
      </c>
      <c r="L221" s="82" t="s">
        <v>976</v>
      </c>
      <c r="M221" s="82" t="s">
        <v>977</v>
      </c>
      <c r="N221" s="81" t="s">
        <v>978</v>
      </c>
    </row>
    <row r="222" spans="1:14" ht="72.5" hidden="1">
      <c r="A222" s="77" t="s">
        <v>261</v>
      </c>
      <c r="B222" s="78">
        <v>1927</v>
      </c>
      <c r="C222" s="79">
        <v>0</v>
      </c>
      <c r="D222" s="79">
        <v>1</v>
      </c>
      <c r="E222" s="79">
        <v>1</v>
      </c>
      <c r="F222" s="80" t="s">
        <v>979</v>
      </c>
      <c r="G222" s="79">
        <v>1</v>
      </c>
      <c r="H222" s="79">
        <v>1</v>
      </c>
      <c r="I222" s="79">
        <v>0</v>
      </c>
      <c r="J222" s="79">
        <v>1</v>
      </c>
      <c r="K222" s="81" t="s">
        <v>980</v>
      </c>
      <c r="L222" s="82" t="s">
        <v>981</v>
      </c>
      <c r="M222" s="82" t="s">
        <v>982</v>
      </c>
      <c r="N222" s="81" t="s">
        <v>983</v>
      </c>
    </row>
    <row r="223" spans="1:14" hidden="1">
      <c r="A223" s="77" t="s">
        <v>261</v>
      </c>
      <c r="B223" s="78">
        <v>1953</v>
      </c>
      <c r="C223" s="79">
        <v>1</v>
      </c>
      <c r="D223" s="79"/>
      <c r="E223" s="79">
        <v>0</v>
      </c>
      <c r="F223" s="80"/>
      <c r="G223" s="79">
        <v>0</v>
      </c>
      <c r="H223" s="79">
        <v>0</v>
      </c>
      <c r="I223" s="79">
        <v>0</v>
      </c>
      <c r="J223" s="79">
        <v>0</v>
      </c>
      <c r="M223" s="82" t="s">
        <v>434</v>
      </c>
    </row>
    <row r="224" spans="1:14" hidden="1">
      <c r="A224" s="77" t="s">
        <v>261</v>
      </c>
      <c r="B224" s="78">
        <v>1974</v>
      </c>
      <c r="C224" s="79">
        <v>1</v>
      </c>
      <c r="D224" s="79"/>
      <c r="E224" s="79">
        <v>0</v>
      </c>
      <c r="F224" s="80"/>
      <c r="G224" s="79">
        <v>0</v>
      </c>
      <c r="H224" s="79">
        <v>0</v>
      </c>
      <c r="I224" s="79">
        <v>0</v>
      </c>
      <c r="J224" s="79">
        <v>0</v>
      </c>
      <c r="M224" s="82" t="s">
        <v>434</v>
      </c>
    </row>
    <row r="225" spans="1:14" ht="101.5" hidden="1">
      <c r="A225" s="77" t="s">
        <v>261</v>
      </c>
      <c r="B225" s="78">
        <v>1990</v>
      </c>
      <c r="C225" s="79">
        <v>1</v>
      </c>
      <c r="D225" s="79">
        <v>1991</v>
      </c>
      <c r="E225" s="79">
        <v>0</v>
      </c>
      <c r="F225" s="80"/>
      <c r="G225" s="79">
        <v>1</v>
      </c>
      <c r="H225" s="79">
        <v>0</v>
      </c>
      <c r="I225" s="79">
        <v>1</v>
      </c>
      <c r="J225" s="79">
        <v>1</v>
      </c>
      <c r="K225" s="81" t="s">
        <v>984</v>
      </c>
      <c r="L225" s="82" t="s">
        <v>985</v>
      </c>
      <c r="M225" s="82" t="s">
        <v>986</v>
      </c>
      <c r="N225" s="81" t="s">
        <v>987</v>
      </c>
    </row>
    <row r="226" spans="1:14" ht="101.5" hidden="1">
      <c r="A226" s="77" t="s">
        <v>261</v>
      </c>
      <c r="B226" s="78">
        <v>1997</v>
      </c>
      <c r="C226" s="79">
        <v>1</v>
      </c>
      <c r="D226" s="79">
        <v>1</v>
      </c>
      <c r="E226" s="79">
        <v>1</v>
      </c>
      <c r="F226" s="80" t="s">
        <v>988</v>
      </c>
      <c r="G226" s="79">
        <v>1</v>
      </c>
      <c r="H226" s="79">
        <v>1</v>
      </c>
      <c r="I226" s="79">
        <v>1</v>
      </c>
      <c r="J226" s="79">
        <v>1</v>
      </c>
      <c r="K226" s="81" t="s">
        <v>989</v>
      </c>
      <c r="L226" s="82" t="s">
        <v>990</v>
      </c>
      <c r="M226" s="82" t="s">
        <v>991</v>
      </c>
      <c r="N226" s="81" t="s">
        <v>992</v>
      </c>
    </row>
    <row r="227" spans="1:14" ht="43.5" hidden="1">
      <c r="A227" s="77" t="s">
        <v>261</v>
      </c>
      <c r="B227" s="78">
        <v>2001</v>
      </c>
      <c r="C227" s="79">
        <v>1</v>
      </c>
      <c r="D227" s="79"/>
      <c r="E227" s="79">
        <v>0</v>
      </c>
      <c r="F227" s="80"/>
      <c r="G227" s="79">
        <v>1</v>
      </c>
      <c r="H227" s="79">
        <v>0</v>
      </c>
      <c r="I227" s="79">
        <v>1</v>
      </c>
      <c r="J227" s="79">
        <v>1</v>
      </c>
      <c r="K227" s="81" t="s">
        <v>993</v>
      </c>
      <c r="M227" s="82" t="s">
        <v>994</v>
      </c>
    </row>
    <row r="228" spans="1:14" hidden="1">
      <c r="A228" s="77" t="s">
        <v>261</v>
      </c>
      <c r="B228" s="78">
        <v>2008</v>
      </c>
      <c r="C228" s="79">
        <v>1</v>
      </c>
      <c r="D228" s="79"/>
      <c r="E228" s="79">
        <v>0</v>
      </c>
      <c r="F228" s="80"/>
      <c r="G228" s="79">
        <v>0</v>
      </c>
      <c r="H228" s="79">
        <v>0</v>
      </c>
      <c r="I228" s="79">
        <v>0</v>
      </c>
      <c r="J228" s="79">
        <v>0</v>
      </c>
      <c r="M228" s="82" t="s">
        <v>434</v>
      </c>
    </row>
    <row r="229" spans="1:14" hidden="1">
      <c r="A229" s="77" t="s">
        <v>265</v>
      </c>
      <c r="B229" s="78">
        <v>1976</v>
      </c>
      <c r="C229" s="79">
        <v>1</v>
      </c>
      <c r="D229" s="79"/>
      <c r="E229" s="79">
        <v>0</v>
      </c>
      <c r="F229" s="80"/>
      <c r="G229" s="79">
        <v>0</v>
      </c>
      <c r="H229" s="79">
        <v>0</v>
      </c>
      <c r="I229" s="79">
        <v>0</v>
      </c>
      <c r="J229" s="79">
        <v>0</v>
      </c>
      <c r="M229" s="82" t="s">
        <v>434</v>
      </c>
    </row>
    <row r="230" spans="1:14" ht="58" hidden="1">
      <c r="A230" s="77" t="s">
        <v>265</v>
      </c>
      <c r="B230" s="78">
        <v>1984</v>
      </c>
      <c r="C230" s="79">
        <v>1</v>
      </c>
      <c r="D230" s="79">
        <v>1983</v>
      </c>
      <c r="E230" s="79">
        <v>0</v>
      </c>
      <c r="F230" s="80"/>
      <c r="G230" s="79">
        <v>0</v>
      </c>
      <c r="H230" s="79">
        <v>0</v>
      </c>
      <c r="I230" s="79">
        <v>0</v>
      </c>
      <c r="J230" s="79">
        <v>0</v>
      </c>
      <c r="K230" s="81" t="s">
        <v>477</v>
      </c>
      <c r="M230" s="82" t="s">
        <v>995</v>
      </c>
      <c r="N230" s="82" t="s">
        <v>996</v>
      </c>
    </row>
    <row r="231" spans="1:14" hidden="1">
      <c r="A231" s="77" t="s">
        <v>265</v>
      </c>
      <c r="B231" s="78">
        <v>1986</v>
      </c>
      <c r="C231" s="79">
        <v>0</v>
      </c>
      <c r="D231" s="79">
        <v>1</v>
      </c>
      <c r="E231" s="79">
        <v>0</v>
      </c>
      <c r="F231" s="80"/>
      <c r="G231" s="79">
        <v>0</v>
      </c>
      <c r="H231" s="79">
        <v>0</v>
      </c>
      <c r="I231" s="79">
        <v>0</v>
      </c>
      <c r="J231" s="79">
        <v>0</v>
      </c>
      <c r="M231" s="82" t="s">
        <v>434</v>
      </c>
    </row>
    <row r="232" spans="1:14" hidden="1">
      <c r="A232" s="77" t="s">
        <v>265</v>
      </c>
      <c r="B232" s="78">
        <v>1990</v>
      </c>
      <c r="C232" s="79">
        <v>1</v>
      </c>
      <c r="D232" s="79"/>
      <c r="E232" s="79">
        <v>0</v>
      </c>
      <c r="F232" s="80"/>
      <c r="G232" s="79">
        <v>0</v>
      </c>
      <c r="H232" s="79">
        <v>0</v>
      </c>
      <c r="I232" s="79">
        <v>0</v>
      </c>
      <c r="J232" s="79">
        <v>0</v>
      </c>
      <c r="M232" s="82" t="s">
        <v>434</v>
      </c>
    </row>
    <row r="233" spans="1:14" ht="43.5" hidden="1">
      <c r="A233" s="77" t="s">
        <v>265</v>
      </c>
      <c r="B233" s="78">
        <v>1997</v>
      </c>
      <c r="C233" s="79">
        <v>1</v>
      </c>
      <c r="D233" s="79">
        <v>1</v>
      </c>
      <c r="E233" s="79">
        <v>1</v>
      </c>
      <c r="F233" s="83" t="s">
        <v>997</v>
      </c>
      <c r="G233" s="79">
        <v>1</v>
      </c>
      <c r="H233" s="79">
        <v>1</v>
      </c>
      <c r="I233" s="79">
        <v>1</v>
      </c>
      <c r="J233" s="79">
        <v>1</v>
      </c>
      <c r="K233" s="81" t="s">
        <v>998</v>
      </c>
      <c r="L233" s="82" t="s">
        <v>999</v>
      </c>
      <c r="M233" s="82" t="s">
        <v>1000</v>
      </c>
      <c r="N233" s="81" t="s">
        <v>1001</v>
      </c>
    </row>
    <row r="234" spans="1:14" hidden="1">
      <c r="A234" s="77" t="s">
        <v>265</v>
      </c>
      <c r="B234" s="78">
        <v>2008</v>
      </c>
      <c r="C234" s="79">
        <v>1</v>
      </c>
      <c r="D234" s="79"/>
      <c r="E234" s="79">
        <v>0</v>
      </c>
      <c r="F234" s="80"/>
      <c r="G234" s="79">
        <v>0</v>
      </c>
      <c r="H234" s="79">
        <v>0</v>
      </c>
      <c r="I234" s="79">
        <v>0</v>
      </c>
      <c r="J234" s="79">
        <v>0</v>
      </c>
      <c r="M234" s="82" t="s">
        <v>434</v>
      </c>
    </row>
    <row r="235" spans="1:14" hidden="1">
      <c r="A235" s="77" t="s">
        <v>274</v>
      </c>
      <c r="B235" s="78">
        <v>1879</v>
      </c>
      <c r="C235" s="79">
        <v>1</v>
      </c>
      <c r="D235" s="79"/>
      <c r="E235" s="79">
        <v>0</v>
      </c>
      <c r="F235" s="80"/>
      <c r="G235" s="79">
        <v>0</v>
      </c>
      <c r="H235" s="79">
        <v>0</v>
      </c>
      <c r="I235" s="79">
        <v>0</v>
      </c>
      <c r="J235" s="79">
        <v>0</v>
      </c>
      <c r="M235" s="82" t="s">
        <v>434</v>
      </c>
    </row>
    <row r="236" spans="1:14" ht="43.5" hidden="1">
      <c r="A236" s="77" t="s">
        <v>274</v>
      </c>
      <c r="B236" s="78">
        <v>1924</v>
      </c>
      <c r="C236" s="79">
        <v>1</v>
      </c>
      <c r="D236" s="79"/>
      <c r="E236" s="79">
        <v>0</v>
      </c>
      <c r="F236" s="80"/>
      <c r="G236" s="79">
        <v>0</v>
      </c>
      <c r="H236" s="79">
        <v>0</v>
      </c>
      <c r="I236" s="79">
        <v>0</v>
      </c>
      <c r="J236" s="79">
        <v>0</v>
      </c>
      <c r="M236" s="82" t="s">
        <v>434</v>
      </c>
      <c r="N236" s="81" t="s">
        <v>1002</v>
      </c>
    </row>
    <row r="237" spans="1:14" ht="43.5" hidden="1">
      <c r="A237" s="77" t="s">
        <v>274</v>
      </c>
      <c r="B237" s="78">
        <v>1930</v>
      </c>
      <c r="C237" s="79">
        <v>1</v>
      </c>
      <c r="D237" s="79"/>
      <c r="E237" s="79">
        <v>0</v>
      </c>
      <c r="F237" s="80"/>
      <c r="G237" s="79">
        <v>0</v>
      </c>
      <c r="H237" s="79">
        <v>0</v>
      </c>
      <c r="I237" s="79">
        <v>0</v>
      </c>
      <c r="J237" s="79">
        <v>0</v>
      </c>
      <c r="M237" s="82" t="s">
        <v>1003</v>
      </c>
    </row>
    <row r="238" spans="1:14" ht="43.5" hidden="1">
      <c r="A238" s="77" t="s">
        <v>274</v>
      </c>
      <c r="B238" s="78">
        <v>2008</v>
      </c>
      <c r="C238" s="79">
        <v>1</v>
      </c>
      <c r="D238" s="79">
        <v>1</v>
      </c>
      <c r="E238" s="79">
        <v>1</v>
      </c>
      <c r="F238" s="80" t="s">
        <v>470</v>
      </c>
      <c r="G238" s="79">
        <v>1</v>
      </c>
      <c r="H238" s="79">
        <v>1</v>
      </c>
      <c r="I238" s="79">
        <v>1</v>
      </c>
      <c r="J238" s="79">
        <v>1</v>
      </c>
      <c r="K238" s="81" t="s">
        <v>1004</v>
      </c>
      <c r="L238" s="82" t="s">
        <v>882</v>
      </c>
      <c r="M238" s="82" t="s">
        <v>1005</v>
      </c>
    </row>
    <row r="239" spans="1:14" ht="43.5" hidden="1">
      <c r="A239" s="77" t="s">
        <v>274</v>
      </c>
      <c r="B239" s="78">
        <v>2012</v>
      </c>
      <c r="C239" s="79">
        <v>1</v>
      </c>
      <c r="D239" s="79"/>
      <c r="E239" s="79">
        <v>0</v>
      </c>
      <c r="F239" s="80"/>
      <c r="G239" s="79">
        <v>0</v>
      </c>
      <c r="H239" s="79">
        <v>0</v>
      </c>
      <c r="I239" s="79">
        <v>0</v>
      </c>
      <c r="J239" s="79">
        <v>0</v>
      </c>
      <c r="K239" s="81" t="s">
        <v>1006</v>
      </c>
      <c r="L239" s="82" t="s">
        <v>504</v>
      </c>
      <c r="M239" s="82" t="s">
        <v>434</v>
      </c>
    </row>
    <row r="240" spans="1:14" ht="43.5" hidden="1">
      <c r="A240" s="77" t="s">
        <v>277</v>
      </c>
      <c r="B240" s="78">
        <v>1973</v>
      </c>
      <c r="C240" s="79">
        <v>1</v>
      </c>
      <c r="D240" s="79"/>
      <c r="E240" s="79">
        <v>0</v>
      </c>
      <c r="F240" s="80"/>
      <c r="G240" s="79">
        <v>0</v>
      </c>
      <c r="H240" s="79">
        <v>0</v>
      </c>
      <c r="I240" s="79">
        <v>0</v>
      </c>
      <c r="J240" s="79">
        <v>0</v>
      </c>
      <c r="M240" s="82" t="s">
        <v>1007</v>
      </c>
    </row>
    <row r="241" spans="1:14" ht="58" hidden="1">
      <c r="A241" s="77" t="s">
        <v>277</v>
      </c>
      <c r="B241" s="78">
        <v>1985</v>
      </c>
      <c r="C241" s="79">
        <v>1</v>
      </c>
      <c r="D241" s="79">
        <v>1</v>
      </c>
      <c r="E241" s="79">
        <v>1</v>
      </c>
      <c r="F241" s="80" t="s">
        <v>1008</v>
      </c>
      <c r="G241" s="79">
        <v>1</v>
      </c>
      <c r="H241" s="79">
        <v>1</v>
      </c>
      <c r="I241" s="79">
        <v>1</v>
      </c>
      <c r="J241" s="79">
        <v>1</v>
      </c>
      <c r="K241" s="81" t="s">
        <v>1009</v>
      </c>
      <c r="L241" s="82" t="s">
        <v>1010</v>
      </c>
      <c r="M241" s="82" t="s">
        <v>1011</v>
      </c>
    </row>
    <row r="242" spans="1:14" ht="72.5" hidden="1">
      <c r="A242" s="77" t="s">
        <v>277</v>
      </c>
      <c r="B242" s="78">
        <v>1997</v>
      </c>
      <c r="C242" s="79">
        <v>1</v>
      </c>
      <c r="D242" s="79">
        <v>1</v>
      </c>
      <c r="E242" s="79">
        <v>1</v>
      </c>
      <c r="F242" s="80" t="s">
        <v>1012</v>
      </c>
      <c r="G242" s="79">
        <v>1</v>
      </c>
      <c r="H242" s="79">
        <v>1</v>
      </c>
      <c r="I242" s="79">
        <v>1</v>
      </c>
      <c r="J242" s="79">
        <v>1</v>
      </c>
      <c r="K242" s="81" t="s">
        <v>1013</v>
      </c>
      <c r="L242" s="82" t="s">
        <v>1010</v>
      </c>
      <c r="M242" s="82" t="s">
        <v>1014</v>
      </c>
    </row>
    <row r="243" spans="1:14" ht="29" hidden="1">
      <c r="A243" s="77" t="s">
        <v>277</v>
      </c>
      <c r="B243" s="78">
        <v>2008</v>
      </c>
      <c r="C243" s="79">
        <v>1</v>
      </c>
      <c r="D243" s="79"/>
      <c r="E243" s="79">
        <v>0</v>
      </c>
      <c r="F243" s="80"/>
      <c r="G243" s="79">
        <v>0</v>
      </c>
      <c r="H243" s="79">
        <v>0</v>
      </c>
      <c r="I243" s="79">
        <v>0</v>
      </c>
      <c r="J243" s="79">
        <v>0</v>
      </c>
      <c r="M243" s="82" t="s">
        <v>1015</v>
      </c>
    </row>
    <row r="244" spans="1:14" ht="72.5" hidden="1">
      <c r="A244" s="77" t="s">
        <v>280</v>
      </c>
      <c r="B244" s="78">
        <v>1883</v>
      </c>
      <c r="C244" s="79"/>
      <c r="D244" s="79">
        <v>1</v>
      </c>
      <c r="E244" s="79">
        <v>1</v>
      </c>
      <c r="F244" s="80" t="s">
        <v>1016</v>
      </c>
      <c r="G244" s="79">
        <v>1</v>
      </c>
      <c r="H244" s="79">
        <v>1</v>
      </c>
      <c r="I244" s="79">
        <v>1</v>
      </c>
      <c r="J244" s="79">
        <v>1</v>
      </c>
      <c r="K244" s="81" t="s">
        <v>1017</v>
      </c>
      <c r="L244" s="82" t="s">
        <v>1018</v>
      </c>
      <c r="M244" s="82" t="s">
        <v>1019</v>
      </c>
    </row>
    <row r="245" spans="1:14" ht="116" hidden="1">
      <c r="A245" s="77" t="s">
        <v>280</v>
      </c>
      <c r="B245" s="78">
        <v>1893</v>
      </c>
      <c r="C245" s="79">
        <v>1</v>
      </c>
      <c r="D245" s="79">
        <v>1</v>
      </c>
      <c r="E245" s="79">
        <v>1</v>
      </c>
      <c r="F245" s="80" t="s">
        <v>483</v>
      </c>
      <c r="G245" s="79">
        <v>0</v>
      </c>
      <c r="H245" s="79">
        <v>1</v>
      </c>
      <c r="I245" s="79">
        <v>0</v>
      </c>
      <c r="J245" s="79">
        <v>1</v>
      </c>
      <c r="K245" s="81" t="s">
        <v>1020</v>
      </c>
      <c r="L245" s="82" t="s">
        <v>1021</v>
      </c>
      <c r="M245" s="82" t="s">
        <v>1022</v>
      </c>
      <c r="N245" s="87" t="s">
        <v>1023</v>
      </c>
    </row>
    <row r="246" spans="1:14" ht="58" hidden="1">
      <c r="A246" s="77" t="s">
        <v>280</v>
      </c>
      <c r="B246" s="78">
        <v>1908</v>
      </c>
      <c r="C246" s="79">
        <v>0</v>
      </c>
      <c r="D246" s="79">
        <v>1</v>
      </c>
      <c r="E246" s="79">
        <v>0</v>
      </c>
      <c r="F246" s="80"/>
      <c r="G246" s="79">
        <v>1</v>
      </c>
      <c r="H246" s="79">
        <v>0</v>
      </c>
      <c r="I246" s="79">
        <v>0</v>
      </c>
      <c r="J246" s="79">
        <v>0</v>
      </c>
      <c r="K246" s="81" t="s">
        <v>1024</v>
      </c>
      <c r="L246" s="82" t="s">
        <v>1025</v>
      </c>
      <c r="M246" s="82" t="s">
        <v>1026</v>
      </c>
      <c r="N246" s="82" t="s">
        <v>1027</v>
      </c>
    </row>
    <row r="247" spans="1:14" ht="130.5" hidden="1">
      <c r="A247" s="77" t="s">
        <v>280</v>
      </c>
      <c r="B247" s="78">
        <v>1913</v>
      </c>
      <c r="C247" s="79"/>
      <c r="D247" s="79">
        <v>1</v>
      </c>
      <c r="E247" s="79">
        <v>1</v>
      </c>
      <c r="F247" s="80" t="s">
        <v>857</v>
      </c>
      <c r="G247" s="79">
        <v>1</v>
      </c>
      <c r="H247" s="79">
        <v>1</v>
      </c>
      <c r="I247" s="79">
        <v>1</v>
      </c>
      <c r="J247" s="79">
        <v>1</v>
      </c>
      <c r="K247" s="81" t="s">
        <v>1028</v>
      </c>
      <c r="L247" s="82" t="s">
        <v>1029</v>
      </c>
      <c r="M247" s="82" t="s">
        <v>1030</v>
      </c>
    </row>
    <row r="248" spans="1:14" ht="87" hidden="1">
      <c r="A248" s="77" t="s">
        <v>280</v>
      </c>
      <c r="B248" s="78">
        <v>1921</v>
      </c>
      <c r="C248" s="79"/>
      <c r="D248" s="79">
        <v>1920</v>
      </c>
      <c r="E248" s="79">
        <v>1</v>
      </c>
      <c r="F248" s="80" t="s">
        <v>1031</v>
      </c>
      <c r="G248" s="79">
        <v>1</v>
      </c>
      <c r="H248" s="79">
        <v>1</v>
      </c>
      <c r="I248" s="79">
        <v>1</v>
      </c>
      <c r="J248" s="79">
        <v>1</v>
      </c>
      <c r="K248" s="81" t="s">
        <v>1032</v>
      </c>
      <c r="L248" s="82" t="s">
        <v>1033</v>
      </c>
      <c r="M248" s="82" t="s">
        <v>1034</v>
      </c>
    </row>
    <row r="249" spans="1:14" hidden="1">
      <c r="A249" s="77" t="s">
        <v>280</v>
      </c>
      <c r="B249" s="78">
        <v>1924</v>
      </c>
      <c r="C249" s="79">
        <v>1</v>
      </c>
      <c r="D249" s="79"/>
      <c r="E249" s="79">
        <v>0</v>
      </c>
      <c r="F249" s="80"/>
      <c r="G249" s="79">
        <v>0</v>
      </c>
      <c r="H249" s="79">
        <v>0</v>
      </c>
      <c r="I249" s="79">
        <v>0</v>
      </c>
      <c r="J249" s="79">
        <v>0</v>
      </c>
      <c r="M249" s="82" t="s">
        <v>434</v>
      </c>
    </row>
    <row r="250" spans="1:14" ht="101.5" hidden="1">
      <c r="A250" s="77" t="s">
        <v>280</v>
      </c>
      <c r="B250" s="78">
        <v>1928</v>
      </c>
      <c r="C250" s="79">
        <v>1</v>
      </c>
      <c r="D250" s="79">
        <v>1929</v>
      </c>
      <c r="E250" s="79">
        <v>1</v>
      </c>
      <c r="F250" s="80" t="s">
        <v>677</v>
      </c>
      <c r="G250" s="79">
        <v>1</v>
      </c>
      <c r="H250" s="79">
        <v>1</v>
      </c>
      <c r="I250" s="79">
        <v>1</v>
      </c>
      <c r="J250" s="79">
        <v>1</v>
      </c>
      <c r="K250" s="81" t="s">
        <v>1035</v>
      </c>
      <c r="L250" s="82" t="s">
        <v>1036</v>
      </c>
      <c r="M250" s="82" t="s">
        <v>1037</v>
      </c>
    </row>
    <row r="251" spans="1:14" hidden="1">
      <c r="A251" s="77" t="s">
        <v>280</v>
      </c>
      <c r="B251" s="78">
        <v>1974</v>
      </c>
      <c r="C251" s="79">
        <v>1</v>
      </c>
      <c r="D251" s="79"/>
      <c r="E251" s="79">
        <v>0</v>
      </c>
      <c r="F251" s="80"/>
      <c r="G251" s="79">
        <v>0</v>
      </c>
      <c r="H251" s="79">
        <v>0</v>
      </c>
      <c r="I251" s="79">
        <v>0</v>
      </c>
      <c r="J251" s="79">
        <v>0</v>
      </c>
      <c r="M251" s="82" t="s">
        <v>434</v>
      </c>
    </row>
    <row r="252" spans="1:14" ht="72.5" hidden="1">
      <c r="A252" s="77" t="s">
        <v>280</v>
      </c>
      <c r="B252" s="78">
        <v>1981</v>
      </c>
      <c r="C252" s="79"/>
      <c r="D252" s="79" t="s">
        <v>1038</v>
      </c>
      <c r="E252" s="79">
        <v>1</v>
      </c>
      <c r="F252" s="80" t="s">
        <v>1039</v>
      </c>
      <c r="G252" s="79">
        <v>1</v>
      </c>
      <c r="H252" s="79">
        <v>1</v>
      </c>
      <c r="I252" s="79">
        <v>1</v>
      </c>
      <c r="J252" s="79">
        <v>1</v>
      </c>
      <c r="K252" s="81" t="s">
        <v>1040</v>
      </c>
      <c r="L252" s="82" t="s">
        <v>1041</v>
      </c>
      <c r="M252" s="82" t="s">
        <v>1042</v>
      </c>
    </row>
    <row r="253" spans="1:14" hidden="1">
      <c r="A253" s="77" t="s">
        <v>280</v>
      </c>
      <c r="B253" s="78">
        <v>1992</v>
      </c>
      <c r="C253" s="79">
        <v>0</v>
      </c>
      <c r="D253" s="79">
        <v>1</v>
      </c>
      <c r="E253" s="79">
        <v>0</v>
      </c>
      <c r="F253" s="80"/>
      <c r="G253" s="79">
        <v>0</v>
      </c>
      <c r="H253" s="79">
        <v>0</v>
      </c>
      <c r="I253" s="79">
        <v>0</v>
      </c>
      <c r="J253" s="79">
        <v>0</v>
      </c>
      <c r="M253" s="82" t="s">
        <v>434</v>
      </c>
    </row>
    <row r="254" spans="1:14" ht="145" hidden="1">
      <c r="A254" s="77" t="s">
        <v>280</v>
      </c>
      <c r="B254" s="78">
        <v>1994</v>
      </c>
      <c r="C254" s="79">
        <v>1</v>
      </c>
      <c r="D254" s="79">
        <v>1</v>
      </c>
      <c r="E254" s="79">
        <v>1</v>
      </c>
      <c r="F254" s="80" t="s">
        <v>423</v>
      </c>
      <c r="G254" s="79">
        <v>1</v>
      </c>
      <c r="H254" s="79">
        <v>1</v>
      </c>
      <c r="I254" s="79">
        <v>1</v>
      </c>
      <c r="J254" s="79">
        <v>1</v>
      </c>
      <c r="K254" s="81" t="s">
        <v>1043</v>
      </c>
      <c r="L254" s="82" t="s">
        <v>1044</v>
      </c>
      <c r="M254" s="82" t="s">
        <v>1045</v>
      </c>
      <c r="N254" s="81" t="s">
        <v>1046</v>
      </c>
    </row>
    <row r="255" spans="1:14" hidden="1">
      <c r="A255" s="77" t="s">
        <v>280</v>
      </c>
      <c r="B255" s="78">
        <v>1998</v>
      </c>
      <c r="C255" s="79">
        <v>1</v>
      </c>
      <c r="D255" s="79"/>
      <c r="E255" s="79">
        <v>0</v>
      </c>
      <c r="F255" s="80"/>
      <c r="G255" s="79">
        <v>0</v>
      </c>
      <c r="H255" s="79">
        <v>0</v>
      </c>
      <c r="I255" s="79">
        <v>0</v>
      </c>
      <c r="J255" s="79">
        <v>0</v>
      </c>
      <c r="M255" s="82" t="s">
        <v>434</v>
      </c>
    </row>
    <row r="256" spans="1:14" ht="58" hidden="1">
      <c r="A256" s="77" t="s">
        <v>287</v>
      </c>
      <c r="B256" s="78">
        <v>1893</v>
      </c>
      <c r="C256" s="79">
        <v>0</v>
      </c>
      <c r="D256" s="79">
        <v>1</v>
      </c>
      <c r="E256" s="79">
        <v>0</v>
      </c>
      <c r="F256" s="80"/>
      <c r="G256" s="79">
        <v>0</v>
      </c>
      <c r="H256" s="79">
        <v>0</v>
      </c>
      <c r="I256" s="79">
        <v>0</v>
      </c>
      <c r="J256" s="79">
        <v>0</v>
      </c>
      <c r="N256" s="82" t="s">
        <v>1047</v>
      </c>
    </row>
    <row r="257" spans="1:14" ht="43.5" hidden="1">
      <c r="A257" s="77" t="s">
        <v>287</v>
      </c>
      <c r="B257" s="78">
        <v>1897</v>
      </c>
      <c r="C257" s="79">
        <v>0</v>
      </c>
      <c r="D257" s="79">
        <v>1</v>
      </c>
      <c r="E257" s="79">
        <v>0</v>
      </c>
      <c r="F257" s="80"/>
      <c r="G257" s="79">
        <v>0</v>
      </c>
      <c r="H257" s="79">
        <v>0</v>
      </c>
      <c r="I257" s="79">
        <v>0</v>
      </c>
      <c r="J257" s="79">
        <v>0</v>
      </c>
      <c r="N257" s="82" t="s">
        <v>1048</v>
      </c>
    </row>
    <row r="258" spans="1:14" ht="58" hidden="1">
      <c r="A258" s="77" t="s">
        <v>287</v>
      </c>
      <c r="B258" s="78">
        <v>1907</v>
      </c>
      <c r="C258" s="79">
        <v>0</v>
      </c>
      <c r="D258" s="79">
        <v>1</v>
      </c>
      <c r="E258" s="79">
        <v>1</v>
      </c>
      <c r="F258" s="80" t="s">
        <v>1049</v>
      </c>
      <c r="G258" s="79">
        <v>1</v>
      </c>
      <c r="H258" s="79">
        <v>1</v>
      </c>
      <c r="I258" s="79">
        <v>0</v>
      </c>
      <c r="J258" s="79">
        <v>1</v>
      </c>
      <c r="K258" s="81" t="s">
        <v>1050</v>
      </c>
      <c r="L258" s="82" t="s">
        <v>1051</v>
      </c>
      <c r="M258" s="82" t="s">
        <v>1052</v>
      </c>
      <c r="N258" s="81" t="s">
        <v>1053</v>
      </c>
    </row>
    <row r="259" spans="1:14" ht="87" hidden="1">
      <c r="A259" s="77" t="s">
        <v>287</v>
      </c>
      <c r="B259" s="78">
        <v>1914</v>
      </c>
      <c r="C259" s="79"/>
      <c r="D259" s="79">
        <v>1</v>
      </c>
      <c r="E259" s="79">
        <v>1</v>
      </c>
      <c r="F259" s="80" t="s">
        <v>394</v>
      </c>
      <c r="G259" s="79">
        <v>0</v>
      </c>
      <c r="H259" s="79">
        <v>1</v>
      </c>
      <c r="I259" s="79">
        <v>0</v>
      </c>
      <c r="J259" s="79">
        <v>1</v>
      </c>
      <c r="K259" s="81" t="s">
        <v>1054</v>
      </c>
      <c r="L259" s="82" t="s">
        <v>1055</v>
      </c>
      <c r="M259" s="82" t="s">
        <v>1056</v>
      </c>
      <c r="N259" s="81" t="s">
        <v>1057</v>
      </c>
    </row>
    <row r="260" spans="1:14" ht="188.5" hidden="1">
      <c r="A260" s="77" t="s">
        <v>287</v>
      </c>
      <c r="B260" s="78">
        <v>1921</v>
      </c>
      <c r="C260" s="79">
        <v>1</v>
      </c>
      <c r="D260" s="79">
        <v>1</v>
      </c>
      <c r="E260" s="79">
        <v>0</v>
      </c>
      <c r="F260" s="80"/>
      <c r="G260" s="79">
        <v>1</v>
      </c>
      <c r="H260" s="79">
        <v>0</v>
      </c>
      <c r="I260" s="79">
        <v>1</v>
      </c>
      <c r="J260" s="79">
        <v>1</v>
      </c>
      <c r="K260" s="81" t="s">
        <v>1058</v>
      </c>
      <c r="L260" s="89" t="s">
        <v>1059</v>
      </c>
      <c r="M260" s="89" t="s">
        <v>1060</v>
      </c>
      <c r="N260" s="82" t="s">
        <v>1061</v>
      </c>
    </row>
    <row r="261" spans="1:14" ht="159.5" hidden="1">
      <c r="A261" s="77" t="s">
        <v>287</v>
      </c>
      <c r="B261" s="78">
        <v>1931</v>
      </c>
      <c r="C261" s="79">
        <v>1</v>
      </c>
      <c r="D261" s="79"/>
      <c r="E261" s="79">
        <v>0</v>
      </c>
      <c r="F261" s="80"/>
      <c r="G261" s="79">
        <v>1</v>
      </c>
      <c r="H261" s="79">
        <v>0</v>
      </c>
      <c r="I261" s="79">
        <v>1</v>
      </c>
      <c r="J261" s="79">
        <v>1</v>
      </c>
      <c r="K261" s="81" t="s">
        <v>1062</v>
      </c>
      <c r="L261" s="82" t="s">
        <v>1063</v>
      </c>
      <c r="M261" s="82" t="s">
        <v>1064</v>
      </c>
      <c r="N261" s="81" t="s">
        <v>1065</v>
      </c>
    </row>
    <row r="262" spans="1:14" ht="58" hidden="1">
      <c r="A262" s="77" t="s">
        <v>287</v>
      </c>
      <c r="B262" s="78">
        <v>1939</v>
      </c>
      <c r="C262" s="79"/>
      <c r="D262" s="79">
        <v>1</v>
      </c>
      <c r="E262" s="79">
        <v>0</v>
      </c>
      <c r="F262" s="80"/>
      <c r="G262" s="79">
        <v>0</v>
      </c>
      <c r="H262" s="79">
        <v>0</v>
      </c>
      <c r="I262" s="79">
        <v>0</v>
      </c>
      <c r="J262" s="79">
        <v>0</v>
      </c>
      <c r="K262" s="81" t="s">
        <v>1054</v>
      </c>
      <c r="L262" s="82" t="s">
        <v>1055</v>
      </c>
      <c r="N262" s="82" t="s">
        <v>1066</v>
      </c>
    </row>
    <row r="263" spans="1:14" hidden="1">
      <c r="A263" s="77" t="s">
        <v>287</v>
      </c>
      <c r="B263" s="78">
        <v>1957</v>
      </c>
      <c r="C263" s="79">
        <v>1</v>
      </c>
      <c r="D263" s="79"/>
      <c r="E263" s="79">
        <v>0</v>
      </c>
      <c r="F263" s="80"/>
      <c r="G263" s="79">
        <v>0</v>
      </c>
      <c r="H263" s="79">
        <v>0</v>
      </c>
      <c r="I263" s="79">
        <v>0</v>
      </c>
      <c r="J263" s="79">
        <v>0</v>
      </c>
      <c r="M263" s="82" t="s">
        <v>434</v>
      </c>
    </row>
    <row r="264" spans="1:14" hidden="1">
      <c r="A264" s="77" t="s">
        <v>287</v>
      </c>
      <c r="B264" s="78">
        <v>1965</v>
      </c>
      <c r="C264" s="79">
        <v>1</v>
      </c>
      <c r="D264" s="79"/>
      <c r="E264" s="79">
        <v>0</v>
      </c>
      <c r="F264" s="80"/>
      <c r="G264" s="79">
        <v>0</v>
      </c>
      <c r="H264" s="79">
        <v>0</v>
      </c>
      <c r="I264" s="79">
        <v>0</v>
      </c>
      <c r="J264" s="79">
        <v>0</v>
      </c>
      <c r="M264" s="82" t="s">
        <v>434</v>
      </c>
    </row>
    <row r="265" spans="1:14" ht="101.5" hidden="1">
      <c r="A265" s="77" t="s">
        <v>287</v>
      </c>
      <c r="B265" s="78">
        <v>1987</v>
      </c>
      <c r="C265" s="79">
        <v>1</v>
      </c>
      <c r="D265" s="79"/>
      <c r="E265" s="79">
        <v>0</v>
      </c>
      <c r="F265" s="80"/>
      <c r="G265" s="79">
        <v>0</v>
      </c>
      <c r="H265" s="79">
        <v>0</v>
      </c>
      <c r="I265" s="79">
        <v>0</v>
      </c>
      <c r="J265" s="79">
        <v>0</v>
      </c>
      <c r="K265" s="81" t="s">
        <v>1067</v>
      </c>
      <c r="L265" s="82" t="s">
        <v>1068</v>
      </c>
      <c r="M265" s="82" t="s">
        <v>434</v>
      </c>
      <c r="N265" s="81" t="s">
        <v>1069</v>
      </c>
    </row>
    <row r="266" spans="1:14" hidden="1">
      <c r="A266" s="77" t="s">
        <v>287</v>
      </c>
      <c r="B266" s="78">
        <v>2002</v>
      </c>
      <c r="C266" s="79">
        <v>1</v>
      </c>
      <c r="D266" s="79"/>
      <c r="E266" s="79">
        <v>0</v>
      </c>
      <c r="F266" s="80"/>
      <c r="G266" s="79">
        <v>0</v>
      </c>
      <c r="H266" s="79">
        <v>0</v>
      </c>
      <c r="I266" s="79">
        <v>0</v>
      </c>
      <c r="J266" s="79">
        <v>0</v>
      </c>
      <c r="M266" s="82" t="s">
        <v>434</v>
      </c>
    </row>
    <row r="267" spans="1:14" ht="43.5" hidden="1">
      <c r="A267" s="77" t="s">
        <v>287</v>
      </c>
      <c r="B267" s="78">
        <v>2008</v>
      </c>
      <c r="C267" s="79">
        <v>1</v>
      </c>
      <c r="D267" s="79">
        <v>1</v>
      </c>
      <c r="E267" s="79">
        <v>1</v>
      </c>
      <c r="F267" s="80" t="s">
        <v>470</v>
      </c>
      <c r="G267" s="79">
        <v>1</v>
      </c>
      <c r="H267" s="79">
        <v>1</v>
      </c>
      <c r="I267" s="79">
        <v>1</v>
      </c>
      <c r="J267" s="79">
        <v>1</v>
      </c>
      <c r="K267" s="81" t="s">
        <v>1070</v>
      </c>
      <c r="L267" s="82" t="s">
        <v>1071</v>
      </c>
      <c r="M267" s="82" t="s">
        <v>782</v>
      </c>
      <c r="N267" s="81" t="s">
        <v>1072</v>
      </c>
    </row>
    <row r="268" spans="1:14" hidden="1">
      <c r="A268" s="77" t="s">
        <v>287</v>
      </c>
      <c r="B268" s="78">
        <v>2011</v>
      </c>
      <c r="C268" s="79">
        <v>1</v>
      </c>
      <c r="D268" s="79"/>
      <c r="E268" s="79">
        <v>0</v>
      </c>
      <c r="F268" s="80"/>
      <c r="G268" s="79">
        <v>0</v>
      </c>
      <c r="H268" s="79">
        <v>0</v>
      </c>
      <c r="I268" s="79">
        <v>0</v>
      </c>
      <c r="J268" s="79">
        <v>0</v>
      </c>
      <c r="M268" s="82" t="s">
        <v>434</v>
      </c>
    </row>
    <row r="269" spans="1:14" ht="87" hidden="1">
      <c r="A269" s="77" t="s">
        <v>1073</v>
      </c>
      <c r="B269" s="78">
        <v>1888</v>
      </c>
      <c r="C269" s="79">
        <v>1</v>
      </c>
      <c r="D269" s="79">
        <v>1893</v>
      </c>
      <c r="E269" s="79">
        <v>1</v>
      </c>
      <c r="F269" s="80" t="s">
        <v>1074</v>
      </c>
      <c r="G269" s="79">
        <v>1</v>
      </c>
      <c r="H269" s="79">
        <v>1</v>
      </c>
      <c r="I269" s="79">
        <v>1</v>
      </c>
      <c r="J269" s="79">
        <v>1</v>
      </c>
      <c r="K269" s="81" t="s">
        <v>1075</v>
      </c>
      <c r="L269" s="82" t="s">
        <v>1076</v>
      </c>
      <c r="M269" s="82" t="s">
        <v>1077</v>
      </c>
      <c r="N269" s="81" t="s">
        <v>1078</v>
      </c>
    </row>
    <row r="270" spans="1:14" hidden="1">
      <c r="A270" s="77" t="s">
        <v>1073</v>
      </c>
      <c r="B270" s="78">
        <v>1931</v>
      </c>
      <c r="C270" s="79">
        <v>1</v>
      </c>
      <c r="D270" s="79"/>
      <c r="E270" s="79">
        <v>0</v>
      </c>
      <c r="F270" s="80"/>
      <c r="G270" s="79">
        <v>0</v>
      </c>
      <c r="H270" s="79">
        <v>0</v>
      </c>
      <c r="I270" s="79">
        <v>0</v>
      </c>
      <c r="J270" s="79">
        <v>0</v>
      </c>
      <c r="M270" s="82" t="s">
        <v>434</v>
      </c>
    </row>
    <row r="271" spans="1:14" hidden="1">
      <c r="A271" s="77" t="s">
        <v>1073</v>
      </c>
      <c r="B271" s="78">
        <v>1960</v>
      </c>
      <c r="C271" s="79">
        <v>1</v>
      </c>
      <c r="D271" s="79"/>
      <c r="E271" s="79">
        <v>0</v>
      </c>
      <c r="F271" s="80"/>
      <c r="G271" s="79">
        <v>0</v>
      </c>
      <c r="H271" s="79">
        <v>0</v>
      </c>
      <c r="I271" s="79">
        <v>0</v>
      </c>
      <c r="J271" s="79">
        <v>0</v>
      </c>
      <c r="M271" s="82" t="s">
        <v>434</v>
      </c>
    </row>
    <row r="272" spans="1:14" ht="43.5" hidden="1">
      <c r="A272" s="77" t="s">
        <v>1073</v>
      </c>
      <c r="B272" s="78">
        <v>1984</v>
      </c>
      <c r="C272" s="79">
        <v>1</v>
      </c>
      <c r="D272" s="79"/>
      <c r="E272" s="79">
        <v>0</v>
      </c>
      <c r="F272" s="80"/>
      <c r="G272" s="79">
        <v>0</v>
      </c>
      <c r="H272" s="79">
        <v>0</v>
      </c>
      <c r="I272" s="79">
        <v>0</v>
      </c>
      <c r="J272" s="79">
        <v>0</v>
      </c>
      <c r="M272" s="82" t="s">
        <v>1079</v>
      </c>
    </row>
    <row r="273" spans="1:14" ht="101.5" hidden="1">
      <c r="A273" s="77" t="s">
        <v>1073</v>
      </c>
      <c r="B273" s="78">
        <v>1987</v>
      </c>
      <c r="C273" s="79">
        <v>1</v>
      </c>
      <c r="D273" s="79">
        <v>1</v>
      </c>
      <c r="E273" s="79">
        <v>1</v>
      </c>
      <c r="F273" s="80" t="s">
        <v>1080</v>
      </c>
      <c r="G273" s="79">
        <v>1</v>
      </c>
      <c r="H273" s="79">
        <v>1</v>
      </c>
      <c r="I273" s="79">
        <v>1</v>
      </c>
      <c r="J273" s="79">
        <v>1</v>
      </c>
      <c r="K273" s="81" t="s">
        <v>1081</v>
      </c>
      <c r="L273" s="82" t="s">
        <v>1082</v>
      </c>
      <c r="M273" s="82" t="s">
        <v>1083</v>
      </c>
      <c r="N273" s="81" t="s">
        <v>1084</v>
      </c>
    </row>
    <row r="274" spans="1:14" hidden="1">
      <c r="A274" s="77" t="s">
        <v>1073</v>
      </c>
      <c r="B274" s="78">
        <v>1998</v>
      </c>
      <c r="C274" s="79">
        <v>1</v>
      </c>
      <c r="D274" s="79"/>
      <c r="E274" s="79">
        <v>0</v>
      </c>
      <c r="F274" s="80"/>
      <c r="G274" s="79">
        <v>0</v>
      </c>
      <c r="H274" s="79">
        <v>0</v>
      </c>
      <c r="I274" s="79">
        <v>0</v>
      </c>
      <c r="J274" s="79">
        <v>0</v>
      </c>
      <c r="M274" s="82" t="s">
        <v>434</v>
      </c>
    </row>
    <row r="275" spans="1:14" ht="29" hidden="1">
      <c r="A275" s="77" t="s">
        <v>1073</v>
      </c>
      <c r="B275" s="79">
        <v>2008</v>
      </c>
      <c r="C275" s="79">
        <v>1</v>
      </c>
      <c r="D275" s="79"/>
      <c r="E275" s="79">
        <v>0</v>
      </c>
      <c r="F275" s="80"/>
      <c r="G275" s="79">
        <v>0</v>
      </c>
      <c r="H275" s="79">
        <v>0</v>
      </c>
      <c r="I275" s="79">
        <v>0</v>
      </c>
      <c r="J275" s="79">
        <v>0</v>
      </c>
      <c r="K275" s="81" t="s">
        <v>1085</v>
      </c>
      <c r="L275" s="82" t="s">
        <v>1086</v>
      </c>
      <c r="M275" s="82" t="s">
        <v>1087</v>
      </c>
    </row>
    <row r="276" spans="1:14" ht="58" hidden="1">
      <c r="A276" s="77" t="s">
        <v>291</v>
      </c>
      <c r="B276" s="78">
        <v>1898</v>
      </c>
      <c r="C276" s="79"/>
      <c r="D276" s="79">
        <v>1</v>
      </c>
      <c r="E276" s="79">
        <v>1</v>
      </c>
      <c r="F276" s="80" t="s">
        <v>1088</v>
      </c>
      <c r="G276" s="79">
        <v>1</v>
      </c>
      <c r="H276" s="79">
        <v>1</v>
      </c>
      <c r="I276" s="79">
        <v>1</v>
      </c>
      <c r="J276" s="79">
        <v>1</v>
      </c>
      <c r="K276" s="81" t="s">
        <v>1089</v>
      </c>
      <c r="L276" s="82" t="s">
        <v>1090</v>
      </c>
      <c r="M276" s="82" t="s">
        <v>1091</v>
      </c>
      <c r="N276" s="81" t="s">
        <v>1092</v>
      </c>
    </row>
    <row r="277" spans="1:14" ht="87" hidden="1">
      <c r="A277" s="77" t="s">
        <v>291</v>
      </c>
      <c r="B277" s="78">
        <v>1914</v>
      </c>
      <c r="C277" s="79"/>
      <c r="D277" s="79">
        <v>1</v>
      </c>
      <c r="E277" s="79">
        <v>1</v>
      </c>
      <c r="F277" s="83" t="s">
        <v>394</v>
      </c>
      <c r="G277" s="79">
        <v>0</v>
      </c>
      <c r="H277" s="79">
        <v>1</v>
      </c>
      <c r="I277" s="79">
        <v>0</v>
      </c>
      <c r="J277" s="79">
        <v>1</v>
      </c>
      <c r="K277" s="81" t="s">
        <v>477</v>
      </c>
      <c r="M277" s="82" t="s">
        <v>1093</v>
      </c>
    </row>
    <row r="278" spans="1:14" ht="246.5" hidden="1">
      <c r="A278" s="77" t="s">
        <v>291</v>
      </c>
      <c r="B278" s="78">
        <v>1919</v>
      </c>
      <c r="C278" s="79">
        <v>1</v>
      </c>
      <c r="D278" s="79">
        <v>1921</v>
      </c>
      <c r="E278" s="79">
        <v>1</v>
      </c>
      <c r="F278" s="80" t="s">
        <v>1094</v>
      </c>
      <c r="G278" s="79">
        <v>1</v>
      </c>
      <c r="H278" s="79">
        <v>1</v>
      </c>
      <c r="I278" s="79">
        <v>1</v>
      </c>
      <c r="J278" s="79">
        <v>1</v>
      </c>
      <c r="K278" s="81" t="s">
        <v>1095</v>
      </c>
      <c r="L278" s="82" t="s">
        <v>1096</v>
      </c>
      <c r="M278" s="82" t="s">
        <v>1097</v>
      </c>
      <c r="N278" s="81" t="s">
        <v>1098</v>
      </c>
    </row>
    <row r="279" spans="1:14" ht="29" hidden="1">
      <c r="A279" s="77" t="s">
        <v>291</v>
      </c>
      <c r="B279" s="78">
        <v>1927</v>
      </c>
      <c r="C279" s="79">
        <v>0</v>
      </c>
      <c r="D279" s="79">
        <v>1</v>
      </c>
      <c r="E279" s="79">
        <v>0</v>
      </c>
      <c r="F279" s="80"/>
      <c r="G279" s="79">
        <v>0</v>
      </c>
      <c r="H279" s="79">
        <v>0</v>
      </c>
      <c r="I279" s="79">
        <v>0</v>
      </c>
      <c r="J279" s="79">
        <v>0</v>
      </c>
      <c r="N279" s="82" t="s">
        <v>1099</v>
      </c>
    </row>
    <row r="280" spans="1:14" ht="72.5" hidden="1">
      <c r="A280" s="77" t="s">
        <v>291</v>
      </c>
      <c r="B280" s="78">
        <v>1931</v>
      </c>
      <c r="C280" s="79">
        <v>0</v>
      </c>
      <c r="D280" s="79">
        <v>1</v>
      </c>
      <c r="E280" s="79">
        <v>1</v>
      </c>
      <c r="F280" s="83" t="s">
        <v>1100</v>
      </c>
      <c r="G280" s="79">
        <v>1</v>
      </c>
      <c r="H280" s="79">
        <v>1</v>
      </c>
      <c r="I280" s="79">
        <v>0</v>
      </c>
      <c r="J280" s="79">
        <v>1</v>
      </c>
      <c r="K280" s="81" t="s">
        <v>1101</v>
      </c>
      <c r="L280" s="82" t="s">
        <v>1102</v>
      </c>
      <c r="M280" s="82" t="s">
        <v>1103</v>
      </c>
      <c r="N280" s="81" t="s">
        <v>1104</v>
      </c>
    </row>
    <row r="281" spans="1:14" ht="43.5" hidden="1">
      <c r="A281" s="77" t="s">
        <v>291</v>
      </c>
      <c r="B281" s="78">
        <v>1936</v>
      </c>
      <c r="C281" s="79">
        <v>0</v>
      </c>
      <c r="D281" s="79">
        <v>1</v>
      </c>
      <c r="E281" s="79">
        <v>0</v>
      </c>
      <c r="F281" s="80"/>
      <c r="G281" s="79">
        <v>0</v>
      </c>
      <c r="H281" s="79">
        <v>0</v>
      </c>
      <c r="I281" s="79">
        <v>0</v>
      </c>
      <c r="J281" s="79">
        <v>0</v>
      </c>
      <c r="N281" s="82" t="s">
        <v>1105</v>
      </c>
    </row>
    <row r="282" spans="1:14" hidden="1">
      <c r="A282" s="77" t="s">
        <v>291</v>
      </c>
      <c r="B282" s="78">
        <v>1951</v>
      </c>
      <c r="C282" s="79">
        <v>1</v>
      </c>
      <c r="D282" s="79"/>
      <c r="E282" s="79">
        <v>0</v>
      </c>
      <c r="F282" s="80"/>
      <c r="G282" s="79">
        <v>0</v>
      </c>
      <c r="H282" s="79">
        <v>0</v>
      </c>
      <c r="I282" s="79">
        <v>0</v>
      </c>
      <c r="J282" s="79">
        <v>0</v>
      </c>
      <c r="M282" s="82" t="s">
        <v>434</v>
      </c>
    </row>
    <row r="283" spans="1:14" hidden="1">
      <c r="A283" s="77" t="s">
        <v>291</v>
      </c>
      <c r="B283" s="78">
        <v>1964</v>
      </c>
      <c r="C283" s="79">
        <v>1</v>
      </c>
      <c r="D283" s="79"/>
      <c r="E283" s="79">
        <v>0</v>
      </c>
      <c r="F283" s="80"/>
      <c r="G283" s="79">
        <v>0</v>
      </c>
      <c r="H283" s="79">
        <v>0</v>
      </c>
      <c r="I283" s="79">
        <v>0</v>
      </c>
      <c r="J283" s="79">
        <v>0</v>
      </c>
      <c r="M283" s="82" t="s">
        <v>434</v>
      </c>
    </row>
    <row r="284" spans="1:14" hidden="1">
      <c r="A284" s="77" t="s">
        <v>291</v>
      </c>
      <c r="B284" s="78">
        <v>1971</v>
      </c>
      <c r="C284" s="79">
        <v>1</v>
      </c>
      <c r="D284" s="79"/>
      <c r="E284" s="79">
        <v>0</v>
      </c>
      <c r="F284" s="80"/>
      <c r="G284" s="79">
        <v>0</v>
      </c>
      <c r="H284" s="79">
        <v>0</v>
      </c>
      <c r="I284" s="79">
        <v>0</v>
      </c>
      <c r="J284" s="79">
        <v>0</v>
      </c>
      <c r="M284" s="82" t="s">
        <v>434</v>
      </c>
    </row>
    <row r="285" spans="1:14" ht="58" hidden="1">
      <c r="A285" s="77" t="s">
        <v>291</v>
      </c>
      <c r="B285" s="78">
        <v>1987</v>
      </c>
      <c r="C285" s="79">
        <v>1</v>
      </c>
      <c r="D285" s="79">
        <v>1</v>
      </c>
      <c r="E285" s="79">
        <v>1</v>
      </c>
      <c r="F285" s="80" t="s">
        <v>1106</v>
      </c>
      <c r="G285" s="79">
        <v>1</v>
      </c>
      <c r="H285" s="79">
        <v>1</v>
      </c>
      <c r="I285" s="79">
        <v>1</v>
      </c>
      <c r="J285" s="79">
        <v>1</v>
      </c>
      <c r="K285" s="81" t="s">
        <v>1107</v>
      </c>
      <c r="L285" s="82" t="s">
        <v>1108</v>
      </c>
      <c r="M285" s="82" t="s">
        <v>1109</v>
      </c>
      <c r="N285" s="81" t="s">
        <v>1110</v>
      </c>
    </row>
    <row r="286" spans="1:14" ht="87" hidden="1">
      <c r="A286" s="77" t="s">
        <v>291</v>
      </c>
      <c r="B286" s="78">
        <v>2008</v>
      </c>
      <c r="C286" s="79">
        <v>1</v>
      </c>
      <c r="D286" s="79"/>
      <c r="E286" s="79">
        <v>1</v>
      </c>
      <c r="F286" s="80" t="s">
        <v>470</v>
      </c>
      <c r="G286" s="79">
        <v>0</v>
      </c>
      <c r="H286" s="79">
        <v>1</v>
      </c>
      <c r="I286" s="79">
        <v>0</v>
      </c>
      <c r="J286" s="79">
        <v>1</v>
      </c>
      <c r="K286" s="81" t="s">
        <v>674</v>
      </c>
      <c r="L286" s="82" t="s">
        <v>882</v>
      </c>
      <c r="M286" s="82" t="s">
        <v>1111</v>
      </c>
      <c r="N286" s="81" t="s">
        <v>1112</v>
      </c>
    </row>
    <row r="287" spans="1:14" ht="58" hidden="1">
      <c r="A287" s="77" t="s">
        <v>294</v>
      </c>
      <c r="B287" s="78">
        <v>1876</v>
      </c>
      <c r="C287" s="79">
        <v>1</v>
      </c>
      <c r="D287" s="79">
        <v>1872</v>
      </c>
      <c r="E287" s="79">
        <v>1</v>
      </c>
      <c r="F287" s="83" t="s">
        <v>1113</v>
      </c>
      <c r="G287" s="79">
        <v>1</v>
      </c>
      <c r="H287" s="79">
        <v>1</v>
      </c>
      <c r="I287" s="79">
        <v>1</v>
      </c>
      <c r="J287" s="79">
        <v>1</v>
      </c>
      <c r="K287" s="81" t="s">
        <v>1114</v>
      </c>
      <c r="L287" s="82" t="s">
        <v>1115</v>
      </c>
      <c r="M287" s="82" t="s">
        <v>1116</v>
      </c>
      <c r="N287" s="81" t="s">
        <v>1117</v>
      </c>
    </row>
    <row r="288" spans="1:14" ht="87" hidden="1">
      <c r="A288" s="77" t="s">
        <v>294</v>
      </c>
      <c r="B288" s="78">
        <v>1914</v>
      </c>
      <c r="C288" s="79">
        <v>1</v>
      </c>
      <c r="D288" s="79"/>
      <c r="E288" s="79">
        <v>1</v>
      </c>
      <c r="F288" s="80" t="s">
        <v>394</v>
      </c>
      <c r="G288" s="79">
        <v>0</v>
      </c>
      <c r="H288" s="79">
        <v>1</v>
      </c>
      <c r="I288" s="79">
        <v>0</v>
      </c>
      <c r="J288" s="79">
        <v>1</v>
      </c>
      <c r="K288" s="87" t="s">
        <v>1118</v>
      </c>
      <c r="L288" s="82" t="s">
        <v>1119</v>
      </c>
      <c r="M288" s="82" t="s">
        <v>1120</v>
      </c>
      <c r="N288" s="81" t="s">
        <v>1121</v>
      </c>
    </row>
    <row r="289" spans="1:14" ht="72.5" hidden="1">
      <c r="A289" s="77" t="s">
        <v>294</v>
      </c>
      <c r="B289" s="78">
        <v>1931</v>
      </c>
      <c r="C289" s="79">
        <v>1</v>
      </c>
      <c r="D289" s="79"/>
      <c r="E289" s="79">
        <v>1</v>
      </c>
      <c r="F289" s="80" t="s">
        <v>726</v>
      </c>
      <c r="G289" s="79">
        <v>1</v>
      </c>
      <c r="H289" s="79">
        <v>1</v>
      </c>
      <c r="I289" s="79">
        <v>1</v>
      </c>
      <c r="J289" s="79">
        <v>1</v>
      </c>
      <c r="K289" s="81" t="s">
        <v>1122</v>
      </c>
      <c r="L289" s="82" t="s">
        <v>1123</v>
      </c>
      <c r="M289" s="82" t="s">
        <v>1124</v>
      </c>
    </row>
    <row r="290" spans="1:14" ht="58" hidden="1">
      <c r="A290" s="77" t="s">
        <v>294</v>
      </c>
      <c r="B290" s="78">
        <v>1981</v>
      </c>
      <c r="C290" s="79">
        <v>1</v>
      </c>
      <c r="D290" s="79">
        <v>1983</v>
      </c>
      <c r="E290" s="79">
        <v>0</v>
      </c>
      <c r="F290" s="80"/>
      <c r="G290" s="79">
        <v>1</v>
      </c>
      <c r="H290" s="79">
        <v>0</v>
      </c>
      <c r="I290" s="79">
        <v>1</v>
      </c>
      <c r="J290" s="79">
        <v>1</v>
      </c>
      <c r="K290" s="81" t="s">
        <v>1125</v>
      </c>
      <c r="L290" s="82" t="s">
        <v>1126</v>
      </c>
      <c r="M290" s="82" t="s">
        <v>1127</v>
      </c>
      <c r="N290" s="81" t="s">
        <v>1128</v>
      </c>
    </row>
    <row r="291" spans="1:14" ht="58" hidden="1">
      <c r="A291" s="77" t="s">
        <v>294</v>
      </c>
      <c r="B291" s="78">
        <v>1987</v>
      </c>
      <c r="C291" s="79">
        <v>1</v>
      </c>
      <c r="D291" s="79"/>
      <c r="E291" s="79">
        <v>0</v>
      </c>
      <c r="F291" s="80"/>
      <c r="G291" s="79">
        <v>0</v>
      </c>
      <c r="H291" s="79">
        <v>0</v>
      </c>
      <c r="I291" s="79">
        <v>0</v>
      </c>
      <c r="J291" s="79">
        <v>0</v>
      </c>
      <c r="M291" s="82" t="s">
        <v>1129</v>
      </c>
    </row>
    <row r="292" spans="1:14" ht="116" hidden="1">
      <c r="A292" s="77" t="s">
        <v>294</v>
      </c>
      <c r="B292" s="78">
        <v>1998</v>
      </c>
      <c r="C292" s="79">
        <v>1</v>
      </c>
      <c r="D292" s="79">
        <v>1999</v>
      </c>
      <c r="E292" s="79">
        <v>0</v>
      </c>
      <c r="F292" s="80"/>
      <c r="G292" s="79">
        <v>1</v>
      </c>
      <c r="H292" s="79">
        <v>0</v>
      </c>
      <c r="I292" s="79">
        <v>1</v>
      </c>
      <c r="J292" s="79">
        <v>1</v>
      </c>
      <c r="K292" s="81" t="s">
        <v>1130</v>
      </c>
      <c r="L292" s="82" t="s">
        <v>1131</v>
      </c>
      <c r="M292" s="82" t="s">
        <v>1132</v>
      </c>
    </row>
    <row r="293" spans="1:14" ht="72.5" hidden="1">
      <c r="A293" s="77" t="s">
        <v>295</v>
      </c>
      <c r="B293" s="78">
        <v>1971</v>
      </c>
      <c r="C293" s="79">
        <v>1</v>
      </c>
      <c r="D293" s="79"/>
      <c r="E293" s="79">
        <v>1</v>
      </c>
      <c r="F293" s="80" t="s">
        <v>1133</v>
      </c>
      <c r="G293" s="79">
        <v>0</v>
      </c>
      <c r="H293" s="79">
        <v>1</v>
      </c>
      <c r="I293" s="79">
        <v>0</v>
      </c>
      <c r="J293" s="79">
        <v>1</v>
      </c>
      <c r="K293" s="81" t="s">
        <v>1134</v>
      </c>
      <c r="L293" s="82" t="s">
        <v>1135</v>
      </c>
      <c r="M293" s="82" t="s">
        <v>1136</v>
      </c>
    </row>
    <row r="294" spans="1:14" ht="43.5" hidden="1">
      <c r="A294" s="77" t="s">
        <v>295</v>
      </c>
      <c r="B294" s="78">
        <v>1981</v>
      </c>
      <c r="C294" s="79">
        <v>1</v>
      </c>
      <c r="D294" s="79">
        <v>1</v>
      </c>
      <c r="E294" s="79">
        <v>1</v>
      </c>
      <c r="F294" s="80" t="s">
        <v>1137</v>
      </c>
      <c r="G294" s="79">
        <v>1</v>
      </c>
      <c r="H294" s="79">
        <v>1</v>
      </c>
      <c r="I294" s="79">
        <v>1</v>
      </c>
      <c r="J294" s="79">
        <v>1</v>
      </c>
      <c r="K294" s="81" t="s">
        <v>1138</v>
      </c>
      <c r="L294" s="82" t="s">
        <v>1139</v>
      </c>
      <c r="M294" s="82" t="s">
        <v>1140</v>
      </c>
      <c r="N294" s="81" t="s">
        <v>1141</v>
      </c>
    </row>
    <row r="295" spans="1:14" ht="87" hidden="1">
      <c r="A295" s="77" t="s">
        <v>295</v>
      </c>
      <c r="B295" s="78">
        <v>1997</v>
      </c>
      <c r="C295" s="79">
        <v>1</v>
      </c>
      <c r="D295" s="79">
        <v>1</v>
      </c>
      <c r="E295" s="79">
        <v>0</v>
      </c>
      <c r="F295" s="80"/>
      <c r="G295" s="79">
        <v>1</v>
      </c>
      <c r="H295" s="79">
        <v>0</v>
      </c>
      <c r="I295" s="79">
        <v>1</v>
      </c>
      <c r="J295" s="79">
        <v>1</v>
      </c>
      <c r="K295" s="84" t="s">
        <v>1142</v>
      </c>
      <c r="L295" s="82" t="s">
        <v>1044</v>
      </c>
      <c r="M295" s="82" t="s">
        <v>1143</v>
      </c>
    </row>
    <row r="296" spans="1:14" ht="29" hidden="1">
      <c r="A296" s="77" t="s">
        <v>295</v>
      </c>
      <c r="B296" s="78">
        <v>2008</v>
      </c>
      <c r="C296" s="79">
        <v>1</v>
      </c>
      <c r="D296" s="79"/>
      <c r="E296" s="79">
        <v>0</v>
      </c>
      <c r="F296" s="80"/>
      <c r="G296" s="79">
        <v>0</v>
      </c>
      <c r="H296" s="79">
        <v>0</v>
      </c>
      <c r="I296" s="79">
        <v>0</v>
      </c>
      <c r="J296" s="79">
        <v>0</v>
      </c>
      <c r="M296" s="82" t="s">
        <v>1144</v>
      </c>
    </row>
    <row r="297" spans="1:14" ht="87" hidden="1">
      <c r="A297" s="77" t="s">
        <v>1145</v>
      </c>
      <c r="B297" s="78">
        <v>1876</v>
      </c>
      <c r="C297" s="79"/>
      <c r="D297" s="79"/>
      <c r="E297" s="79">
        <v>1</v>
      </c>
      <c r="F297" s="80" t="s">
        <v>1146</v>
      </c>
      <c r="G297" s="79">
        <v>1</v>
      </c>
      <c r="H297" s="79">
        <v>1</v>
      </c>
      <c r="I297" s="79">
        <v>1</v>
      </c>
      <c r="J297" s="79">
        <v>1</v>
      </c>
      <c r="K297" s="81" t="s">
        <v>1147</v>
      </c>
      <c r="L297" s="82" t="s">
        <v>1148</v>
      </c>
      <c r="M297" s="82" t="s">
        <v>1149</v>
      </c>
    </row>
    <row r="298" spans="1:14" ht="58" hidden="1">
      <c r="A298" s="77" t="s">
        <v>1145</v>
      </c>
      <c r="B298" s="78">
        <v>1890</v>
      </c>
      <c r="C298" s="79"/>
      <c r="D298" s="79">
        <v>1</v>
      </c>
      <c r="E298" s="79">
        <v>1</v>
      </c>
      <c r="F298" s="80" t="s">
        <v>1150</v>
      </c>
      <c r="G298" s="79">
        <v>1</v>
      </c>
      <c r="H298" s="79">
        <v>1</v>
      </c>
      <c r="I298" s="79">
        <v>1</v>
      </c>
      <c r="J298" s="79">
        <v>1</v>
      </c>
      <c r="K298" s="81" t="s">
        <v>1151</v>
      </c>
      <c r="L298" s="82" t="s">
        <v>1152</v>
      </c>
      <c r="M298" s="82" t="s">
        <v>1153</v>
      </c>
    </row>
    <row r="299" spans="1:14" ht="58" hidden="1">
      <c r="A299" s="77" t="s">
        <v>1145</v>
      </c>
      <c r="B299" s="78">
        <v>1921</v>
      </c>
      <c r="C299" s="79">
        <v>1</v>
      </c>
      <c r="D299" s="79">
        <v>1920</v>
      </c>
      <c r="E299" s="79">
        <v>1</v>
      </c>
      <c r="F299" s="80" t="s">
        <v>483</v>
      </c>
      <c r="G299" s="79">
        <v>1</v>
      </c>
      <c r="H299" s="79">
        <v>1</v>
      </c>
      <c r="I299" s="79">
        <v>1</v>
      </c>
      <c r="J299" s="79">
        <v>1</v>
      </c>
      <c r="K299" s="81" t="s">
        <v>1154</v>
      </c>
      <c r="L299" s="82" t="s">
        <v>1155</v>
      </c>
      <c r="M299" s="82" t="s">
        <v>1156</v>
      </c>
    </row>
    <row r="300" spans="1:14" ht="72.5" hidden="1">
      <c r="A300" s="77" t="s">
        <v>1145</v>
      </c>
      <c r="B300" s="78">
        <v>1923</v>
      </c>
      <c r="C300" s="79">
        <v>1</v>
      </c>
      <c r="D300" s="79">
        <v>1</v>
      </c>
      <c r="E300" s="79">
        <v>1</v>
      </c>
      <c r="F300" s="80" t="s">
        <v>483</v>
      </c>
      <c r="G300" s="79">
        <v>1</v>
      </c>
      <c r="H300" s="79">
        <v>1</v>
      </c>
      <c r="I300" s="79">
        <v>1</v>
      </c>
      <c r="J300" s="79">
        <v>1</v>
      </c>
      <c r="K300" s="81" t="s">
        <v>1157</v>
      </c>
      <c r="L300" s="82" t="s">
        <v>1158</v>
      </c>
      <c r="M300" s="82" t="s">
        <v>1159</v>
      </c>
      <c r="N300" s="81" t="s">
        <v>1160</v>
      </c>
    </row>
    <row r="301" spans="1:14" ht="130.5" hidden="1">
      <c r="A301" s="77" t="s">
        <v>1145</v>
      </c>
      <c r="B301" s="78">
        <v>1931</v>
      </c>
      <c r="C301" s="79">
        <v>1</v>
      </c>
      <c r="D301" s="79">
        <v>1</v>
      </c>
      <c r="E301" s="79">
        <v>1</v>
      </c>
      <c r="F301" s="80" t="s">
        <v>1161</v>
      </c>
      <c r="G301" s="79">
        <v>1</v>
      </c>
      <c r="H301" s="79">
        <v>1</v>
      </c>
      <c r="I301" s="79">
        <v>1</v>
      </c>
      <c r="J301" s="79">
        <v>1</v>
      </c>
      <c r="K301" s="81" t="s">
        <v>1162</v>
      </c>
      <c r="L301" s="82" t="s">
        <v>1163</v>
      </c>
      <c r="M301" s="82" t="s">
        <v>1164</v>
      </c>
    </row>
    <row r="302" spans="1:14" hidden="1">
      <c r="A302" s="77" t="s">
        <v>1145</v>
      </c>
      <c r="B302" s="78">
        <v>1956</v>
      </c>
      <c r="C302" s="79">
        <v>1</v>
      </c>
      <c r="D302" s="79"/>
      <c r="E302" s="79">
        <v>0</v>
      </c>
      <c r="F302" s="80"/>
      <c r="G302" s="79">
        <v>0</v>
      </c>
      <c r="H302" s="79">
        <v>0</v>
      </c>
      <c r="I302" s="79">
        <v>0</v>
      </c>
      <c r="J302" s="79">
        <v>0</v>
      </c>
      <c r="M302" s="82" t="s">
        <v>434</v>
      </c>
    </row>
    <row r="303" spans="1:14" ht="58" hidden="1">
      <c r="A303" s="77" t="s">
        <v>1145</v>
      </c>
      <c r="B303" s="78">
        <v>1986</v>
      </c>
      <c r="C303" s="79"/>
      <c r="D303" s="79">
        <v>1</v>
      </c>
      <c r="E303" s="79">
        <v>0</v>
      </c>
      <c r="F303" s="80"/>
      <c r="G303" s="79">
        <v>0</v>
      </c>
      <c r="H303" s="79">
        <v>0</v>
      </c>
      <c r="I303" s="79">
        <v>0</v>
      </c>
      <c r="J303" s="79">
        <v>0</v>
      </c>
      <c r="M303" s="82" t="s">
        <v>1165</v>
      </c>
    </row>
    <row r="304" spans="1:14" hidden="1">
      <c r="A304" s="77" t="s">
        <v>1145</v>
      </c>
      <c r="B304" s="78">
        <v>2002</v>
      </c>
      <c r="C304" s="79">
        <v>1</v>
      </c>
      <c r="D304" s="79"/>
      <c r="E304" s="79">
        <v>0</v>
      </c>
      <c r="F304" s="80"/>
      <c r="G304" s="79">
        <v>0</v>
      </c>
      <c r="H304" s="79">
        <v>0</v>
      </c>
      <c r="I304" s="79">
        <v>0</v>
      </c>
      <c r="J304" s="79">
        <v>0</v>
      </c>
      <c r="M304" s="82" t="s">
        <v>434</v>
      </c>
    </row>
    <row r="305" spans="1:14" ht="43.5" hidden="1">
      <c r="A305" s="77" t="s">
        <v>1145</v>
      </c>
      <c r="B305" s="78">
        <v>2008</v>
      </c>
      <c r="C305" s="79">
        <v>1</v>
      </c>
      <c r="D305" s="79">
        <v>1</v>
      </c>
      <c r="E305" s="79">
        <v>1</v>
      </c>
      <c r="F305" s="80" t="s">
        <v>470</v>
      </c>
      <c r="G305" s="79">
        <v>1</v>
      </c>
      <c r="H305" s="79">
        <v>1</v>
      </c>
      <c r="I305" s="79">
        <v>1</v>
      </c>
      <c r="J305" s="79">
        <v>1</v>
      </c>
      <c r="K305" s="81" t="s">
        <v>1166</v>
      </c>
      <c r="L305" s="82" t="s">
        <v>1167</v>
      </c>
      <c r="M305" s="82" t="s">
        <v>1168</v>
      </c>
    </row>
    <row r="306" spans="1:14" ht="43.5" hidden="1">
      <c r="A306" s="77" t="s">
        <v>1145</v>
      </c>
      <c r="B306" s="78">
        <v>2011</v>
      </c>
      <c r="C306" s="79">
        <v>1</v>
      </c>
      <c r="D306" s="79"/>
      <c r="E306" s="79">
        <v>0</v>
      </c>
      <c r="F306" s="80"/>
      <c r="G306" s="79">
        <v>1</v>
      </c>
      <c r="H306" s="79">
        <v>0</v>
      </c>
      <c r="I306" s="79">
        <v>1</v>
      </c>
      <c r="J306" s="79">
        <v>1</v>
      </c>
      <c r="K306" s="81" t="s">
        <v>1169</v>
      </c>
      <c r="L306" s="82" t="s">
        <v>882</v>
      </c>
      <c r="M306" s="82" t="s">
        <v>1170</v>
      </c>
    </row>
    <row r="307" spans="1:14" ht="58" hidden="1">
      <c r="A307" s="77" t="s">
        <v>1145</v>
      </c>
      <c r="B307" s="78">
        <v>2014</v>
      </c>
      <c r="C307" s="79">
        <v>1</v>
      </c>
      <c r="D307" s="79"/>
      <c r="E307" s="79">
        <v>0</v>
      </c>
      <c r="F307" s="80"/>
      <c r="G307" s="79">
        <v>1</v>
      </c>
      <c r="H307" s="79">
        <v>0</v>
      </c>
      <c r="I307" s="79">
        <v>1</v>
      </c>
      <c r="J307" s="79">
        <v>1</v>
      </c>
      <c r="K307" s="81" t="s">
        <v>1171</v>
      </c>
      <c r="L307" s="82" t="s">
        <v>1172</v>
      </c>
      <c r="M307" s="82" t="s">
        <v>1173</v>
      </c>
    </row>
    <row r="308" spans="1:14" ht="87" hidden="1">
      <c r="A308" s="77" t="s">
        <v>1174</v>
      </c>
      <c r="B308" s="78">
        <v>1875</v>
      </c>
      <c r="C308" s="79">
        <v>0</v>
      </c>
      <c r="D308" s="79">
        <v>1</v>
      </c>
      <c r="E308" s="79">
        <v>1</v>
      </c>
      <c r="F308" s="80" t="s">
        <v>1175</v>
      </c>
      <c r="G308" s="79">
        <v>1</v>
      </c>
      <c r="H308" s="79">
        <v>1</v>
      </c>
      <c r="I308" s="79">
        <v>0</v>
      </c>
      <c r="J308" s="79">
        <v>1</v>
      </c>
      <c r="K308" s="81" t="s">
        <v>1176</v>
      </c>
      <c r="L308" s="82" t="s">
        <v>1177</v>
      </c>
      <c r="M308" s="82" t="s">
        <v>1178</v>
      </c>
    </row>
    <row r="309" spans="1:14" ht="159.5" hidden="1">
      <c r="A309" s="77" t="s">
        <v>1174</v>
      </c>
      <c r="B309" s="78">
        <v>1900</v>
      </c>
      <c r="C309" s="79">
        <v>1</v>
      </c>
      <c r="D309" s="79">
        <v>1896</v>
      </c>
      <c r="E309" s="79">
        <v>1</v>
      </c>
      <c r="F309" s="83" t="s">
        <v>1179</v>
      </c>
      <c r="G309" s="79">
        <v>1</v>
      </c>
      <c r="H309" s="79">
        <v>1</v>
      </c>
      <c r="I309" s="79">
        <v>1</v>
      </c>
      <c r="J309" s="79">
        <v>1</v>
      </c>
      <c r="K309" s="81" t="s">
        <v>1180</v>
      </c>
      <c r="L309" s="82" t="s">
        <v>1181</v>
      </c>
      <c r="M309" s="82" t="s">
        <v>1182</v>
      </c>
    </row>
    <row r="310" spans="1:14" ht="72.5" hidden="1">
      <c r="A310" s="77" t="s">
        <v>1174</v>
      </c>
      <c r="B310" s="78">
        <v>1995</v>
      </c>
      <c r="C310" s="79"/>
      <c r="D310" s="79">
        <v>1</v>
      </c>
      <c r="E310" s="79">
        <v>1</v>
      </c>
      <c r="F310" s="80" t="s">
        <v>1183</v>
      </c>
      <c r="G310" s="79">
        <v>1</v>
      </c>
      <c r="H310" s="79">
        <v>1</v>
      </c>
      <c r="I310" s="79">
        <v>1</v>
      </c>
      <c r="J310" s="79">
        <v>1</v>
      </c>
      <c r="K310" s="81" t="s">
        <v>1184</v>
      </c>
      <c r="L310" s="82" t="s">
        <v>1185</v>
      </c>
      <c r="M310" s="82" t="s">
        <v>1186</v>
      </c>
    </row>
    <row r="311" spans="1:14" ht="72.5" hidden="1">
      <c r="A311" s="77" t="s">
        <v>1174</v>
      </c>
      <c r="B311" s="78">
        <v>1998</v>
      </c>
      <c r="C311" s="79">
        <v>1</v>
      </c>
      <c r="D311" s="79">
        <v>1</v>
      </c>
      <c r="E311" s="79">
        <v>1</v>
      </c>
      <c r="F311" s="80" t="s">
        <v>1187</v>
      </c>
      <c r="G311" s="79">
        <v>1</v>
      </c>
      <c r="H311" s="79">
        <v>1</v>
      </c>
      <c r="I311" s="79">
        <v>1</v>
      </c>
      <c r="J311" s="79">
        <v>1</v>
      </c>
      <c r="K311" s="81" t="s">
        <v>1188</v>
      </c>
      <c r="L311" s="82" t="s">
        <v>1189</v>
      </c>
      <c r="M311" s="82" t="s">
        <v>1190</v>
      </c>
    </row>
    <row r="312" spans="1:14" ht="58" hidden="1">
      <c r="A312" s="77" t="s">
        <v>1174</v>
      </c>
      <c r="B312" s="78">
        <v>2008</v>
      </c>
      <c r="C312" s="79">
        <v>1</v>
      </c>
      <c r="D312" s="79">
        <v>1</v>
      </c>
      <c r="E312" s="79">
        <v>1</v>
      </c>
      <c r="F312" s="80" t="s">
        <v>470</v>
      </c>
      <c r="G312" s="79">
        <v>1</v>
      </c>
      <c r="H312" s="79">
        <v>1</v>
      </c>
      <c r="I312" s="79">
        <v>1</v>
      </c>
      <c r="J312" s="79">
        <v>1</v>
      </c>
      <c r="K312" s="81" t="s">
        <v>1191</v>
      </c>
      <c r="L312" s="82" t="s">
        <v>1192</v>
      </c>
      <c r="M312" s="82" t="s">
        <v>1193</v>
      </c>
    </row>
    <row r="313" spans="1:14" hidden="1">
      <c r="A313" s="77" t="s">
        <v>1194</v>
      </c>
      <c r="B313" s="78">
        <v>1973</v>
      </c>
      <c r="C313" s="79">
        <v>1</v>
      </c>
      <c r="D313" s="79"/>
      <c r="E313" s="79">
        <v>0</v>
      </c>
      <c r="F313" s="80"/>
      <c r="G313" s="79">
        <v>0</v>
      </c>
      <c r="H313" s="79">
        <v>0</v>
      </c>
      <c r="I313" s="79">
        <v>0</v>
      </c>
      <c r="J313" s="79">
        <v>0</v>
      </c>
      <c r="M313" s="82" t="s">
        <v>434</v>
      </c>
    </row>
    <row r="314" spans="1:14" ht="87" hidden="1">
      <c r="A314" s="77" t="s">
        <v>1194</v>
      </c>
      <c r="B314" s="78">
        <v>1982</v>
      </c>
      <c r="C314" s="79">
        <v>0</v>
      </c>
      <c r="D314" s="79">
        <v>1</v>
      </c>
      <c r="E314" s="79">
        <v>0</v>
      </c>
      <c r="F314" s="80"/>
      <c r="G314" s="79">
        <v>0</v>
      </c>
      <c r="H314" s="79">
        <v>0</v>
      </c>
      <c r="I314" s="79">
        <v>0</v>
      </c>
      <c r="J314" s="79">
        <v>0</v>
      </c>
      <c r="K314" s="81" t="s">
        <v>1195</v>
      </c>
      <c r="L314" s="82" t="s">
        <v>1196</v>
      </c>
      <c r="M314" s="82" t="s">
        <v>1197</v>
      </c>
    </row>
    <row r="315" spans="1:14" ht="43.5" hidden="1">
      <c r="A315" s="77" t="s">
        <v>1198</v>
      </c>
      <c r="B315" s="78">
        <v>1877</v>
      </c>
      <c r="C315" s="85">
        <v>0</v>
      </c>
      <c r="D315" s="85">
        <v>1</v>
      </c>
      <c r="E315" s="79">
        <v>0</v>
      </c>
      <c r="F315" s="80"/>
      <c r="G315" s="79">
        <v>0</v>
      </c>
      <c r="H315" s="79">
        <v>0</v>
      </c>
      <c r="I315" s="79">
        <v>0</v>
      </c>
      <c r="J315" s="79">
        <v>0</v>
      </c>
      <c r="M315" s="82" t="s">
        <v>1199</v>
      </c>
      <c r="N315" s="87" t="s">
        <v>1200</v>
      </c>
    </row>
    <row r="316" spans="1:14" ht="29" hidden="1">
      <c r="A316" s="77" t="s">
        <v>1198</v>
      </c>
      <c r="B316" s="78">
        <v>1881</v>
      </c>
      <c r="C316" s="79">
        <v>0</v>
      </c>
      <c r="D316" s="79">
        <v>1</v>
      </c>
      <c r="E316" s="79">
        <v>1</v>
      </c>
      <c r="F316" s="83" t="s">
        <v>1201</v>
      </c>
      <c r="G316" s="79">
        <v>1</v>
      </c>
      <c r="H316" s="79">
        <v>1</v>
      </c>
      <c r="I316" s="79">
        <v>0</v>
      </c>
      <c r="J316" s="79">
        <v>1</v>
      </c>
      <c r="K316" s="81" t="s">
        <v>1202</v>
      </c>
      <c r="L316" s="82" t="s">
        <v>1203</v>
      </c>
      <c r="M316" s="82" t="s">
        <v>1204</v>
      </c>
    </row>
    <row r="317" spans="1:14" ht="72.5" hidden="1">
      <c r="A317" s="77" t="s">
        <v>1198</v>
      </c>
      <c r="B317" s="78">
        <v>1890</v>
      </c>
      <c r="C317" s="79">
        <v>0</v>
      </c>
      <c r="D317" s="79">
        <v>1</v>
      </c>
      <c r="E317" s="79">
        <v>1</v>
      </c>
      <c r="F317" s="83" t="s">
        <v>1205</v>
      </c>
      <c r="G317" s="79">
        <v>1</v>
      </c>
      <c r="H317" s="79">
        <v>1</v>
      </c>
      <c r="I317" s="79">
        <v>0</v>
      </c>
      <c r="J317" s="79">
        <v>1</v>
      </c>
      <c r="K317" s="81" t="s">
        <v>1206</v>
      </c>
      <c r="L317" s="82" t="s">
        <v>1207</v>
      </c>
      <c r="M317" s="82" t="s">
        <v>1208</v>
      </c>
    </row>
    <row r="318" spans="1:14" ht="29" hidden="1">
      <c r="A318" s="77" t="s">
        <v>1198</v>
      </c>
      <c r="B318" s="78">
        <v>1920</v>
      </c>
      <c r="C318" s="79">
        <v>1</v>
      </c>
      <c r="D318" s="79"/>
      <c r="E318" s="79">
        <v>0</v>
      </c>
      <c r="F318" s="80"/>
      <c r="G318" s="79">
        <v>0</v>
      </c>
      <c r="H318" s="79">
        <v>0</v>
      </c>
      <c r="I318" s="79">
        <v>0</v>
      </c>
      <c r="J318" s="79">
        <v>0</v>
      </c>
      <c r="M318" s="82" t="s">
        <v>1209</v>
      </c>
    </row>
    <row r="319" spans="1:14" hidden="1">
      <c r="A319" s="77" t="s">
        <v>1198</v>
      </c>
      <c r="B319" s="78">
        <v>1969</v>
      </c>
      <c r="C319" s="79">
        <v>1</v>
      </c>
      <c r="D319" s="79"/>
      <c r="E319" s="79">
        <v>0</v>
      </c>
      <c r="F319" s="80"/>
      <c r="G319" s="79">
        <v>0</v>
      </c>
      <c r="H319" s="79">
        <v>0</v>
      </c>
      <c r="I319" s="79">
        <v>0</v>
      </c>
      <c r="J319" s="79">
        <v>0</v>
      </c>
      <c r="M319" s="82" t="s">
        <v>434</v>
      </c>
    </row>
    <row r="320" spans="1:14" hidden="1">
      <c r="A320" s="77" t="s">
        <v>1198</v>
      </c>
      <c r="B320" s="78">
        <v>1973</v>
      </c>
      <c r="C320" s="79">
        <v>1</v>
      </c>
      <c r="D320" s="79"/>
      <c r="E320" s="79">
        <v>0</v>
      </c>
      <c r="F320" s="80"/>
      <c r="G320" s="79">
        <v>0</v>
      </c>
      <c r="H320" s="79">
        <v>0</v>
      </c>
      <c r="I320" s="79">
        <v>0</v>
      </c>
      <c r="J320" s="79">
        <v>0</v>
      </c>
      <c r="M320" s="82" t="s">
        <v>434</v>
      </c>
    </row>
    <row r="321" spans="1:14" ht="72.5" hidden="1">
      <c r="A321" s="77" t="s">
        <v>1198</v>
      </c>
      <c r="B321" s="78">
        <v>1977</v>
      </c>
      <c r="C321" s="79">
        <v>0</v>
      </c>
      <c r="D321" s="79">
        <v>1</v>
      </c>
      <c r="E321" s="79">
        <v>0</v>
      </c>
      <c r="F321" s="80"/>
      <c r="G321" s="79">
        <v>0</v>
      </c>
      <c r="H321" s="79">
        <v>0</v>
      </c>
      <c r="I321" s="79">
        <v>0</v>
      </c>
      <c r="J321" s="79">
        <v>0</v>
      </c>
      <c r="M321" s="82" t="s">
        <v>1210</v>
      </c>
    </row>
    <row r="322" spans="1:14" ht="58" hidden="1">
      <c r="A322" s="77" t="s">
        <v>1198</v>
      </c>
      <c r="B322" s="78">
        <v>1984</v>
      </c>
      <c r="C322" s="79">
        <v>1</v>
      </c>
      <c r="D322" s="79">
        <v>1985</v>
      </c>
      <c r="E322" s="79">
        <v>0</v>
      </c>
      <c r="F322" s="80"/>
      <c r="G322" s="79">
        <v>0</v>
      </c>
      <c r="H322" s="79">
        <v>0</v>
      </c>
      <c r="I322" s="79">
        <v>0</v>
      </c>
      <c r="J322" s="79">
        <v>0</v>
      </c>
      <c r="K322" s="81" t="s">
        <v>1211</v>
      </c>
      <c r="L322" s="82" t="s">
        <v>1212</v>
      </c>
      <c r="M322" s="82" t="s">
        <v>1213</v>
      </c>
      <c r="N322" s="81" t="s">
        <v>1214</v>
      </c>
    </row>
    <row r="323" spans="1:14" ht="58" hidden="1">
      <c r="A323" s="77" t="s">
        <v>1198</v>
      </c>
      <c r="B323" s="78">
        <v>1989</v>
      </c>
      <c r="C323" s="79">
        <v>0</v>
      </c>
      <c r="D323" s="79">
        <v>1</v>
      </c>
      <c r="E323" s="79">
        <v>0</v>
      </c>
      <c r="F323" s="80"/>
      <c r="G323" s="79">
        <v>0</v>
      </c>
      <c r="H323" s="79">
        <v>0</v>
      </c>
      <c r="I323" s="79">
        <v>0</v>
      </c>
      <c r="J323" s="79">
        <v>0</v>
      </c>
      <c r="K323" s="81" t="s">
        <v>1215</v>
      </c>
      <c r="L323" s="82" t="s">
        <v>1216</v>
      </c>
      <c r="M323" s="82" t="s">
        <v>434</v>
      </c>
      <c r="N323" s="82" t="s">
        <v>1217</v>
      </c>
    </row>
    <row r="324" spans="1:14" ht="43.5" hidden="1">
      <c r="A324" s="77" t="s">
        <v>311</v>
      </c>
      <c r="B324" s="78">
        <v>1882</v>
      </c>
      <c r="C324" s="79">
        <v>1</v>
      </c>
      <c r="D324" s="79">
        <v>1883</v>
      </c>
      <c r="E324" s="79">
        <v>1</v>
      </c>
      <c r="F324" s="83" t="s">
        <v>1218</v>
      </c>
      <c r="G324" s="79">
        <v>1</v>
      </c>
      <c r="H324" s="79">
        <v>1</v>
      </c>
      <c r="I324" s="79">
        <v>1</v>
      </c>
      <c r="J324" s="79">
        <v>1</v>
      </c>
      <c r="K324" s="81" t="s">
        <v>1219</v>
      </c>
      <c r="L324" s="82" t="s">
        <v>1220</v>
      </c>
      <c r="M324" s="82" t="s">
        <v>1221</v>
      </c>
      <c r="N324" s="81" t="s">
        <v>1222</v>
      </c>
    </row>
    <row r="325" spans="1:14" ht="58" hidden="1">
      <c r="A325" s="77" t="s">
        <v>311</v>
      </c>
      <c r="B325" s="78">
        <v>1890</v>
      </c>
      <c r="C325" s="79">
        <v>0</v>
      </c>
      <c r="D325" s="79">
        <v>1</v>
      </c>
      <c r="E325" s="79">
        <v>1</v>
      </c>
      <c r="F325" s="83" t="s">
        <v>1223</v>
      </c>
      <c r="G325" s="79">
        <v>1</v>
      </c>
      <c r="H325" s="79">
        <v>1</v>
      </c>
      <c r="I325" s="79">
        <v>0</v>
      </c>
      <c r="J325" s="79">
        <v>1</v>
      </c>
      <c r="K325" s="81" t="s">
        <v>1224</v>
      </c>
      <c r="L325" s="82" t="s">
        <v>1225</v>
      </c>
      <c r="M325" s="82" t="s">
        <v>1226</v>
      </c>
      <c r="N325" s="81" t="s">
        <v>1227</v>
      </c>
    </row>
    <row r="326" spans="1:14" ht="130.5" hidden="1">
      <c r="A326" s="77" t="s">
        <v>311</v>
      </c>
      <c r="B326" s="78">
        <v>1913</v>
      </c>
      <c r="C326" s="79">
        <v>0</v>
      </c>
      <c r="D326" s="79">
        <v>1</v>
      </c>
      <c r="E326" s="79">
        <v>1</v>
      </c>
      <c r="F326" s="80" t="s">
        <v>1228</v>
      </c>
      <c r="G326" s="79">
        <v>1</v>
      </c>
      <c r="H326" s="79">
        <v>1</v>
      </c>
      <c r="I326" s="79">
        <v>0</v>
      </c>
      <c r="J326" s="79">
        <v>1</v>
      </c>
      <c r="K326" s="81" t="s">
        <v>1229</v>
      </c>
      <c r="L326" s="82" t="s">
        <v>1230</v>
      </c>
      <c r="M326" s="82" t="s">
        <v>1231</v>
      </c>
      <c r="N326" s="81" t="s">
        <v>1232</v>
      </c>
    </row>
    <row r="327" spans="1:14" ht="87" hidden="1">
      <c r="A327" s="77" t="s">
        <v>311</v>
      </c>
      <c r="B327" s="78">
        <v>1920</v>
      </c>
      <c r="C327" s="79">
        <v>0</v>
      </c>
      <c r="D327" s="79">
        <v>1</v>
      </c>
      <c r="E327" s="79">
        <v>1</v>
      </c>
      <c r="F327" s="83" t="s">
        <v>1233</v>
      </c>
      <c r="G327" s="79">
        <v>1</v>
      </c>
      <c r="H327" s="79">
        <v>1</v>
      </c>
      <c r="I327" s="79">
        <v>0</v>
      </c>
      <c r="J327" s="79">
        <v>1</v>
      </c>
      <c r="K327" s="81" t="s">
        <v>1234</v>
      </c>
      <c r="L327" s="82" t="s">
        <v>1235</v>
      </c>
      <c r="M327" s="82" t="s">
        <v>1236</v>
      </c>
      <c r="N327" s="81" t="s">
        <v>1237</v>
      </c>
    </row>
    <row r="328" spans="1:14" ht="101.5" hidden="1">
      <c r="A328" s="77" t="s">
        <v>311</v>
      </c>
      <c r="B328" s="78">
        <v>1924</v>
      </c>
      <c r="C328" s="79">
        <v>0</v>
      </c>
      <c r="D328" s="79">
        <v>1</v>
      </c>
      <c r="E328" s="79">
        <v>1</v>
      </c>
      <c r="F328" s="80" t="s">
        <v>1238</v>
      </c>
      <c r="G328" s="79">
        <v>1</v>
      </c>
      <c r="H328" s="79">
        <v>1</v>
      </c>
      <c r="I328" s="79">
        <v>0</v>
      </c>
      <c r="J328" s="79">
        <v>1</v>
      </c>
      <c r="K328" s="81" t="s">
        <v>1239</v>
      </c>
      <c r="L328" s="82" t="s">
        <v>1240</v>
      </c>
      <c r="M328" s="82" t="s">
        <v>1241</v>
      </c>
      <c r="N328" s="81" t="s">
        <v>1242</v>
      </c>
    </row>
    <row r="329" spans="1:14" ht="145" hidden="1">
      <c r="A329" s="77" t="s">
        <v>311</v>
      </c>
      <c r="B329" s="78">
        <v>1931</v>
      </c>
      <c r="C329" s="79">
        <v>1</v>
      </c>
      <c r="D329" s="79">
        <v>1</v>
      </c>
      <c r="E329" s="85">
        <v>1</v>
      </c>
      <c r="F329" s="83" t="s">
        <v>399</v>
      </c>
      <c r="G329" s="79">
        <v>1</v>
      </c>
      <c r="H329" s="79">
        <v>1</v>
      </c>
      <c r="I329" s="79">
        <v>1</v>
      </c>
      <c r="J329" s="79">
        <v>1</v>
      </c>
      <c r="K329" s="81" t="s">
        <v>1243</v>
      </c>
      <c r="L329" s="82" t="s">
        <v>1244</v>
      </c>
      <c r="M329" s="82" t="s">
        <v>1245</v>
      </c>
      <c r="N329" s="81" t="s">
        <v>1246</v>
      </c>
    </row>
    <row r="330" spans="1:14" hidden="1">
      <c r="A330" s="77" t="s">
        <v>311</v>
      </c>
      <c r="B330" s="78">
        <v>1958</v>
      </c>
      <c r="C330" s="79">
        <v>1</v>
      </c>
      <c r="D330" s="79"/>
      <c r="E330" s="79">
        <v>0</v>
      </c>
      <c r="F330" s="80"/>
      <c r="G330" s="79">
        <v>0</v>
      </c>
      <c r="H330" s="79">
        <v>0</v>
      </c>
      <c r="I330" s="79">
        <v>0</v>
      </c>
      <c r="J330" s="79">
        <v>0</v>
      </c>
      <c r="M330" s="82" t="s">
        <v>434</v>
      </c>
    </row>
    <row r="331" spans="1:14" hidden="1">
      <c r="A331" s="77" t="s">
        <v>311</v>
      </c>
      <c r="B331" s="78">
        <v>1971</v>
      </c>
      <c r="C331" s="79">
        <v>1</v>
      </c>
      <c r="D331" s="79"/>
      <c r="E331" s="79">
        <v>0</v>
      </c>
      <c r="F331" s="80"/>
      <c r="G331" s="79">
        <v>0</v>
      </c>
      <c r="H331" s="79">
        <v>0</v>
      </c>
      <c r="I331" s="79">
        <v>0</v>
      </c>
      <c r="J331" s="79">
        <v>0</v>
      </c>
      <c r="M331" s="82" t="s">
        <v>434</v>
      </c>
    </row>
    <row r="332" spans="1:14" ht="87" hidden="1">
      <c r="A332" s="77" t="s">
        <v>311</v>
      </c>
      <c r="B332" s="78">
        <v>1975</v>
      </c>
      <c r="C332" s="79">
        <v>1</v>
      </c>
      <c r="D332" s="79">
        <v>1977</v>
      </c>
      <c r="E332" s="79">
        <v>0</v>
      </c>
      <c r="F332" s="80"/>
      <c r="G332" s="79">
        <v>1</v>
      </c>
      <c r="H332" s="79">
        <v>0</v>
      </c>
      <c r="I332" s="79">
        <v>1</v>
      </c>
      <c r="J332" s="79">
        <v>1</v>
      </c>
      <c r="K332" s="81" t="s">
        <v>1247</v>
      </c>
      <c r="L332" s="82" t="s">
        <v>1248</v>
      </c>
      <c r="M332" s="82" t="s">
        <v>1249</v>
      </c>
      <c r="N332" s="81" t="s">
        <v>1250</v>
      </c>
    </row>
    <row r="333" spans="1:14" ht="43.5" hidden="1">
      <c r="A333" s="77" t="s">
        <v>311</v>
      </c>
      <c r="B333" s="78">
        <v>1991</v>
      </c>
      <c r="C333" s="79">
        <v>1</v>
      </c>
      <c r="D333" s="79"/>
      <c r="E333" s="79">
        <v>0</v>
      </c>
      <c r="F333" s="80"/>
      <c r="G333" s="79">
        <v>0</v>
      </c>
      <c r="H333" s="79">
        <v>0</v>
      </c>
      <c r="I333" s="79">
        <v>0</v>
      </c>
      <c r="J333" s="79">
        <v>0</v>
      </c>
      <c r="K333" s="81" t="s">
        <v>1251</v>
      </c>
      <c r="L333" s="82" t="s">
        <v>1252</v>
      </c>
      <c r="M333" s="82" t="s">
        <v>1253</v>
      </c>
    </row>
    <row r="334" spans="1:14" hidden="1">
      <c r="A334" s="77" t="s">
        <v>311</v>
      </c>
      <c r="B334" s="78">
        <v>2002</v>
      </c>
      <c r="C334" s="79">
        <v>1</v>
      </c>
      <c r="D334" s="79"/>
      <c r="E334" s="79">
        <v>0</v>
      </c>
      <c r="F334" s="80"/>
      <c r="G334" s="79">
        <v>0</v>
      </c>
      <c r="H334" s="79">
        <v>0</v>
      </c>
      <c r="I334" s="79">
        <v>0</v>
      </c>
      <c r="J334" s="79">
        <v>0</v>
      </c>
      <c r="M334" s="82" t="s">
        <v>434</v>
      </c>
    </row>
    <row r="335" spans="1:14" ht="43.5" hidden="1">
      <c r="A335" s="77" t="s">
        <v>311</v>
      </c>
      <c r="B335" s="78">
        <v>2008</v>
      </c>
      <c r="C335" s="79">
        <v>1</v>
      </c>
      <c r="D335" s="79">
        <v>1</v>
      </c>
      <c r="E335" s="79">
        <v>1</v>
      </c>
      <c r="F335" s="80" t="s">
        <v>470</v>
      </c>
      <c r="G335" s="79">
        <v>1</v>
      </c>
      <c r="H335" s="79">
        <v>1</v>
      </c>
      <c r="I335" s="79">
        <v>1</v>
      </c>
      <c r="J335" s="79">
        <v>1</v>
      </c>
      <c r="K335" s="81" t="s">
        <v>1254</v>
      </c>
      <c r="L335" s="82" t="s">
        <v>1255</v>
      </c>
      <c r="M335" s="82" t="s">
        <v>1256</v>
      </c>
      <c r="N335" s="81" t="s">
        <v>1257</v>
      </c>
    </row>
    <row r="336" spans="1:14" ht="101.5" hidden="1">
      <c r="A336" s="77" t="s">
        <v>311</v>
      </c>
      <c r="B336" s="78">
        <v>2010</v>
      </c>
      <c r="C336" s="79">
        <v>1</v>
      </c>
      <c r="D336" s="79"/>
      <c r="E336" s="79">
        <v>0</v>
      </c>
      <c r="F336" s="80"/>
      <c r="G336" s="79">
        <v>1</v>
      </c>
      <c r="H336" s="79">
        <v>0</v>
      </c>
      <c r="I336" s="79">
        <v>1</v>
      </c>
      <c r="J336" s="79">
        <v>1</v>
      </c>
      <c r="K336" s="81" t="s">
        <v>1258</v>
      </c>
      <c r="L336" s="82" t="s">
        <v>1259</v>
      </c>
      <c r="M336" s="82" t="s">
        <v>1260</v>
      </c>
    </row>
    <row r="337" spans="1:14" ht="58" hidden="1">
      <c r="A337" s="77" t="s">
        <v>315</v>
      </c>
      <c r="B337" s="78">
        <v>1878</v>
      </c>
      <c r="C337" s="79"/>
      <c r="D337" s="79">
        <v>1876</v>
      </c>
      <c r="E337" s="79">
        <v>1</v>
      </c>
      <c r="F337" s="80" t="s">
        <v>1261</v>
      </c>
      <c r="G337" s="79">
        <v>1</v>
      </c>
      <c r="H337" s="79">
        <v>1</v>
      </c>
      <c r="I337" s="79">
        <v>1</v>
      </c>
      <c r="J337" s="79">
        <v>1</v>
      </c>
      <c r="K337" s="81" t="s">
        <v>1262</v>
      </c>
      <c r="L337" s="82" t="s">
        <v>1263</v>
      </c>
      <c r="M337" s="82" t="s">
        <v>1264</v>
      </c>
      <c r="N337" s="81" t="s">
        <v>1265</v>
      </c>
    </row>
    <row r="338" spans="1:14" ht="43.5" hidden="1">
      <c r="A338" s="77" t="s">
        <v>315</v>
      </c>
      <c r="B338" s="78">
        <v>1897</v>
      </c>
      <c r="C338" s="79">
        <v>0</v>
      </c>
      <c r="D338" s="79">
        <v>1</v>
      </c>
      <c r="E338" s="79">
        <v>0</v>
      </c>
      <c r="F338" s="80"/>
      <c r="G338" s="79">
        <v>0</v>
      </c>
      <c r="H338" s="79">
        <v>0</v>
      </c>
      <c r="I338" s="79">
        <v>0</v>
      </c>
      <c r="J338" s="79">
        <v>0</v>
      </c>
      <c r="M338" s="82" t="s">
        <v>1266</v>
      </c>
    </row>
    <row r="339" spans="1:14" ht="145" hidden="1">
      <c r="A339" s="77" t="s">
        <v>315</v>
      </c>
      <c r="B339" s="78">
        <v>1907</v>
      </c>
      <c r="C339" s="79">
        <v>0</v>
      </c>
      <c r="D339" s="79">
        <v>1</v>
      </c>
      <c r="E339" s="79">
        <v>1</v>
      </c>
      <c r="F339" s="83" t="s">
        <v>573</v>
      </c>
      <c r="G339" s="79">
        <v>1</v>
      </c>
      <c r="H339" s="79">
        <v>1</v>
      </c>
      <c r="I339" s="79">
        <v>0</v>
      </c>
      <c r="J339" s="79">
        <v>1</v>
      </c>
      <c r="K339" s="81" t="s">
        <v>1267</v>
      </c>
      <c r="L339" s="82" t="s">
        <v>1268</v>
      </c>
      <c r="M339" s="82" t="s">
        <v>1269</v>
      </c>
      <c r="N339" s="81" t="s">
        <v>1270</v>
      </c>
    </row>
    <row r="340" spans="1:14" ht="101.5" hidden="1">
      <c r="A340" s="77" t="s">
        <v>315</v>
      </c>
      <c r="B340" s="78">
        <v>1919</v>
      </c>
      <c r="C340" s="79">
        <v>1</v>
      </c>
      <c r="D340" s="79">
        <v>1922</v>
      </c>
      <c r="E340" s="79">
        <v>0</v>
      </c>
      <c r="F340" s="80"/>
      <c r="G340" s="79">
        <v>1</v>
      </c>
      <c r="H340" s="79">
        <v>0</v>
      </c>
      <c r="I340" s="79">
        <v>1</v>
      </c>
      <c r="J340" s="79">
        <v>1</v>
      </c>
      <c r="K340" s="81" t="s">
        <v>1271</v>
      </c>
      <c r="L340" s="82" t="s">
        <v>1272</v>
      </c>
      <c r="M340" s="82" t="s">
        <v>1273</v>
      </c>
      <c r="N340" s="81" t="s">
        <v>1274</v>
      </c>
    </row>
    <row r="341" spans="1:14" ht="72.5" hidden="1">
      <c r="A341" s="77" t="s">
        <v>315</v>
      </c>
      <c r="B341" s="78">
        <v>1932</v>
      </c>
      <c r="C341" s="79">
        <v>1</v>
      </c>
      <c r="D341" s="79">
        <v>1931</v>
      </c>
      <c r="E341" s="79">
        <v>0</v>
      </c>
      <c r="F341" s="80"/>
      <c r="G341" s="79">
        <v>0</v>
      </c>
      <c r="H341" s="79">
        <v>0</v>
      </c>
      <c r="I341" s="79">
        <v>0</v>
      </c>
      <c r="J341" s="79">
        <v>0</v>
      </c>
      <c r="K341" s="81" t="s">
        <v>1275</v>
      </c>
      <c r="L341" s="82" t="s">
        <v>1276</v>
      </c>
      <c r="M341" s="82" t="s">
        <v>1277</v>
      </c>
      <c r="N341" s="81" t="s">
        <v>1278</v>
      </c>
    </row>
    <row r="342" spans="1:14" ht="116" hidden="1">
      <c r="A342" s="77" t="s">
        <v>315</v>
      </c>
      <c r="B342" s="78">
        <v>1991</v>
      </c>
      <c r="C342" s="79">
        <v>1</v>
      </c>
      <c r="D342" s="79">
        <v>1990</v>
      </c>
      <c r="E342" s="79">
        <v>1</v>
      </c>
      <c r="F342" s="80" t="s">
        <v>1279</v>
      </c>
      <c r="G342" s="79">
        <v>1</v>
      </c>
      <c r="H342" s="79">
        <v>1</v>
      </c>
      <c r="I342" s="79">
        <v>1</v>
      </c>
      <c r="J342" s="79">
        <v>1</v>
      </c>
      <c r="K342" s="81" t="s">
        <v>1280</v>
      </c>
      <c r="L342" s="82" t="s">
        <v>1281</v>
      </c>
      <c r="M342" s="82" t="s">
        <v>1282</v>
      </c>
      <c r="N342" s="81" t="s">
        <v>1283</v>
      </c>
    </row>
    <row r="343" spans="1:14" hidden="1">
      <c r="A343" s="77" t="s">
        <v>315</v>
      </c>
      <c r="B343" s="78">
        <v>2002</v>
      </c>
      <c r="C343" s="79">
        <v>1</v>
      </c>
      <c r="D343" s="79"/>
      <c r="E343" s="79">
        <v>0</v>
      </c>
      <c r="F343" s="80"/>
      <c r="G343" s="79">
        <v>0</v>
      </c>
      <c r="H343" s="79">
        <v>0</v>
      </c>
      <c r="I343" s="79">
        <v>0</v>
      </c>
      <c r="J343" s="79">
        <v>0</v>
      </c>
      <c r="M343" s="82" t="s">
        <v>434</v>
      </c>
    </row>
    <row r="344" spans="1:14" ht="72.5" hidden="1">
      <c r="A344" s="77" t="s">
        <v>315</v>
      </c>
      <c r="B344" s="78">
        <v>2008</v>
      </c>
      <c r="C344" s="79">
        <v>1</v>
      </c>
      <c r="D344" s="79">
        <v>1</v>
      </c>
      <c r="E344" s="79">
        <v>1</v>
      </c>
      <c r="F344" s="80" t="s">
        <v>470</v>
      </c>
      <c r="G344" s="79">
        <v>1</v>
      </c>
      <c r="H344" s="79">
        <v>1</v>
      </c>
      <c r="I344" s="79">
        <v>1</v>
      </c>
      <c r="J344" s="79">
        <v>1</v>
      </c>
      <c r="K344" s="81" t="s">
        <v>1284</v>
      </c>
      <c r="L344" s="82" t="s">
        <v>1285</v>
      </c>
      <c r="M344" s="82" t="s">
        <v>1286</v>
      </c>
    </row>
    <row r="345" spans="1:14" ht="101.5" hidden="1">
      <c r="A345" s="77" t="s">
        <v>1287</v>
      </c>
      <c r="B345" s="78">
        <v>1870</v>
      </c>
      <c r="C345" s="79">
        <v>0</v>
      </c>
      <c r="D345" s="79">
        <v>1</v>
      </c>
      <c r="E345" s="79">
        <v>1</v>
      </c>
      <c r="F345" s="80" t="s">
        <v>476</v>
      </c>
      <c r="G345" s="79">
        <v>1</v>
      </c>
      <c r="H345" s="79">
        <v>1</v>
      </c>
      <c r="I345" s="79">
        <v>0</v>
      </c>
      <c r="J345" s="79">
        <v>1</v>
      </c>
      <c r="K345" s="81" t="s">
        <v>1288</v>
      </c>
      <c r="L345" s="82" t="s">
        <v>1289</v>
      </c>
      <c r="M345" s="82" t="s">
        <v>1290</v>
      </c>
    </row>
    <row r="346" spans="1:14" ht="261" hidden="1">
      <c r="A346" s="77" t="s">
        <v>1287</v>
      </c>
      <c r="B346" s="78">
        <v>1910</v>
      </c>
      <c r="C346" s="79">
        <v>0</v>
      </c>
      <c r="D346" s="79">
        <v>1</v>
      </c>
      <c r="E346" s="85">
        <v>0</v>
      </c>
      <c r="F346" s="80"/>
      <c r="G346" s="85">
        <v>1</v>
      </c>
      <c r="H346" s="79">
        <v>0</v>
      </c>
      <c r="I346" s="79">
        <v>0</v>
      </c>
      <c r="J346" s="79">
        <v>0</v>
      </c>
      <c r="K346" s="81" t="s">
        <v>1291</v>
      </c>
      <c r="L346" s="82" t="s">
        <v>1292</v>
      </c>
      <c r="M346" s="82" t="s">
        <v>1293</v>
      </c>
    </row>
    <row r="347" spans="1:14" ht="58" hidden="1">
      <c r="A347" s="77" t="s">
        <v>1287</v>
      </c>
      <c r="B347" s="78">
        <v>1914</v>
      </c>
      <c r="C347" s="79"/>
      <c r="D347" s="79"/>
      <c r="E347" s="79">
        <v>1</v>
      </c>
      <c r="F347" s="80" t="s">
        <v>394</v>
      </c>
      <c r="G347" s="85">
        <v>0</v>
      </c>
      <c r="H347" s="79">
        <v>1</v>
      </c>
      <c r="I347" s="79">
        <v>0</v>
      </c>
      <c r="J347" s="79">
        <v>1</v>
      </c>
      <c r="K347" s="81" t="s">
        <v>1294</v>
      </c>
      <c r="L347" s="82" t="s">
        <v>1295</v>
      </c>
      <c r="M347" s="82" t="s">
        <v>1296</v>
      </c>
    </row>
    <row r="348" spans="1:14" ht="58" hidden="1">
      <c r="A348" s="77" t="s">
        <v>1287</v>
      </c>
      <c r="B348" s="78">
        <v>1919</v>
      </c>
      <c r="C348" s="79">
        <v>1</v>
      </c>
      <c r="D348" s="79">
        <v>1921</v>
      </c>
      <c r="E348" s="79">
        <v>0</v>
      </c>
      <c r="F348" s="80"/>
      <c r="G348" s="79">
        <v>1</v>
      </c>
      <c r="H348" s="79">
        <v>0</v>
      </c>
      <c r="I348" s="79">
        <v>1</v>
      </c>
      <c r="J348" s="79">
        <v>1</v>
      </c>
      <c r="K348" s="81" t="s">
        <v>1297</v>
      </c>
      <c r="M348" s="82" t="s">
        <v>1298</v>
      </c>
    </row>
    <row r="349" spans="1:14" ht="116" hidden="1">
      <c r="A349" s="77" t="s">
        <v>1287</v>
      </c>
      <c r="B349" s="78">
        <v>1931</v>
      </c>
      <c r="C349" s="79">
        <v>1</v>
      </c>
      <c r="D349" s="79" t="s">
        <v>1299</v>
      </c>
      <c r="E349" s="79">
        <v>1</v>
      </c>
      <c r="F349" s="80" t="s">
        <v>677</v>
      </c>
      <c r="G349" s="79">
        <v>1</v>
      </c>
      <c r="H349" s="79">
        <v>1</v>
      </c>
      <c r="I349" s="79">
        <v>1</v>
      </c>
      <c r="J349" s="79">
        <v>1</v>
      </c>
      <c r="K349" s="81" t="s">
        <v>1300</v>
      </c>
      <c r="L349" s="82" t="s">
        <v>1301</v>
      </c>
      <c r="M349" s="82" t="s">
        <v>1302</v>
      </c>
    </row>
    <row r="350" spans="1:14" hidden="1">
      <c r="A350" s="77" t="s">
        <v>1287</v>
      </c>
      <c r="B350" s="78">
        <v>1963</v>
      </c>
      <c r="C350" s="79">
        <v>1</v>
      </c>
      <c r="D350" s="79"/>
      <c r="E350" s="79">
        <v>0</v>
      </c>
      <c r="F350" s="80"/>
      <c r="G350" s="79">
        <v>0</v>
      </c>
      <c r="H350" s="79">
        <v>0</v>
      </c>
      <c r="I350" s="79">
        <v>0</v>
      </c>
      <c r="J350" s="79">
        <v>0</v>
      </c>
      <c r="M350" s="82" t="s">
        <v>434</v>
      </c>
    </row>
    <row r="351" spans="1:14" hidden="1">
      <c r="A351" s="77" t="s">
        <v>1287</v>
      </c>
      <c r="B351" s="78">
        <v>1974</v>
      </c>
      <c r="C351" s="79">
        <v>1</v>
      </c>
      <c r="D351" s="79"/>
      <c r="E351" s="79">
        <v>0</v>
      </c>
      <c r="F351" s="80"/>
      <c r="G351" s="79">
        <v>0</v>
      </c>
      <c r="H351" s="79">
        <v>0</v>
      </c>
      <c r="I351" s="79">
        <v>0</v>
      </c>
      <c r="J351" s="79">
        <v>0</v>
      </c>
      <c r="M351" s="82" t="s">
        <v>434</v>
      </c>
    </row>
    <row r="352" spans="1:14" hidden="1">
      <c r="A352" s="77" t="s">
        <v>1287</v>
      </c>
      <c r="B352" s="78">
        <v>1987</v>
      </c>
      <c r="C352" s="79">
        <v>1</v>
      </c>
      <c r="D352" s="79"/>
      <c r="E352" s="79">
        <v>0</v>
      </c>
      <c r="F352" s="80"/>
      <c r="G352" s="79">
        <v>0</v>
      </c>
      <c r="H352" s="79">
        <v>0</v>
      </c>
      <c r="I352" s="79">
        <v>0</v>
      </c>
      <c r="J352" s="79">
        <v>0</v>
      </c>
      <c r="M352" s="82" t="s">
        <v>434</v>
      </c>
    </row>
    <row r="353" spans="1:14" ht="116" hidden="1">
      <c r="A353" s="77" t="s">
        <v>1287</v>
      </c>
      <c r="B353" s="78">
        <v>1990</v>
      </c>
      <c r="C353" s="79">
        <v>1</v>
      </c>
      <c r="D353" s="79">
        <v>1991</v>
      </c>
      <c r="E353" s="79">
        <v>1</v>
      </c>
      <c r="F353" s="80" t="s">
        <v>1106</v>
      </c>
      <c r="G353" s="79">
        <v>1</v>
      </c>
      <c r="H353" s="79">
        <v>1</v>
      </c>
      <c r="I353" s="79">
        <v>1</v>
      </c>
      <c r="J353" s="79">
        <v>1</v>
      </c>
      <c r="K353" s="81" t="s">
        <v>1303</v>
      </c>
      <c r="L353" s="82" t="s">
        <v>1304</v>
      </c>
      <c r="M353" s="82" t="s">
        <v>1305</v>
      </c>
      <c r="N353" s="81" t="s">
        <v>1306</v>
      </c>
    </row>
    <row r="354" spans="1:14" ht="58" hidden="1">
      <c r="A354" s="77" t="s">
        <v>1287</v>
      </c>
      <c r="B354" s="78">
        <v>2008</v>
      </c>
      <c r="C354" s="79">
        <v>1</v>
      </c>
      <c r="D354" s="79">
        <v>1</v>
      </c>
      <c r="E354" s="79">
        <v>1</v>
      </c>
      <c r="F354" s="80" t="s">
        <v>470</v>
      </c>
      <c r="G354" s="79">
        <v>0</v>
      </c>
      <c r="H354" s="79">
        <v>1</v>
      </c>
      <c r="I354" s="79">
        <v>0</v>
      </c>
      <c r="J354" s="79">
        <v>1</v>
      </c>
      <c r="K354" s="81" t="s">
        <v>1307</v>
      </c>
      <c r="L354" s="82" t="s">
        <v>1308</v>
      </c>
      <c r="M354" s="82" t="s">
        <v>1309</v>
      </c>
    </row>
    <row r="355" spans="1:14" ht="72.5" hidden="1">
      <c r="A355" s="77" t="s">
        <v>1310</v>
      </c>
      <c r="B355" s="78">
        <v>1923</v>
      </c>
      <c r="C355" s="79"/>
      <c r="D355" s="79">
        <v>1</v>
      </c>
      <c r="E355" s="79">
        <v>1</v>
      </c>
      <c r="F355" s="80" t="s">
        <v>974</v>
      </c>
      <c r="G355" s="85">
        <v>0</v>
      </c>
      <c r="H355" s="79">
        <v>1</v>
      </c>
      <c r="I355" s="79">
        <v>0</v>
      </c>
      <c r="J355" s="79">
        <v>1</v>
      </c>
      <c r="K355" s="81" t="s">
        <v>1311</v>
      </c>
      <c r="M355" s="82" t="s">
        <v>1312</v>
      </c>
    </row>
    <row r="356" spans="1:14" ht="87" hidden="1">
      <c r="A356" s="77" t="s">
        <v>1310</v>
      </c>
      <c r="B356" s="78">
        <v>1927</v>
      </c>
      <c r="C356" s="79"/>
      <c r="D356" s="79">
        <v>1</v>
      </c>
      <c r="E356" s="79">
        <v>1</v>
      </c>
      <c r="F356" s="83" t="s">
        <v>1313</v>
      </c>
      <c r="G356" s="79">
        <v>1</v>
      </c>
      <c r="H356" s="79">
        <v>1</v>
      </c>
      <c r="I356" s="79">
        <v>1</v>
      </c>
      <c r="J356" s="79">
        <v>1</v>
      </c>
      <c r="K356" s="81" t="s">
        <v>1314</v>
      </c>
      <c r="L356" s="82" t="s">
        <v>1315</v>
      </c>
      <c r="M356" s="82" t="s">
        <v>1316</v>
      </c>
    </row>
    <row r="357" spans="1:14" ht="72.5" hidden="1">
      <c r="A357" s="77" t="s">
        <v>1310</v>
      </c>
      <c r="B357" s="78">
        <v>1983</v>
      </c>
      <c r="C357" s="79"/>
      <c r="D357" s="79">
        <v>1</v>
      </c>
      <c r="E357" s="79">
        <v>1</v>
      </c>
      <c r="F357" s="80" t="s">
        <v>1317</v>
      </c>
      <c r="G357" s="79">
        <v>1</v>
      </c>
      <c r="H357" s="79">
        <v>1</v>
      </c>
      <c r="I357" s="79">
        <v>1</v>
      </c>
      <c r="J357" s="79">
        <v>1</v>
      </c>
      <c r="K357" s="81" t="s">
        <v>1318</v>
      </c>
      <c r="L357" s="82" t="s">
        <v>1319</v>
      </c>
      <c r="M357" s="82" t="s">
        <v>1320</v>
      </c>
    </row>
    <row r="358" spans="1:14" hidden="1">
      <c r="A358" s="77" t="s">
        <v>1310</v>
      </c>
      <c r="B358" s="78">
        <v>1990</v>
      </c>
      <c r="C358" s="79">
        <v>1</v>
      </c>
      <c r="D358" s="79"/>
      <c r="E358" s="79">
        <v>0</v>
      </c>
      <c r="F358" s="80"/>
      <c r="G358" s="79">
        <v>0</v>
      </c>
      <c r="H358" s="79">
        <v>0</v>
      </c>
      <c r="I358" s="79">
        <v>0</v>
      </c>
      <c r="J358" s="79">
        <v>0</v>
      </c>
      <c r="M358" s="82" t="s">
        <v>434</v>
      </c>
    </row>
    <row r="359" spans="1:14" ht="58" hidden="1">
      <c r="A359" s="77" t="s">
        <v>1310</v>
      </c>
      <c r="B359" s="78">
        <v>1995</v>
      </c>
      <c r="C359" s="79">
        <v>1</v>
      </c>
      <c r="D359" s="79">
        <v>1</v>
      </c>
      <c r="E359" s="79">
        <v>1</v>
      </c>
      <c r="F359" s="80" t="s">
        <v>1321</v>
      </c>
      <c r="G359" s="79">
        <v>1</v>
      </c>
      <c r="H359" s="79">
        <v>1</v>
      </c>
      <c r="I359" s="79">
        <v>1</v>
      </c>
      <c r="J359" s="79">
        <v>1</v>
      </c>
      <c r="K359" s="81" t="s">
        <v>1322</v>
      </c>
      <c r="L359" s="82" t="s">
        <v>1323</v>
      </c>
      <c r="M359" s="82" t="s">
        <v>1324</v>
      </c>
    </row>
    <row r="360" spans="1:14" ht="72.5" hidden="1">
      <c r="A360" s="77" t="s">
        <v>1310</v>
      </c>
      <c r="B360" s="78">
        <v>1998</v>
      </c>
      <c r="C360" s="79">
        <v>1</v>
      </c>
      <c r="D360" s="79">
        <v>1997</v>
      </c>
      <c r="E360" s="79">
        <v>0</v>
      </c>
      <c r="F360" s="80"/>
      <c r="G360" s="79">
        <v>1</v>
      </c>
      <c r="H360" s="79">
        <v>0</v>
      </c>
      <c r="I360" s="79">
        <v>1</v>
      </c>
      <c r="J360" s="79">
        <v>1</v>
      </c>
      <c r="K360" s="81" t="s">
        <v>1325</v>
      </c>
      <c r="L360" s="82" t="s">
        <v>1326</v>
      </c>
      <c r="M360" s="82" t="s">
        <v>1327</v>
      </c>
      <c r="N360" s="81" t="s">
        <v>1328</v>
      </c>
    </row>
    <row r="361" spans="1:14" ht="29" hidden="1">
      <c r="A361" s="77" t="s">
        <v>1310</v>
      </c>
      <c r="B361" s="78">
        <v>2008</v>
      </c>
      <c r="C361" s="79">
        <v>1</v>
      </c>
      <c r="D361" s="79"/>
      <c r="E361" s="79">
        <v>0</v>
      </c>
      <c r="F361" s="80"/>
      <c r="G361" s="79">
        <v>0</v>
      </c>
      <c r="H361" s="79">
        <v>0</v>
      </c>
      <c r="I361" s="79">
        <v>0</v>
      </c>
      <c r="J361" s="79">
        <v>0</v>
      </c>
      <c r="M361" s="82" t="s">
        <v>1329</v>
      </c>
    </row>
    <row r="362" spans="1:14" ht="87" hidden="1">
      <c r="A362" s="77" t="s">
        <v>319</v>
      </c>
      <c r="B362" s="78">
        <v>1979</v>
      </c>
      <c r="C362" s="79">
        <v>1</v>
      </c>
      <c r="D362" s="79">
        <v>1</v>
      </c>
      <c r="E362" s="79">
        <v>0</v>
      </c>
      <c r="F362" s="80"/>
      <c r="G362" s="79">
        <v>1</v>
      </c>
      <c r="H362" s="79">
        <v>0</v>
      </c>
      <c r="I362" s="79">
        <v>1</v>
      </c>
      <c r="J362" s="79">
        <v>1</v>
      </c>
      <c r="K362" s="81" t="s">
        <v>1330</v>
      </c>
      <c r="L362" s="82" t="s">
        <v>1331</v>
      </c>
      <c r="M362" s="82" t="s">
        <v>1332</v>
      </c>
    </row>
    <row r="363" spans="1:14" ht="58" hidden="1">
      <c r="A363" s="77" t="s">
        <v>319</v>
      </c>
      <c r="B363" s="78">
        <v>1983</v>
      </c>
      <c r="C363" s="79">
        <v>0</v>
      </c>
      <c r="D363" s="79">
        <v>1</v>
      </c>
      <c r="E363" s="79">
        <v>1</v>
      </c>
      <c r="F363" s="80" t="s">
        <v>1333</v>
      </c>
      <c r="G363" s="79">
        <v>1</v>
      </c>
      <c r="H363" s="79">
        <v>1</v>
      </c>
      <c r="I363" s="79">
        <v>0</v>
      </c>
      <c r="J363" s="79">
        <v>1</v>
      </c>
      <c r="K363" s="81" t="s">
        <v>1334</v>
      </c>
      <c r="L363" s="82" t="s">
        <v>878</v>
      </c>
      <c r="M363" s="82" t="s">
        <v>1335</v>
      </c>
    </row>
    <row r="364" spans="1:14" ht="130.5" hidden="1">
      <c r="A364" s="77" t="s">
        <v>319</v>
      </c>
      <c r="B364" s="78">
        <v>1997</v>
      </c>
      <c r="C364" s="79">
        <v>1</v>
      </c>
      <c r="D364" s="79">
        <v>1996</v>
      </c>
      <c r="E364" s="79">
        <v>1</v>
      </c>
      <c r="F364" s="80" t="s">
        <v>1336</v>
      </c>
      <c r="G364" s="79">
        <v>1</v>
      </c>
      <c r="H364" s="79">
        <v>1</v>
      </c>
      <c r="I364" s="79">
        <v>1</v>
      </c>
      <c r="J364" s="79">
        <v>1</v>
      </c>
      <c r="K364" s="81" t="s">
        <v>1337</v>
      </c>
      <c r="L364" s="82" t="s">
        <v>1338</v>
      </c>
      <c r="M364" s="82" t="s">
        <v>1339</v>
      </c>
    </row>
    <row r="365" spans="1:14" ht="29" hidden="1">
      <c r="A365" s="77" t="s">
        <v>319</v>
      </c>
      <c r="B365" s="78">
        <v>2008</v>
      </c>
      <c r="C365" s="79">
        <v>1</v>
      </c>
      <c r="D365" s="79"/>
      <c r="E365" s="79">
        <v>0</v>
      </c>
      <c r="F365" s="80"/>
      <c r="G365" s="79">
        <v>0</v>
      </c>
      <c r="H365" s="79">
        <v>0</v>
      </c>
      <c r="I365" s="79">
        <v>0</v>
      </c>
      <c r="J365" s="79">
        <v>0</v>
      </c>
      <c r="M365" s="82" t="s">
        <v>1340</v>
      </c>
    </row>
    <row r="366" spans="1:14" ht="72.5" hidden="1">
      <c r="A366" s="77" t="s">
        <v>322</v>
      </c>
      <c r="B366" s="78">
        <v>1875</v>
      </c>
      <c r="C366" s="79">
        <v>1</v>
      </c>
      <c r="D366" s="79"/>
      <c r="E366" s="79">
        <v>0</v>
      </c>
      <c r="F366" s="80"/>
      <c r="G366" s="79">
        <v>0</v>
      </c>
      <c r="H366" s="79">
        <v>0</v>
      </c>
      <c r="I366" s="79">
        <v>0</v>
      </c>
      <c r="J366" s="79">
        <v>0</v>
      </c>
      <c r="K366" s="81" t="s">
        <v>1341</v>
      </c>
      <c r="L366" s="82" t="s">
        <v>1342</v>
      </c>
      <c r="M366" s="82" t="s">
        <v>1343</v>
      </c>
    </row>
    <row r="367" spans="1:14" hidden="1">
      <c r="A367" s="77" t="s">
        <v>322</v>
      </c>
      <c r="B367" s="78">
        <v>1883</v>
      </c>
      <c r="C367" s="79">
        <v>1</v>
      </c>
      <c r="D367" s="79"/>
      <c r="E367" s="79">
        <v>0</v>
      </c>
      <c r="F367" s="80"/>
      <c r="G367" s="79">
        <v>0</v>
      </c>
      <c r="H367" s="79">
        <v>0</v>
      </c>
      <c r="I367" s="79">
        <v>0</v>
      </c>
      <c r="J367" s="79">
        <v>0</v>
      </c>
      <c r="M367" s="82" t="s">
        <v>434</v>
      </c>
    </row>
    <row r="368" spans="1:14" ht="101.5" hidden="1">
      <c r="A368" s="77" t="s">
        <v>322</v>
      </c>
      <c r="B368" s="78">
        <v>1914</v>
      </c>
      <c r="C368" s="79">
        <v>1</v>
      </c>
      <c r="D368" s="79"/>
      <c r="E368" s="79">
        <v>1</v>
      </c>
      <c r="F368" s="83" t="s">
        <v>1344</v>
      </c>
      <c r="G368" s="79">
        <v>1</v>
      </c>
      <c r="H368" s="79">
        <v>1</v>
      </c>
      <c r="I368" s="79">
        <v>1</v>
      </c>
      <c r="J368" s="79">
        <v>1</v>
      </c>
      <c r="K368" s="81" t="s">
        <v>1345</v>
      </c>
      <c r="L368" s="82" t="s">
        <v>1342</v>
      </c>
      <c r="M368" s="82" t="s">
        <v>1346</v>
      </c>
    </row>
    <row r="369" spans="1:14" ht="58" hidden="1">
      <c r="A369" s="77" t="s">
        <v>322</v>
      </c>
      <c r="B369" s="78">
        <v>1930</v>
      </c>
      <c r="C369" s="79">
        <v>1</v>
      </c>
      <c r="D369" s="79">
        <v>1931</v>
      </c>
      <c r="E369" s="79">
        <v>1</v>
      </c>
      <c r="F369" s="80" t="s">
        <v>677</v>
      </c>
      <c r="G369" s="79">
        <v>1</v>
      </c>
      <c r="H369" s="79">
        <v>1</v>
      </c>
      <c r="I369" s="79">
        <v>1</v>
      </c>
      <c r="J369" s="79">
        <v>1</v>
      </c>
      <c r="K369" s="81" t="s">
        <v>1347</v>
      </c>
      <c r="L369" s="82" t="s">
        <v>1348</v>
      </c>
      <c r="M369" s="82" t="s">
        <v>1349</v>
      </c>
    </row>
    <row r="370" spans="1:14" hidden="1">
      <c r="A370" s="77" t="s">
        <v>322</v>
      </c>
      <c r="B370" s="78">
        <v>1974</v>
      </c>
      <c r="C370" s="79">
        <v>1</v>
      </c>
      <c r="D370" s="79"/>
      <c r="E370" s="79">
        <v>0</v>
      </c>
      <c r="F370" s="80"/>
      <c r="G370" s="79">
        <v>0</v>
      </c>
      <c r="H370" s="79">
        <v>0</v>
      </c>
      <c r="I370" s="79">
        <v>0</v>
      </c>
      <c r="J370" s="79">
        <v>0</v>
      </c>
      <c r="M370" s="82" t="s">
        <v>434</v>
      </c>
    </row>
    <row r="371" spans="1:14" ht="43.5" hidden="1">
      <c r="A371" s="77" t="s">
        <v>322</v>
      </c>
      <c r="B371" s="78">
        <v>1980</v>
      </c>
      <c r="C371" s="79">
        <v>1</v>
      </c>
      <c r="D371" s="79">
        <v>1982</v>
      </c>
      <c r="E371" s="79">
        <v>1</v>
      </c>
      <c r="F371" s="80" t="s">
        <v>1350</v>
      </c>
      <c r="G371" s="79">
        <v>1</v>
      </c>
      <c r="H371" s="79">
        <v>1</v>
      </c>
      <c r="I371" s="79">
        <v>1</v>
      </c>
      <c r="J371" s="79">
        <v>1</v>
      </c>
      <c r="K371" s="81" t="s">
        <v>1351</v>
      </c>
      <c r="L371" s="82" t="s">
        <v>1352</v>
      </c>
      <c r="M371" s="82" t="s">
        <v>1353</v>
      </c>
    </row>
    <row r="372" spans="1:14" hidden="1">
      <c r="A372" s="77" t="s">
        <v>322</v>
      </c>
      <c r="B372" s="78">
        <v>1988</v>
      </c>
      <c r="C372" s="79">
        <v>1</v>
      </c>
      <c r="D372" s="79"/>
      <c r="E372" s="79">
        <v>0</v>
      </c>
      <c r="F372" s="80"/>
      <c r="G372" s="79">
        <v>0</v>
      </c>
      <c r="H372" s="79">
        <v>0</v>
      </c>
      <c r="I372" s="79">
        <v>0</v>
      </c>
      <c r="J372" s="79">
        <v>0</v>
      </c>
      <c r="M372" s="82" t="s">
        <v>434</v>
      </c>
    </row>
    <row r="373" spans="1:14" ht="58" hidden="1">
      <c r="A373" s="77" t="s">
        <v>322</v>
      </c>
      <c r="B373" s="78">
        <v>1991</v>
      </c>
      <c r="C373" s="79">
        <v>1</v>
      </c>
      <c r="D373" s="79">
        <v>1</v>
      </c>
      <c r="E373" s="79">
        <v>1</v>
      </c>
      <c r="F373" s="80" t="s">
        <v>1354</v>
      </c>
      <c r="G373" s="79">
        <v>0</v>
      </c>
      <c r="H373" s="79">
        <v>1</v>
      </c>
      <c r="I373" s="79">
        <v>0</v>
      </c>
      <c r="J373" s="79">
        <v>1</v>
      </c>
      <c r="K373" s="81" t="s">
        <v>1355</v>
      </c>
      <c r="L373" s="82" t="s">
        <v>1356</v>
      </c>
      <c r="M373" s="82" t="s">
        <v>1357</v>
      </c>
      <c r="N373" s="81" t="s">
        <v>1358</v>
      </c>
    </row>
    <row r="374" spans="1:14" ht="58" hidden="1">
      <c r="A374" s="77" t="s">
        <v>322</v>
      </c>
      <c r="B374" s="78">
        <v>1994</v>
      </c>
      <c r="C374" s="79">
        <v>0</v>
      </c>
      <c r="D374" s="79">
        <v>1</v>
      </c>
      <c r="E374" s="79">
        <v>1</v>
      </c>
      <c r="F374" s="80" t="s">
        <v>624</v>
      </c>
      <c r="G374" s="79">
        <v>1</v>
      </c>
      <c r="H374" s="79">
        <v>1</v>
      </c>
      <c r="I374" s="79">
        <v>0</v>
      </c>
      <c r="J374" s="79">
        <v>1</v>
      </c>
      <c r="K374" s="81" t="s">
        <v>1359</v>
      </c>
      <c r="L374" s="82" t="s">
        <v>1360</v>
      </c>
      <c r="M374" s="82" t="s">
        <v>1361</v>
      </c>
    </row>
    <row r="375" spans="1:14" hidden="1">
      <c r="A375" s="77" t="s">
        <v>322</v>
      </c>
      <c r="B375" s="78">
        <v>1998</v>
      </c>
      <c r="C375" s="79">
        <v>1</v>
      </c>
      <c r="D375" s="79"/>
      <c r="E375" s="79">
        <v>0</v>
      </c>
      <c r="F375" s="80"/>
      <c r="G375" s="79">
        <v>0</v>
      </c>
      <c r="H375" s="79">
        <v>0</v>
      </c>
      <c r="I375" s="79">
        <v>0</v>
      </c>
      <c r="J375" s="79">
        <v>0</v>
      </c>
      <c r="M375" s="82" t="s">
        <v>434</v>
      </c>
    </row>
    <row r="376" spans="1:14" ht="174" hidden="1">
      <c r="A376" s="77" t="s">
        <v>322</v>
      </c>
      <c r="B376" s="78">
        <v>2001</v>
      </c>
      <c r="C376" s="79">
        <v>1</v>
      </c>
      <c r="D376" s="79">
        <v>2000</v>
      </c>
      <c r="E376" s="79">
        <v>1</v>
      </c>
      <c r="F376" s="80" t="s">
        <v>1362</v>
      </c>
      <c r="G376" s="79">
        <v>1</v>
      </c>
      <c r="H376" s="79">
        <v>1</v>
      </c>
      <c r="I376" s="79">
        <v>1</v>
      </c>
      <c r="J376" s="79">
        <v>1</v>
      </c>
      <c r="K376" s="81" t="s">
        <v>1363</v>
      </c>
      <c r="L376" s="82" t="s">
        <v>1356</v>
      </c>
      <c r="M376" s="82" t="s">
        <v>1364</v>
      </c>
    </row>
    <row r="377" spans="1:14" ht="29" hidden="1">
      <c r="A377" s="77" t="s">
        <v>322</v>
      </c>
      <c r="B377" s="78">
        <v>2008</v>
      </c>
      <c r="C377" s="79">
        <v>1</v>
      </c>
      <c r="D377" s="79"/>
      <c r="E377" s="79">
        <v>0</v>
      </c>
      <c r="F377" s="80"/>
      <c r="G377" s="79">
        <v>0</v>
      </c>
      <c r="H377" s="79">
        <v>0</v>
      </c>
      <c r="I377" s="79">
        <v>0</v>
      </c>
      <c r="J377" s="79">
        <v>0</v>
      </c>
      <c r="M377" s="82" t="s">
        <v>1365</v>
      </c>
    </row>
    <row r="378" spans="1:14" hidden="1">
      <c r="A378" s="77" t="s">
        <v>322</v>
      </c>
      <c r="B378" s="78">
        <v>2011</v>
      </c>
      <c r="C378" s="79">
        <v>1</v>
      </c>
      <c r="D378" s="79"/>
      <c r="E378" s="79">
        <v>0</v>
      </c>
      <c r="F378" s="80"/>
      <c r="G378" s="79">
        <v>0</v>
      </c>
      <c r="H378" s="79">
        <v>0</v>
      </c>
      <c r="I378" s="79">
        <v>0</v>
      </c>
      <c r="J378" s="79">
        <v>0</v>
      </c>
      <c r="M378" s="82" t="s">
        <v>434</v>
      </c>
    </row>
    <row r="379" spans="1:14" ht="116" hidden="1">
      <c r="A379" s="77" t="s">
        <v>1366</v>
      </c>
      <c r="B379" s="78">
        <v>1878</v>
      </c>
      <c r="C379" s="79">
        <v>0</v>
      </c>
      <c r="D379" s="79">
        <v>1</v>
      </c>
      <c r="E379" s="79">
        <v>1</v>
      </c>
      <c r="F379" s="80" t="s">
        <v>1367</v>
      </c>
      <c r="G379" s="79">
        <v>1</v>
      </c>
      <c r="H379" s="79">
        <v>1</v>
      </c>
      <c r="I379" s="79">
        <v>0</v>
      </c>
      <c r="J379" s="79">
        <v>1</v>
      </c>
      <c r="K379" s="81" t="s">
        <v>1368</v>
      </c>
      <c r="L379" s="82" t="s">
        <v>1369</v>
      </c>
      <c r="M379" s="82" t="s">
        <v>1370</v>
      </c>
    </row>
    <row r="380" spans="1:14" ht="159.5" hidden="1">
      <c r="A380" s="77" t="s">
        <v>1366</v>
      </c>
      <c r="B380" s="78">
        <v>1890</v>
      </c>
      <c r="C380" s="79">
        <v>0</v>
      </c>
      <c r="D380" s="79">
        <v>1</v>
      </c>
      <c r="E380" s="79">
        <v>1</v>
      </c>
      <c r="F380" s="80" t="s">
        <v>1223</v>
      </c>
      <c r="G380" s="79">
        <v>0</v>
      </c>
      <c r="H380" s="79">
        <v>1</v>
      </c>
      <c r="I380" s="79">
        <v>0</v>
      </c>
      <c r="J380" s="79">
        <v>1</v>
      </c>
      <c r="K380" s="81" t="s">
        <v>1371</v>
      </c>
      <c r="L380" s="82" t="s">
        <v>1372</v>
      </c>
      <c r="M380" s="82" t="s">
        <v>1373</v>
      </c>
    </row>
    <row r="381" spans="1:14" ht="58" hidden="1">
      <c r="A381" s="77" t="s">
        <v>1366</v>
      </c>
      <c r="B381" s="78">
        <v>1908</v>
      </c>
      <c r="C381" s="79">
        <v>0</v>
      </c>
      <c r="D381" s="79">
        <v>1</v>
      </c>
      <c r="E381" s="79">
        <v>0</v>
      </c>
      <c r="F381" s="80"/>
      <c r="G381" s="79">
        <v>0</v>
      </c>
      <c r="H381" s="79">
        <v>0</v>
      </c>
      <c r="I381" s="79">
        <v>0</v>
      </c>
      <c r="J381" s="79">
        <v>0</v>
      </c>
      <c r="K381" s="81" t="s">
        <v>477</v>
      </c>
      <c r="L381" s="82" t="s">
        <v>1374</v>
      </c>
      <c r="M381" s="82" t="s">
        <v>1375</v>
      </c>
    </row>
    <row r="382" spans="1:14" ht="145" hidden="1">
      <c r="A382" s="77" t="s">
        <v>1366</v>
      </c>
      <c r="B382" s="78">
        <v>1914</v>
      </c>
      <c r="C382" s="79">
        <v>1</v>
      </c>
      <c r="D382" s="79">
        <v>1</v>
      </c>
      <c r="E382" s="79">
        <v>1</v>
      </c>
      <c r="F382" s="80" t="s">
        <v>394</v>
      </c>
      <c r="G382" s="79">
        <v>0</v>
      </c>
      <c r="H382" s="79">
        <v>1</v>
      </c>
      <c r="I382" s="79">
        <v>0</v>
      </c>
      <c r="J382" s="79">
        <v>1</v>
      </c>
      <c r="K382" s="81" t="s">
        <v>1376</v>
      </c>
      <c r="L382" s="82" t="s">
        <v>1377</v>
      </c>
      <c r="M382" s="82" t="s">
        <v>1378</v>
      </c>
    </row>
    <row r="383" spans="1:14" hidden="1">
      <c r="A383" s="77" t="s">
        <v>1366</v>
      </c>
      <c r="B383" s="78">
        <v>1951</v>
      </c>
      <c r="C383" s="79">
        <v>1</v>
      </c>
      <c r="D383" s="79"/>
      <c r="E383" s="79">
        <v>0</v>
      </c>
      <c r="F383" s="80"/>
      <c r="G383" s="79">
        <v>0</v>
      </c>
      <c r="H383" s="79">
        <v>0</v>
      </c>
      <c r="I383" s="79">
        <v>0</v>
      </c>
      <c r="J383" s="79">
        <v>0</v>
      </c>
      <c r="M383" s="82" t="s">
        <v>434</v>
      </c>
    </row>
    <row r="384" spans="1:14" ht="130.5" hidden="1">
      <c r="A384" s="77" t="s">
        <v>1366</v>
      </c>
      <c r="B384" s="78">
        <v>1973</v>
      </c>
      <c r="C384" s="79">
        <v>1</v>
      </c>
      <c r="D384" s="79">
        <v>1974</v>
      </c>
      <c r="E384" s="79">
        <v>1</v>
      </c>
      <c r="F384" s="80" t="s">
        <v>1379</v>
      </c>
      <c r="G384" s="79">
        <v>1</v>
      </c>
      <c r="H384" s="79">
        <v>1</v>
      </c>
      <c r="I384" s="79">
        <v>1</v>
      </c>
      <c r="J384" s="79">
        <v>1</v>
      </c>
      <c r="K384" s="81" t="s">
        <v>1380</v>
      </c>
      <c r="L384" s="82" t="s">
        <v>1381</v>
      </c>
      <c r="M384" s="82" t="s">
        <v>1382</v>
      </c>
      <c r="N384" s="81" t="s">
        <v>1383</v>
      </c>
    </row>
    <row r="385" spans="1:14" ht="72.5" hidden="1">
      <c r="A385" s="77" t="s">
        <v>1366</v>
      </c>
      <c r="B385" s="78">
        <v>1984</v>
      </c>
      <c r="C385" s="79">
        <v>0</v>
      </c>
      <c r="D385" s="79">
        <v>1</v>
      </c>
      <c r="E385" s="79">
        <v>0</v>
      </c>
      <c r="F385" s="80"/>
      <c r="G385" s="79">
        <v>0</v>
      </c>
      <c r="H385" s="79">
        <v>0</v>
      </c>
      <c r="I385" s="79">
        <v>0</v>
      </c>
      <c r="J385" s="79">
        <v>0</v>
      </c>
      <c r="K385" s="81" t="s">
        <v>1384</v>
      </c>
      <c r="L385" s="82" t="s">
        <v>1385</v>
      </c>
      <c r="M385" s="82" t="s">
        <v>1386</v>
      </c>
    </row>
    <row r="386" spans="1:14" ht="72.5" hidden="1">
      <c r="A386" s="77" t="s">
        <v>1366</v>
      </c>
      <c r="B386" s="78">
        <v>1991</v>
      </c>
      <c r="C386" s="79">
        <v>0</v>
      </c>
      <c r="D386" s="79">
        <v>1</v>
      </c>
      <c r="E386" s="79">
        <v>1</v>
      </c>
      <c r="F386" s="80" t="s">
        <v>816</v>
      </c>
      <c r="G386" s="79">
        <v>1</v>
      </c>
      <c r="H386" s="79">
        <v>1</v>
      </c>
      <c r="I386" s="79">
        <v>0</v>
      </c>
      <c r="J386" s="79">
        <v>1</v>
      </c>
      <c r="K386" s="81" t="s">
        <v>1387</v>
      </c>
      <c r="L386" s="82" t="s">
        <v>1388</v>
      </c>
      <c r="M386" s="82" t="s">
        <v>1389</v>
      </c>
      <c r="N386" s="81" t="s">
        <v>1390</v>
      </c>
    </row>
    <row r="387" spans="1:14" ht="87" hidden="1">
      <c r="A387" s="77" t="s">
        <v>1366</v>
      </c>
      <c r="B387" s="78">
        <v>1995</v>
      </c>
      <c r="C387" s="79">
        <v>0</v>
      </c>
      <c r="D387" s="79">
        <v>1</v>
      </c>
      <c r="E387" s="79">
        <v>0</v>
      </c>
      <c r="F387" s="80"/>
      <c r="G387" s="79">
        <v>0</v>
      </c>
      <c r="H387" s="79">
        <v>0</v>
      </c>
      <c r="I387" s="79">
        <v>0</v>
      </c>
      <c r="J387" s="79">
        <v>0</v>
      </c>
      <c r="K387" s="81" t="s">
        <v>1391</v>
      </c>
      <c r="L387" s="82" t="s">
        <v>1385</v>
      </c>
      <c r="M387" s="82" t="s">
        <v>1392</v>
      </c>
    </row>
    <row r="388" spans="1:14" ht="145" hidden="1">
      <c r="A388" s="77" t="s">
        <v>1366</v>
      </c>
      <c r="B388" s="78">
        <v>2008</v>
      </c>
      <c r="C388" s="79">
        <v>1</v>
      </c>
      <c r="D388" s="79">
        <v>2007</v>
      </c>
      <c r="E388" s="79">
        <v>1</v>
      </c>
      <c r="F388" s="80" t="s">
        <v>470</v>
      </c>
      <c r="G388" s="79">
        <v>1</v>
      </c>
      <c r="H388" s="79">
        <v>1</v>
      </c>
      <c r="I388" s="79">
        <v>1</v>
      </c>
      <c r="J388" s="79">
        <v>1</v>
      </c>
      <c r="K388" s="81" t="s">
        <v>1393</v>
      </c>
      <c r="L388" s="82" t="s">
        <v>1394</v>
      </c>
      <c r="M388" s="82" t="s">
        <v>1395</v>
      </c>
      <c r="N388" s="81" t="s">
        <v>1396</v>
      </c>
    </row>
    <row r="389" spans="1:14" hidden="1">
      <c r="A389" s="77" t="s">
        <v>1366</v>
      </c>
      <c r="B389" s="78">
        <v>2011</v>
      </c>
      <c r="C389" s="79">
        <v>1</v>
      </c>
      <c r="D389" s="79"/>
      <c r="E389" s="79">
        <v>0</v>
      </c>
      <c r="F389" s="80"/>
      <c r="G389" s="79">
        <v>0</v>
      </c>
      <c r="H389" s="79">
        <v>0</v>
      </c>
      <c r="I389" s="79">
        <v>0</v>
      </c>
      <c r="J389" s="79">
        <v>0</v>
      </c>
      <c r="M389" s="82" t="s">
        <v>434</v>
      </c>
    </row>
    <row r="390" spans="1:14" ht="159.5" hidden="1">
      <c r="A390" s="77" t="s">
        <v>1397</v>
      </c>
      <c r="B390" s="78">
        <v>1873</v>
      </c>
      <c r="C390" s="79">
        <v>0</v>
      </c>
      <c r="D390" s="79">
        <v>1</v>
      </c>
      <c r="E390" s="79">
        <v>1</v>
      </c>
      <c r="F390" s="80" t="s">
        <v>1398</v>
      </c>
      <c r="G390" s="79">
        <v>1</v>
      </c>
      <c r="H390" s="79">
        <v>1</v>
      </c>
      <c r="I390" s="79">
        <v>0</v>
      </c>
      <c r="J390" s="79">
        <v>1</v>
      </c>
      <c r="K390" s="81" t="s">
        <v>1399</v>
      </c>
      <c r="L390" s="82" t="s">
        <v>1400</v>
      </c>
      <c r="M390" s="82" t="s">
        <v>1401</v>
      </c>
    </row>
    <row r="391" spans="1:14" ht="101.5" hidden="1">
      <c r="A391" s="77" t="s">
        <v>1397</v>
      </c>
      <c r="B391" s="78">
        <v>1884</v>
      </c>
      <c r="C391" s="79">
        <v>0</v>
      </c>
      <c r="D391" s="79">
        <v>1</v>
      </c>
      <c r="E391" s="79">
        <v>1</v>
      </c>
      <c r="F391" s="80" t="s">
        <v>1402</v>
      </c>
      <c r="G391" s="79">
        <v>1</v>
      </c>
      <c r="H391" s="79">
        <v>1</v>
      </c>
      <c r="I391" s="79">
        <v>0</v>
      </c>
      <c r="J391" s="79">
        <v>1</v>
      </c>
      <c r="K391" s="81" t="s">
        <v>1403</v>
      </c>
      <c r="L391" s="82" t="s">
        <v>1404</v>
      </c>
      <c r="M391" s="82" t="s">
        <v>1405</v>
      </c>
      <c r="N391" s="81" t="s">
        <v>1406</v>
      </c>
    </row>
    <row r="392" spans="1:14" ht="101.5" hidden="1">
      <c r="A392" s="77" t="s">
        <v>1397</v>
      </c>
      <c r="B392" s="78">
        <v>1890</v>
      </c>
      <c r="C392" s="79">
        <v>0</v>
      </c>
      <c r="D392" s="79">
        <v>1</v>
      </c>
      <c r="E392" s="79">
        <v>1</v>
      </c>
      <c r="F392" s="80" t="s">
        <v>1223</v>
      </c>
      <c r="G392" s="79">
        <v>1</v>
      </c>
      <c r="H392" s="79">
        <v>1</v>
      </c>
      <c r="I392" s="79">
        <v>0</v>
      </c>
      <c r="J392" s="79">
        <v>1</v>
      </c>
      <c r="K392" s="81" t="s">
        <v>1407</v>
      </c>
      <c r="L392" s="82" t="s">
        <v>1408</v>
      </c>
      <c r="M392" s="82" t="s">
        <v>1409</v>
      </c>
      <c r="N392" s="81" t="s">
        <v>1410</v>
      </c>
    </row>
    <row r="393" spans="1:14" ht="116" hidden="1">
      <c r="A393" s="77" t="s">
        <v>1397</v>
      </c>
      <c r="B393" s="78">
        <v>1893</v>
      </c>
      <c r="C393" s="79">
        <v>0</v>
      </c>
      <c r="D393" s="79">
        <v>1</v>
      </c>
      <c r="E393" s="79">
        <v>1</v>
      </c>
      <c r="F393" s="80" t="s">
        <v>1411</v>
      </c>
      <c r="G393" s="79">
        <v>1</v>
      </c>
      <c r="H393" s="79">
        <v>1</v>
      </c>
      <c r="I393" s="79">
        <v>0</v>
      </c>
      <c r="J393" s="79">
        <v>1</v>
      </c>
      <c r="K393" s="81" t="s">
        <v>1412</v>
      </c>
      <c r="L393" s="82" t="s">
        <v>1413</v>
      </c>
      <c r="M393" s="82" t="s">
        <v>1414</v>
      </c>
    </row>
    <row r="394" spans="1:14" ht="116" hidden="1">
      <c r="A394" s="77" t="s">
        <v>1397</v>
      </c>
      <c r="B394" s="78">
        <v>1907</v>
      </c>
      <c r="C394" s="79">
        <v>1</v>
      </c>
      <c r="D394" s="79">
        <v>1</v>
      </c>
      <c r="E394" s="79">
        <v>1</v>
      </c>
      <c r="F394" s="80" t="s">
        <v>573</v>
      </c>
      <c r="G394" s="79">
        <v>1</v>
      </c>
      <c r="H394" s="79">
        <v>1</v>
      </c>
      <c r="I394" s="79">
        <v>1</v>
      </c>
      <c r="J394" s="79">
        <v>1</v>
      </c>
      <c r="K394" s="81" t="s">
        <v>1415</v>
      </c>
      <c r="L394" s="82" t="s">
        <v>1413</v>
      </c>
      <c r="M394" s="82" t="s">
        <v>1416</v>
      </c>
    </row>
    <row r="395" spans="1:14" ht="116" hidden="1">
      <c r="A395" s="77" t="s">
        <v>1397</v>
      </c>
      <c r="B395" s="78">
        <v>1914</v>
      </c>
      <c r="C395" s="79">
        <v>0</v>
      </c>
      <c r="D395" s="79">
        <v>1</v>
      </c>
      <c r="E395" s="79">
        <v>0</v>
      </c>
      <c r="F395" s="80"/>
      <c r="G395" s="79">
        <v>0</v>
      </c>
      <c r="H395" s="79">
        <v>0</v>
      </c>
      <c r="I395" s="79">
        <v>0</v>
      </c>
      <c r="J395" s="79">
        <v>0</v>
      </c>
      <c r="K395" s="81" t="s">
        <v>1417</v>
      </c>
      <c r="L395" s="82" t="s">
        <v>1418</v>
      </c>
      <c r="M395" s="82" t="s">
        <v>1419</v>
      </c>
    </row>
    <row r="396" spans="1:14" ht="58" hidden="1">
      <c r="A396" s="77" t="s">
        <v>1397</v>
      </c>
      <c r="B396" s="78">
        <v>1930</v>
      </c>
      <c r="C396" s="79">
        <v>1</v>
      </c>
      <c r="D396" s="79">
        <v>1929</v>
      </c>
      <c r="E396" s="79">
        <v>1</v>
      </c>
      <c r="F396" s="83" t="s">
        <v>1161</v>
      </c>
      <c r="G396" s="79">
        <v>1</v>
      </c>
      <c r="H396" s="79">
        <v>1</v>
      </c>
      <c r="I396" s="79">
        <v>1</v>
      </c>
      <c r="J396" s="79">
        <v>1</v>
      </c>
      <c r="K396" s="81" t="s">
        <v>1420</v>
      </c>
      <c r="L396" s="82" t="s">
        <v>1421</v>
      </c>
      <c r="M396" s="82" t="s">
        <v>1422</v>
      </c>
    </row>
    <row r="397" spans="1:14" hidden="1">
      <c r="A397" s="77" t="s">
        <v>1397</v>
      </c>
      <c r="B397" s="78">
        <v>1937</v>
      </c>
      <c r="C397" s="79">
        <v>1</v>
      </c>
      <c r="D397" s="79"/>
      <c r="E397" s="79">
        <v>0</v>
      </c>
      <c r="F397" s="80"/>
      <c r="G397" s="79">
        <v>0</v>
      </c>
      <c r="H397" s="79">
        <v>0</v>
      </c>
      <c r="I397" s="79">
        <v>0</v>
      </c>
      <c r="J397" s="79">
        <v>0</v>
      </c>
      <c r="M397" s="82" t="s">
        <v>434</v>
      </c>
    </row>
    <row r="398" spans="1:14" hidden="1">
      <c r="A398" s="77" t="s">
        <v>1397</v>
      </c>
      <c r="B398" s="78">
        <v>1974</v>
      </c>
      <c r="C398" s="79">
        <v>1</v>
      </c>
      <c r="D398" s="79"/>
      <c r="E398" s="79">
        <v>0</v>
      </c>
      <c r="F398" s="80"/>
      <c r="G398" s="79">
        <v>0</v>
      </c>
      <c r="H398" s="79">
        <v>0</v>
      </c>
      <c r="I398" s="79">
        <v>0</v>
      </c>
      <c r="J398" s="79">
        <v>0</v>
      </c>
      <c r="M398" s="82" t="s">
        <v>434</v>
      </c>
    </row>
    <row r="399" spans="1:14" ht="159.5" hidden="1">
      <c r="A399" s="77" t="s">
        <v>1397</v>
      </c>
      <c r="B399" s="78">
        <v>1984</v>
      </c>
      <c r="C399" s="79">
        <v>0</v>
      </c>
      <c r="D399" s="79">
        <v>1</v>
      </c>
      <c r="E399" s="79">
        <v>1</v>
      </c>
      <c r="F399" s="80" t="s">
        <v>1423</v>
      </c>
      <c r="G399" s="79">
        <v>1</v>
      </c>
      <c r="H399" s="79">
        <v>1</v>
      </c>
      <c r="I399" s="79">
        <v>0</v>
      </c>
      <c r="J399" s="79">
        <v>1</v>
      </c>
      <c r="K399" s="81" t="s">
        <v>1424</v>
      </c>
      <c r="L399" s="82" t="s">
        <v>1425</v>
      </c>
      <c r="M399" s="82" t="s">
        <v>1426</v>
      </c>
      <c r="N399" s="81" t="s">
        <v>1427</v>
      </c>
    </row>
    <row r="400" spans="1:14" ht="58" hidden="1">
      <c r="A400" s="77" t="s">
        <v>1397</v>
      </c>
      <c r="B400" s="78">
        <v>1990</v>
      </c>
      <c r="C400" s="79">
        <v>1</v>
      </c>
      <c r="D400" s="79">
        <v>1</v>
      </c>
      <c r="E400" s="79">
        <v>0</v>
      </c>
      <c r="F400" s="80"/>
      <c r="G400" s="79">
        <v>1</v>
      </c>
      <c r="H400" s="79">
        <v>0</v>
      </c>
      <c r="I400" s="79">
        <v>1</v>
      </c>
      <c r="J400" s="79">
        <v>1</v>
      </c>
      <c r="K400" s="81" t="s">
        <v>1428</v>
      </c>
      <c r="L400" s="82" t="s">
        <v>1429</v>
      </c>
      <c r="M400" s="82" t="s">
        <v>1430</v>
      </c>
    </row>
    <row r="401" spans="1:13" ht="174" hidden="1">
      <c r="A401" s="77" t="s">
        <v>1397</v>
      </c>
      <c r="B401" s="78">
        <v>2007</v>
      </c>
      <c r="C401" s="79">
        <v>1</v>
      </c>
      <c r="D401" s="79">
        <v>1</v>
      </c>
      <c r="E401" s="79">
        <v>1</v>
      </c>
      <c r="F401" s="80" t="s">
        <v>470</v>
      </c>
      <c r="G401" s="79">
        <v>1</v>
      </c>
      <c r="H401" s="79">
        <v>1</v>
      </c>
      <c r="I401" s="79">
        <v>1</v>
      </c>
      <c r="J401" s="79">
        <v>1</v>
      </c>
      <c r="K401" s="81" t="s">
        <v>1431</v>
      </c>
      <c r="L401" s="82" t="s">
        <v>1432</v>
      </c>
      <c r="M401" s="82" t="s">
        <v>1433</v>
      </c>
    </row>
    <row r="402" spans="1:13" hidden="1">
      <c r="A402" s="77" t="s">
        <v>331</v>
      </c>
      <c r="B402" s="78">
        <v>1960</v>
      </c>
      <c r="C402" s="79">
        <v>1</v>
      </c>
      <c r="D402" s="79"/>
      <c r="E402" s="79">
        <v>0</v>
      </c>
      <c r="F402" s="80"/>
      <c r="G402" s="79">
        <v>0</v>
      </c>
      <c r="H402" s="79">
        <v>0</v>
      </c>
      <c r="I402" s="79">
        <v>0</v>
      </c>
      <c r="J402" s="79">
        <v>0</v>
      </c>
      <c r="M402" s="82" t="s">
        <v>434</v>
      </c>
    </row>
    <row r="403" spans="1:13" ht="72.5" hidden="1">
      <c r="A403" s="77" t="s">
        <v>331</v>
      </c>
      <c r="B403" s="78">
        <v>1981</v>
      </c>
      <c r="C403" s="79">
        <v>1</v>
      </c>
      <c r="D403" s="79">
        <v>1978</v>
      </c>
      <c r="E403" s="79">
        <v>1</v>
      </c>
      <c r="F403" s="80" t="s">
        <v>1434</v>
      </c>
      <c r="G403" s="79">
        <v>1</v>
      </c>
      <c r="H403" s="79">
        <v>1</v>
      </c>
      <c r="I403" s="79">
        <v>1</v>
      </c>
      <c r="J403" s="79">
        <v>1</v>
      </c>
      <c r="K403" s="81" t="s">
        <v>1435</v>
      </c>
      <c r="L403" s="82" t="s">
        <v>686</v>
      </c>
      <c r="M403" s="82" t="s">
        <v>1436</v>
      </c>
    </row>
    <row r="404" spans="1:13" hidden="1">
      <c r="A404" s="77" t="s">
        <v>331</v>
      </c>
      <c r="B404" s="78">
        <v>1988</v>
      </c>
      <c r="C404" s="79">
        <v>1</v>
      </c>
      <c r="D404" s="79"/>
      <c r="E404" s="79">
        <v>0</v>
      </c>
      <c r="F404" s="80"/>
      <c r="G404" s="79">
        <v>0</v>
      </c>
      <c r="H404" s="79">
        <v>0</v>
      </c>
      <c r="I404" s="79">
        <v>0</v>
      </c>
      <c r="J404" s="79">
        <v>0</v>
      </c>
      <c r="M404" s="82" t="s">
        <v>434</v>
      </c>
    </row>
    <row r="405" spans="1:13" ht="87" hidden="1">
      <c r="A405" s="77" t="s">
        <v>331</v>
      </c>
      <c r="B405" s="78">
        <v>1992</v>
      </c>
      <c r="C405" s="79">
        <v>1</v>
      </c>
      <c r="D405" s="79">
        <v>1993</v>
      </c>
      <c r="E405" s="79">
        <v>1</v>
      </c>
      <c r="F405" s="80" t="s">
        <v>1437</v>
      </c>
      <c r="G405" s="79">
        <v>1</v>
      </c>
      <c r="H405" s="79">
        <v>1</v>
      </c>
      <c r="I405" s="79">
        <v>1</v>
      </c>
      <c r="J405" s="79">
        <v>1</v>
      </c>
      <c r="K405" s="81" t="s">
        <v>1438</v>
      </c>
      <c r="L405" s="82" t="s">
        <v>1439</v>
      </c>
      <c r="M405" s="82" t="s">
        <v>1440</v>
      </c>
    </row>
    <row r="406" spans="1:13" hidden="1">
      <c r="A406" s="77" t="s">
        <v>331</v>
      </c>
      <c r="B406" s="78">
        <v>1998</v>
      </c>
      <c r="C406" s="79">
        <v>1</v>
      </c>
      <c r="D406" s="79"/>
      <c r="E406" s="79">
        <v>0</v>
      </c>
      <c r="F406" s="80"/>
      <c r="G406" s="79">
        <v>0</v>
      </c>
      <c r="H406" s="79">
        <v>0</v>
      </c>
      <c r="I406" s="79">
        <v>0</v>
      </c>
      <c r="J406" s="79">
        <v>0</v>
      </c>
      <c r="M406" s="82" t="s">
        <v>434</v>
      </c>
    </row>
    <row r="407" spans="1:13" ht="72.5" hidden="1">
      <c r="A407" s="77" t="s">
        <v>331</v>
      </c>
      <c r="B407" s="78">
        <v>2008</v>
      </c>
      <c r="C407" s="79">
        <v>1</v>
      </c>
      <c r="D407" s="79">
        <v>2009</v>
      </c>
      <c r="E407" s="79">
        <v>1</v>
      </c>
      <c r="F407" s="80" t="s">
        <v>1441</v>
      </c>
      <c r="G407" s="79">
        <v>1</v>
      </c>
      <c r="H407" s="79">
        <v>1</v>
      </c>
      <c r="I407" s="79">
        <v>1</v>
      </c>
      <c r="J407" s="79">
        <v>1</v>
      </c>
      <c r="K407" s="81" t="s">
        <v>1442</v>
      </c>
      <c r="L407" s="82" t="s">
        <v>1443</v>
      </c>
      <c r="M407" s="82" t="s">
        <v>1444</v>
      </c>
    </row>
    <row r="408" spans="1:13" hidden="1">
      <c r="A408" s="77" t="s">
        <v>331</v>
      </c>
      <c r="B408" s="78">
        <v>2014</v>
      </c>
      <c r="C408" s="79">
        <v>1</v>
      </c>
      <c r="D408" s="79"/>
      <c r="E408" s="79">
        <v>0</v>
      </c>
      <c r="F408" s="80"/>
      <c r="G408" s="79">
        <v>0</v>
      </c>
      <c r="H408" s="79">
        <v>0</v>
      </c>
      <c r="I408" s="79">
        <v>0</v>
      </c>
      <c r="J408" s="79">
        <v>0</v>
      </c>
      <c r="M408" s="82" t="s">
        <v>434</v>
      </c>
    </row>
  </sheetData>
  <autoFilter ref="A1:N408">
    <filterColumn colId="0">
      <filters>
        <filter val="Ireland"/>
      </filters>
    </filterColumn>
  </autoFilter>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id_classification_nonbusiness" value=""/>
</sisl>
</file>

<file path=customXml/itemProps1.xml><?xml version="1.0" encoding="utf-8"?>
<ds:datastoreItem xmlns:ds="http://schemas.openxmlformats.org/officeDocument/2006/customXml" ds:itemID="{5C8FAE45-8EDE-4331-B600-2E7DF703A0C7}">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Crisis</vt:lpstr>
      <vt:lpstr>Crisis_construction</vt:lpstr>
      <vt:lpstr>FX</vt:lpstr>
      <vt:lpstr>Babecky ·et al. (2012)</vt:lpstr>
      <vt:lpstr>Laeven and Valencia (2020)</vt:lpstr>
      <vt:lpstr>Baron and Dieckelmann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Unrestricted</cp:keywords>
  <cp:lastModifiedBy/>
  <dcterms:created xsi:type="dcterms:W3CDTF">2015-06-05T18:17:20Z</dcterms:created>
  <dcterms:modified xsi:type="dcterms:W3CDTF">2025-09-10T15:31:51Z</dcterms:modified>
  <cp:category>Unrestricted</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284c1e72-b21c-42ef-96cb-8cdacf3626af</vt:lpwstr>
  </property>
  <property fmtid="{D5CDD505-2E9C-101B-9397-08002B2CF9AE}" pid="3" name="bjSaver">
    <vt:lpwstr>Cj3ck1qm8dshXmwxew618V9saZXPmFU/</vt:lpwstr>
  </property>
  <property fmtid="{D5CDD505-2E9C-101B-9397-08002B2CF9AE}" pid="4"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Unrestricted</vt:lpwstr>
  </property>
  <property fmtid="{D5CDD505-2E9C-101B-9397-08002B2CF9AE}" pid="7" name="bjLeftHeaderLabel-first">
    <vt:lpwstr>&amp;"Times New Roman,Regular"&amp;12&amp;K000000Central Bank of Ireland - UNRESTRICTED</vt:lpwstr>
  </property>
  <property fmtid="{D5CDD505-2E9C-101B-9397-08002B2CF9AE}" pid="8" name="bjLeftHeaderLabel-even">
    <vt:lpwstr>&amp;"Times New Roman,Regular"&amp;12&amp;K000000Central Bank of Ireland - UNRESTRICTED</vt:lpwstr>
  </property>
  <property fmtid="{D5CDD505-2E9C-101B-9397-08002B2CF9AE}" pid="9" name="bjLeftHeaderLabel">
    <vt:lpwstr>&amp;"Times New Roman,Regular"&amp;12&amp;K000000Central Bank of Ireland - UNRESTRICTED</vt:lpwstr>
  </property>
</Properties>
</file>