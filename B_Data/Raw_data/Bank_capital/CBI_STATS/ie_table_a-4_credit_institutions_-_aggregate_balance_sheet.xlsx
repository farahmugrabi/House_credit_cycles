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ilescluster\shared\MPS\WORD\MPFS DEPT\Quentin\Stress Tests\Quick_Stress_Testing\Extensions\CET1_Extrapolation\"/>
    </mc:Choice>
  </mc:AlternateContent>
  <bookViews>
    <workbookView xWindow="0" yWindow="0" windowWidth="23040" windowHeight="8930" activeTab="1"/>
  </bookViews>
  <sheets>
    <sheet name="Table A.4" sheetId="1" r:id="rId1"/>
    <sheet name="Table A.4 - Assets" sheetId="2" r:id="rId2"/>
    <sheet name="Table A.4 - Liabilities" sheetId="3" r:id="rId3"/>
  </sheets>
  <definedNames>
    <definedName name="_xlnm.Print_Area" localSheetId="0">'Table A.4'!$A$1:$U$59</definedName>
    <definedName name="_xlnm.Print_Area" localSheetId="1">'Table A.4 - Assets'!$A$1:$U$276</definedName>
    <definedName name="_xlnm.Print_Area" localSheetId="2">'Table A.4 - Liabilities'!$A$1:$S$276</definedName>
  </definedNames>
  <calcPr calcId="162913"/>
</workbook>
</file>

<file path=xl/calcChain.xml><?xml version="1.0" encoding="utf-8"?>
<calcChain xmlns="http://schemas.openxmlformats.org/spreadsheetml/2006/main">
  <c r="U24" i="2" l="1"/>
  <c r="U276" i="2" l="1"/>
  <c r="U275" i="2"/>
  <c r="U274" i="2"/>
  <c r="U273" i="2"/>
  <c r="U272" i="2"/>
  <c r="U271" i="2"/>
  <c r="U270" i="2"/>
  <c r="U269" i="2"/>
  <c r="U268" i="2"/>
  <c r="U267" i="2"/>
  <c r="U266" i="2"/>
  <c r="U265" i="2"/>
  <c r="U264" i="2"/>
  <c r="U263" i="2"/>
  <c r="U262" i="2"/>
  <c r="U261" i="2"/>
  <c r="U260" i="2"/>
  <c r="U259" i="2"/>
  <c r="U258" i="2"/>
  <c r="U257" i="2"/>
  <c r="U256" i="2"/>
  <c r="U255" i="2"/>
  <c r="U254" i="2"/>
  <c r="U253" i="2"/>
  <c r="U252" i="2"/>
  <c r="U251" i="2"/>
  <c r="U250" i="2"/>
  <c r="U249" i="2"/>
  <c r="U248" i="2"/>
  <c r="U247" i="2"/>
  <c r="U246" i="2"/>
  <c r="U245" i="2"/>
  <c r="U244" i="2"/>
  <c r="U243" i="2"/>
  <c r="U242" i="2"/>
  <c r="U241" i="2"/>
  <c r="U240" i="2"/>
  <c r="U239" i="2"/>
  <c r="U238" i="2"/>
  <c r="U237" i="2"/>
  <c r="U236" i="2"/>
  <c r="U235" i="2"/>
  <c r="U234" i="2"/>
  <c r="U233" i="2"/>
  <c r="U232" i="2"/>
  <c r="U231" i="2"/>
  <c r="U230" i="2"/>
  <c r="U229" i="2"/>
  <c r="U228" i="2"/>
  <c r="U227" i="2"/>
  <c r="U226" i="2"/>
  <c r="U225" i="2"/>
  <c r="U224" i="2"/>
  <c r="U223" i="2"/>
  <c r="U222" i="2"/>
  <c r="U221" i="2"/>
  <c r="U220" i="2"/>
  <c r="U219" i="2"/>
  <c r="U218" i="2"/>
  <c r="U217" i="2"/>
  <c r="U216" i="2"/>
  <c r="U215" i="2"/>
  <c r="U214" i="2"/>
  <c r="U213" i="2"/>
  <c r="U212" i="2"/>
  <c r="U211" i="2"/>
  <c r="U210" i="2"/>
  <c r="U209" i="2"/>
  <c r="U208" i="2"/>
  <c r="U207" i="2"/>
  <c r="U206" i="2"/>
  <c r="U205" i="2"/>
  <c r="U204" i="2"/>
  <c r="U203" i="2"/>
  <c r="U202" i="2"/>
  <c r="U201" i="2"/>
  <c r="U200" i="2"/>
  <c r="U199" i="2"/>
  <c r="U198" i="2"/>
  <c r="U197" i="2"/>
  <c r="U196" i="2"/>
  <c r="U195" i="2"/>
  <c r="U194" i="2"/>
  <c r="U193" i="2"/>
  <c r="U192" i="2"/>
  <c r="U191" i="2"/>
  <c r="U190" i="2"/>
  <c r="U189" i="2"/>
  <c r="U188" i="2"/>
  <c r="U187" i="2"/>
  <c r="U186" i="2"/>
  <c r="U185" i="2"/>
  <c r="U184" i="2"/>
  <c r="U183" i="2"/>
  <c r="U182" i="2"/>
  <c r="U181" i="2"/>
  <c r="U180" i="2"/>
  <c r="U179" i="2"/>
  <c r="U178" i="2"/>
  <c r="U177" i="2"/>
  <c r="U176" i="2"/>
  <c r="U175" i="2"/>
  <c r="U174" i="2"/>
  <c r="U173" i="2"/>
  <c r="U172" i="2"/>
  <c r="U171" i="2"/>
  <c r="U170" i="2"/>
  <c r="U169" i="2"/>
  <c r="U168" i="2"/>
  <c r="U167" i="2"/>
  <c r="U166" i="2"/>
  <c r="U165" i="2"/>
  <c r="U164" i="2"/>
  <c r="U163" i="2"/>
  <c r="U162" i="2"/>
  <c r="U161" i="2"/>
  <c r="U160" i="2"/>
  <c r="U159" i="2"/>
  <c r="U158" i="2"/>
  <c r="U157" i="2"/>
  <c r="U156" i="2"/>
  <c r="U155" i="2"/>
  <c r="U154" i="2"/>
  <c r="U153" i="2"/>
  <c r="U152" i="2"/>
  <c r="U151" i="2"/>
  <c r="U150" i="2"/>
  <c r="U149" i="2"/>
  <c r="U148" i="2"/>
  <c r="U147" i="2"/>
  <c r="U146" i="2"/>
  <c r="U145" i="2"/>
  <c r="U144" i="2"/>
  <c r="U143" i="2"/>
  <c r="U142" i="2"/>
  <c r="U141" i="2"/>
  <c r="U140" i="2"/>
  <c r="U139" i="2"/>
  <c r="U138" i="2"/>
  <c r="U137" i="2"/>
  <c r="U136" i="2"/>
  <c r="U135" i="2"/>
  <c r="U134" i="2"/>
  <c r="U133" i="2"/>
  <c r="U132" i="2"/>
  <c r="U131" i="2"/>
  <c r="U130" i="2"/>
  <c r="U129" i="2"/>
  <c r="U128" i="2"/>
  <c r="U127" i="2"/>
  <c r="U126" i="2"/>
  <c r="U125" i="2"/>
  <c r="U124" i="2"/>
  <c r="U123" i="2"/>
  <c r="U122" i="2"/>
  <c r="U121" i="2"/>
  <c r="U120" i="2"/>
  <c r="U119" i="2"/>
  <c r="U118" i="2"/>
  <c r="U117" i="2"/>
  <c r="U116" i="2"/>
  <c r="U115" i="2"/>
  <c r="U114" i="2"/>
  <c r="U113" i="2"/>
  <c r="U112" i="2"/>
  <c r="U111" i="2"/>
  <c r="U110" i="2"/>
  <c r="U109" i="2"/>
  <c r="U108" i="2"/>
  <c r="U107" i="2"/>
  <c r="U106" i="2"/>
  <c r="U105" i="2"/>
  <c r="U104" i="2"/>
  <c r="U103" i="2"/>
  <c r="U102" i="2"/>
  <c r="U101" i="2"/>
  <c r="U100" i="2"/>
  <c r="U99" i="2"/>
  <c r="U98" i="2"/>
  <c r="U97" i="2"/>
  <c r="U96" i="2"/>
  <c r="U95" i="2"/>
  <c r="U94" i="2"/>
  <c r="U93" i="2"/>
  <c r="U92" i="2"/>
  <c r="U91" i="2"/>
  <c r="U90" i="2"/>
  <c r="U89" i="2"/>
  <c r="U88" i="2"/>
  <c r="U87" i="2"/>
  <c r="U86" i="2"/>
  <c r="U85" i="2"/>
  <c r="U84" i="2"/>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12" i="3"/>
</calcChain>
</file>

<file path=xl/sharedStrings.xml><?xml version="1.0" encoding="utf-8"?>
<sst xmlns="http://schemas.openxmlformats.org/spreadsheetml/2006/main" count="553" uniqueCount="39">
  <si>
    <t>Table A.4  Credit Institutions - Aggregate Balance Sheet</t>
  </si>
  <si>
    <t>Total Assets</t>
  </si>
  <si>
    <t>Loans to Irish residents</t>
  </si>
  <si>
    <t xml:space="preserve">Holdings of securities issued by Irish residents </t>
  </si>
  <si>
    <t>Loans to non-residents</t>
  </si>
  <si>
    <t>Holdings of securities issued by non-residents</t>
  </si>
  <si>
    <t>Central Bank balances</t>
  </si>
  <si>
    <t xml:space="preserve">Remaining assets </t>
  </si>
  <si>
    <t>Monetary financial institutions</t>
  </si>
  <si>
    <t>General government</t>
  </si>
  <si>
    <t>Private sector</t>
  </si>
  <si>
    <t>Euro area</t>
  </si>
  <si>
    <t>Rest of world</t>
  </si>
  <si>
    <t>Resident</t>
  </si>
  <si>
    <t>Non-resident</t>
  </si>
  <si>
    <t>Affiliated interbank</t>
  </si>
  <si>
    <t>Outstanding amounts - € million</t>
  </si>
  <si>
    <t/>
  </si>
  <si>
    <t>Total Liabilities</t>
  </si>
  <si>
    <t>Deposits from Irish residents</t>
  </si>
  <si>
    <t>Debt securities issued</t>
  </si>
  <si>
    <t>Deposits from non-residents</t>
  </si>
  <si>
    <t>Capital and reserves</t>
  </si>
  <si>
    <t>Borrowing from the Eurosystem  relating to monetary policy operations</t>
  </si>
  <si>
    <t xml:space="preserve">Remaining liabilities </t>
  </si>
  <si>
    <t>Irish resident</t>
  </si>
  <si>
    <t xml:space="preserve">Euro area </t>
  </si>
  <si>
    <t xml:space="preserve">Rest of world </t>
  </si>
  <si>
    <t xml:space="preserve">Notes: </t>
  </si>
  <si>
    <t>For commentary on developments in a given month see the relevant Money and Banking Statistics information release at:</t>
  </si>
  <si>
    <t>Credit, Money and Banking Statistics: Publications and Releases</t>
  </si>
  <si>
    <t>For a full set of explanatory notes see:</t>
  </si>
  <si>
    <t>Money and Banking Statistics Explanatory Notes</t>
  </si>
  <si>
    <t xml:space="preserve">Data in Money and Banking Statistics is collected with reference to business written out of the within-the-State offices of the entire population of credit institutions in the Republic of Ireland.  The most up to date list of these institutions is available on the Central Bank website here: </t>
  </si>
  <si>
    <t>Credit Institutions resident in the Republic of Ireland</t>
  </si>
  <si>
    <t>Credit Unions entered the reporting population for Money and Banking Statistics in January 2009.</t>
  </si>
  <si>
    <t>Prior to December 2010, the outstanding amount of loans is reported on a net of impairment provisions basis. As of December 2010, the outstanding amount of loans is reported on a nominal basis, i.e. gross of impairment provisions, which all else being equal would lead to an increase in the reported outstanding amount of loans in that month.</t>
  </si>
  <si>
    <t xml:space="preserve">In December 2010 the outstanding amount of loans, deposits and other asset and liability instruments across a number of categories have been reduced following the exit of a credit institution from the Irish market.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</si>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</sst>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yyyy"/>
    <numFmt numFmtId="166" formatCode="mmm"/>
    <numFmt numFmtId="167" formatCode="_-\ #,##0_-;\-\ #,##0_-;_-\ &quot;-&quot;??_-;_-@_-"/>
  </numFmts>
  <fonts count="13" x14ac:knownFonts="1">
    <font>
      <sz val="11"/>
      <color theme="1"/>
      <name val="Calibri"/>
      <family val="2"/>
      <scheme val="minor"/>
    </font>
    <font>
      <sz val="10"/>
      <name val="Arial"/>
      <family val="2"/>
    </font>
    <font>
      <b/>
      <sz val="12"/>
      <name val="Arial"/>
      <family val="2"/>
    </font>
    <font>
      <u/>
      <sz val="10"/>
      <name val="Arial"/>
      <family val="2"/>
    </font>
    <font>
      <sz val="10"/>
      <color indexed="8"/>
      <name val="Arial"/>
      <family val="2"/>
    </font>
    <font>
      <b/>
      <i/>
      <sz val="10"/>
      <name val="Arial"/>
      <family val="2"/>
    </font>
    <font>
      <i/>
      <sz val="10"/>
      <color indexed="8"/>
      <name val="Arial"/>
      <family val="2"/>
    </font>
    <font>
      <i/>
      <sz val="10"/>
      <name val="Arial"/>
      <family val="2"/>
    </font>
    <font>
      <b/>
      <sz val="10"/>
      <color indexed="8"/>
      <name val="Arial"/>
      <family val="2"/>
    </font>
    <font>
      <b/>
      <sz val="10"/>
      <name val="Arial"/>
      <family val="2"/>
    </font>
    <font>
      <sz val="11"/>
      <color theme="1"/>
      <name val="Calibri"/>
      <family val="2"/>
      <scheme val="minor"/>
    </font>
    <font>
      <u/>
      <sz val="10"/>
      <color theme="10"/>
      <name val="Arial"/>
      <family val="2"/>
    </font>
    <font>
      <sz val="10"/>
      <color theme="1"/>
      <name val="Arial"/>
      <family val="2"/>
    </font>
  </fonts>
  <fills count="6">
    <fill>
      <patternFill patternType="none"/>
    </fill>
    <fill>
      <patternFill patternType="gray125"/>
    </fill>
    <fill>
      <patternFill patternType="solid">
        <fgColor theme="9" tint="0.39994506668294322"/>
        <bgColor indexed="64"/>
      </patternFill>
    </fill>
    <fill>
      <patternFill patternType="solid">
        <fgColor theme="9" tint="0.79998168889431442"/>
        <bgColor indexed="64"/>
      </patternFill>
    </fill>
    <fill>
      <patternFill patternType="solid">
        <fgColor theme="9"/>
        <bgColor indexed="64"/>
      </patternFill>
    </fill>
    <fill>
      <patternFill patternType="solid">
        <fgColor theme="9" tint="0.59996337778862885"/>
        <bgColor indexed="64"/>
      </patternFill>
    </fill>
  </fills>
  <borders count="42">
    <border>
      <left/>
      <right/>
      <top/>
      <bottom/>
      <diagonal/>
    </border>
    <border>
      <left/>
      <right style="medium">
        <color theme="6" tint="-0.249977111117893"/>
      </right>
      <top/>
      <bottom/>
      <diagonal/>
    </border>
    <border>
      <left/>
      <right/>
      <top style="medium">
        <color theme="6" tint="-0.249977111117893"/>
      </top>
      <bottom/>
      <diagonal/>
    </border>
    <border>
      <left style="medium">
        <color theme="9" tint="-0.24994659260841701"/>
      </left>
      <right/>
      <top/>
      <bottom style="medium">
        <color theme="9" tint="-0.24994659260841701"/>
      </bottom>
      <diagonal/>
    </border>
    <border>
      <left style="hair">
        <color theme="6" tint="-0.249977111117893"/>
      </left>
      <right style="hair">
        <color theme="6" tint="-0.249977111117893"/>
      </right>
      <top style="hair">
        <color theme="6" tint="-0.249977111117893"/>
      </top>
      <bottom style="medium">
        <color theme="9" tint="-0.24994659260841701"/>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style="hair">
        <color theme="6" tint="-0.249977111117893"/>
      </right>
      <top/>
      <bottom/>
      <diagonal/>
    </border>
    <border>
      <left style="medium">
        <color theme="9" tint="-0.24994659260841701"/>
      </left>
      <right/>
      <top style="medium">
        <color theme="9" tint="-0.24994659260841701"/>
      </top>
      <bottom/>
      <diagonal/>
    </border>
    <border>
      <left/>
      <right/>
      <top style="medium">
        <color theme="9" tint="-0.24994659260841701"/>
      </top>
      <bottom style="hair">
        <color theme="6" tint="-0.249977111117893"/>
      </bottom>
      <diagonal/>
    </border>
    <border>
      <left/>
      <right style="hair">
        <color theme="6" tint="-0.249977111117893"/>
      </right>
      <top style="hair">
        <color theme="6" tint="-0.249977111117893"/>
      </top>
      <bottom style="hair">
        <color theme="6" tint="-0.249977111117893"/>
      </bottom>
      <diagonal/>
    </border>
    <border>
      <left/>
      <right/>
      <top/>
      <bottom style="hair">
        <color theme="6" tint="-0.249977111117893"/>
      </bottom>
      <diagonal/>
    </border>
    <border>
      <left/>
      <right/>
      <top style="hair">
        <color theme="6" tint="-0.249977111117893"/>
      </top>
      <bottom style="hair">
        <color theme="6" tint="-0.249977111117893"/>
      </bottom>
      <diagonal/>
    </border>
    <border>
      <left style="medium">
        <color theme="9" tint="-0.24994659260841701"/>
      </left>
      <right/>
      <top/>
      <bottom/>
      <diagonal/>
    </border>
    <border>
      <left style="medium">
        <color theme="9" tint="-0.24994659260841701"/>
      </left>
      <right style="medium">
        <color theme="9" tint="-0.24994659260841701"/>
      </right>
      <top style="medium">
        <color theme="9" tint="-0.24994659260841701"/>
      </top>
      <bottom/>
      <diagonal/>
    </border>
    <border>
      <left style="medium">
        <color theme="9" tint="-0.24994659260841701"/>
      </left>
      <right style="medium">
        <color theme="9" tint="-0.24994659260841701"/>
      </right>
      <top/>
      <bottom/>
      <diagonal/>
    </border>
    <border>
      <left style="medium">
        <color theme="9" tint="-0.24994659260841701"/>
      </left>
      <right style="medium">
        <color theme="9" tint="-0.24994659260841701"/>
      </right>
      <top/>
      <bottom style="medium">
        <color theme="9" tint="-0.24994659260841701"/>
      </bottom>
      <diagonal/>
    </border>
    <border>
      <left style="hair">
        <color theme="6" tint="-0.249977111117893"/>
      </left>
      <right style="medium">
        <color theme="9" tint="-0.24994659260841701"/>
      </right>
      <top style="hair">
        <color theme="6" tint="-0.24994659260841701"/>
      </top>
      <bottom/>
      <diagonal/>
    </border>
    <border>
      <left style="hair">
        <color theme="6" tint="-0.249977111117893"/>
      </left>
      <right style="medium">
        <color theme="9" tint="-0.24994659260841701"/>
      </right>
      <top/>
      <bottom style="medium">
        <color theme="9" tint="-0.24994659260841701"/>
      </bottom>
      <diagonal/>
    </border>
    <border>
      <left/>
      <right style="medium">
        <color theme="9" tint="-0.24994659260841701"/>
      </right>
      <top style="hair">
        <color theme="6" tint="-0.24994659260841701"/>
      </top>
      <bottom/>
      <diagonal/>
    </border>
    <border>
      <left/>
      <right style="medium">
        <color theme="9" tint="-0.24994659260841701"/>
      </right>
      <top/>
      <bottom style="medium">
        <color theme="9" tint="-0.24994659260841701"/>
      </bottom>
      <diagonal/>
    </border>
    <border>
      <left style="medium">
        <color theme="9" tint="-0.24994659260841701"/>
      </left>
      <right/>
      <top style="hair">
        <color theme="6" tint="-0.24994659260841701"/>
      </top>
      <bottom/>
      <diagonal/>
    </border>
    <border>
      <left/>
      <right style="medium">
        <color theme="9" tint="-0.24994659260841701"/>
      </right>
      <top style="medium">
        <color theme="9" tint="-0.24994659260841701"/>
      </top>
      <bottom style="hair">
        <color theme="6" tint="-0.249977111117893"/>
      </bottom>
      <diagonal/>
    </border>
    <border>
      <left style="medium">
        <color theme="9" tint="-0.24994659260841701"/>
      </left>
      <right/>
      <top style="medium">
        <color theme="9" tint="-0.24994659260841701"/>
      </top>
      <bottom style="hair">
        <color theme="6" tint="-0.24994659260841701"/>
      </bottom>
      <diagonal/>
    </border>
    <border>
      <left/>
      <right style="medium">
        <color theme="9" tint="-0.24994659260841701"/>
      </right>
      <top style="medium">
        <color theme="9" tint="-0.24994659260841701"/>
      </top>
      <bottom style="hair">
        <color theme="6" tint="-0.24994659260841701"/>
      </bottom>
      <diagonal/>
    </border>
    <border>
      <left style="hair">
        <color theme="6" tint="-0.249977111117893"/>
      </left>
      <right/>
      <top style="hair">
        <color theme="6" tint="-0.249977111117893"/>
      </top>
      <bottom/>
      <diagonal/>
    </border>
    <border>
      <left style="hair">
        <color theme="6" tint="-0.249977111117893"/>
      </left>
      <right/>
      <top/>
      <bottom style="medium">
        <color theme="9" tint="-0.24994659260841701"/>
      </bottom>
      <diagonal/>
    </border>
    <border>
      <left/>
      <right style="hair">
        <color theme="6" tint="-0.249977111117893"/>
      </right>
      <top/>
      <bottom/>
      <diagonal/>
    </border>
    <border>
      <left/>
      <right style="hair">
        <color theme="6" tint="-0.249977111117893"/>
      </right>
      <top/>
      <bottom style="medium">
        <color theme="9" tint="-0.24994659260841701"/>
      </bottom>
      <diagonal/>
    </border>
    <border>
      <left style="hair">
        <color theme="6" tint="-0.249977111117893"/>
      </left>
      <right style="medium">
        <color theme="9" tint="-0.24994659260841701"/>
      </right>
      <top/>
      <bottom/>
      <diagonal/>
    </border>
    <border>
      <left style="hair">
        <color theme="6" tint="-0.249977111117893"/>
      </left>
      <right style="hair">
        <color theme="6" tint="-0.249977111117893"/>
      </right>
      <top style="hair">
        <color theme="6" tint="-0.249977111117893"/>
      </top>
      <bottom/>
      <diagonal/>
    </border>
    <border>
      <left style="hair">
        <color theme="6" tint="-0.249977111117893"/>
      </left>
      <right style="hair">
        <color theme="6" tint="-0.249977111117893"/>
      </right>
      <top/>
      <bottom style="medium">
        <color theme="9" tint="-0.24994659260841701"/>
      </bottom>
      <diagonal/>
    </border>
    <border>
      <left style="hair">
        <color theme="6" tint="-0.249977111117893"/>
      </left>
      <right style="medium">
        <color theme="9" tint="-0.24994659260841701"/>
      </right>
      <top style="hair">
        <color theme="6" tint="-0.249977111117893"/>
      </top>
      <bottom/>
      <diagonal/>
    </border>
    <border>
      <left style="medium">
        <color theme="9" tint="-0.24994659260841701"/>
      </left>
      <right style="hair">
        <color theme="6" tint="-0.249977111117893"/>
      </right>
      <top style="hair">
        <color theme="6" tint="-0.24994659260841701"/>
      </top>
      <bottom/>
      <diagonal/>
    </border>
    <border>
      <left style="medium">
        <color theme="9" tint="-0.24994659260841701"/>
      </left>
      <right style="hair">
        <color theme="6" tint="-0.249977111117893"/>
      </right>
      <top/>
      <bottom style="medium">
        <color theme="9" tint="-0.24994659260841701"/>
      </bottom>
      <diagonal/>
    </border>
    <border>
      <left style="medium">
        <color theme="9" tint="-0.24994659260841701"/>
      </left>
      <right style="hair">
        <color indexed="64"/>
      </right>
      <top style="hair">
        <color theme="6" tint="-0.24994659260841701"/>
      </top>
      <bottom/>
      <diagonal/>
    </border>
    <border>
      <left style="medium">
        <color theme="9" tint="-0.24994659260841701"/>
      </left>
      <right style="hair">
        <color indexed="64"/>
      </right>
      <top/>
      <bottom style="medium">
        <color theme="9" tint="-0.24994659260841701"/>
      </bottom>
      <diagonal/>
    </border>
    <border>
      <left/>
      <right/>
      <top style="medium">
        <color theme="9" tint="-0.24994659260841701"/>
      </top>
      <bottom style="hair">
        <color theme="6" tint="-0.24994659260841701"/>
      </bottom>
      <diagonal/>
    </border>
    <border>
      <left style="hair">
        <color indexed="64"/>
      </left>
      <right style="hair">
        <color indexed="64"/>
      </right>
      <top style="hair">
        <color theme="6" tint="-0.24994659260841701"/>
      </top>
      <bottom/>
      <diagonal/>
    </border>
    <border>
      <left style="hair">
        <color indexed="64"/>
      </left>
      <right style="hair">
        <color indexed="64"/>
      </right>
      <top/>
      <bottom style="medium">
        <color theme="9" tint="-0.24994659260841701"/>
      </bottom>
      <diagonal/>
    </border>
    <border>
      <left style="hair">
        <color indexed="64"/>
      </left>
      <right style="medium">
        <color theme="9" tint="-0.24994659260841701"/>
      </right>
      <top style="hair">
        <color theme="6" tint="-0.24994659260841701"/>
      </top>
      <bottom/>
      <diagonal/>
    </border>
    <border>
      <left style="hair">
        <color indexed="64"/>
      </left>
      <right style="medium">
        <color theme="9" tint="-0.24994659260841701"/>
      </right>
      <top/>
      <bottom style="medium">
        <color theme="9" tint="-0.24994659260841701"/>
      </bottom>
      <diagonal/>
    </border>
  </borders>
  <cellStyleXfs count="6">
    <xf numFmtId="0" fontId="0" fillId="0" borderId="0"/>
    <xf numFmtId="164" fontId="10" fillId="0" borderId="0" applyFont="0" applyFill="0" applyBorder="0" applyAlignment="0" applyProtection="0"/>
    <xf numFmtId="0" fontId="11" fillId="0" borderId="0" applyNumberFormat="0" applyFill="0" applyBorder="0" applyAlignment="0" applyProtection="0">
      <alignment vertical="top"/>
      <protection locked="0"/>
    </xf>
    <xf numFmtId="0" fontId="1" fillId="0" borderId="0"/>
    <xf numFmtId="0" fontId="1" fillId="0" borderId="0"/>
    <xf numFmtId="9" fontId="10" fillId="0" borderId="0" applyFont="0" applyFill="0" applyBorder="0" applyAlignment="0" applyProtection="0"/>
  </cellStyleXfs>
  <cellXfs count="121">
    <xf numFmtId="0" fontId="0" fillId="0" borderId="0" xfId="0"/>
    <xf numFmtId="0" fontId="2" fillId="0" borderId="0" xfId="3" applyFont="1" applyFill="1" applyAlignment="1">
      <alignment horizontal="left"/>
    </xf>
    <xf numFmtId="0" fontId="1" fillId="0" borderId="0" xfId="3" applyFont="1" applyFill="1" applyAlignment="1">
      <alignment horizontal="left"/>
    </xf>
    <xf numFmtId="0" fontId="3" fillId="0" borderId="0" xfId="3" applyFont="1" applyFill="1" applyAlignment="1">
      <alignment horizontal="left"/>
    </xf>
    <xf numFmtId="0" fontId="1" fillId="0" borderId="0" xfId="4" applyFont="1" applyFill="1" applyAlignment="1">
      <alignment horizontal="left"/>
    </xf>
    <xf numFmtId="0" fontId="4" fillId="0" borderId="0" xfId="0" applyFont="1" applyFill="1" applyAlignment="1">
      <alignment horizontal="left"/>
    </xf>
    <xf numFmtId="0" fontId="4" fillId="0" borderId="1" xfId="0" applyFont="1" applyFill="1" applyBorder="1" applyAlignment="1">
      <alignment horizontal="left"/>
    </xf>
    <xf numFmtId="0" fontId="4" fillId="0" borderId="0" xfId="0" applyFont="1" applyFill="1" applyAlignment="1">
      <alignment horizontal="center"/>
    </xf>
    <xf numFmtId="0" fontId="1" fillId="0" borderId="0" xfId="0" applyFont="1" applyFill="1" applyBorder="1" applyAlignment="1">
      <alignment horizontal="center" vertical="top" wrapText="1"/>
    </xf>
    <xf numFmtId="0" fontId="1" fillId="0" borderId="2" xfId="0" applyFont="1" applyFill="1" applyBorder="1" applyAlignment="1">
      <alignment horizontal="center" vertical="top" wrapText="1"/>
    </xf>
    <xf numFmtId="0" fontId="4" fillId="0" borderId="0" xfId="0" applyFont="1" applyFill="1"/>
    <xf numFmtId="0" fontId="5" fillId="0" borderId="0" xfId="4" applyFont="1" applyFill="1" applyAlignment="1">
      <alignment horizontal="left"/>
    </xf>
    <xf numFmtId="0" fontId="4" fillId="0" borderId="0" xfId="0" applyFont="1" applyFill="1" applyAlignment="1"/>
    <xf numFmtId="0" fontId="6" fillId="0" borderId="0" xfId="0" applyFont="1" applyFill="1" applyAlignment="1"/>
    <xf numFmtId="165" fontId="12" fillId="0" borderId="0" xfId="3" applyNumberFormat="1" applyFont="1" applyFill="1" applyAlignment="1" applyProtection="1">
      <alignment horizontal="right"/>
    </xf>
    <xf numFmtId="166" fontId="12" fillId="0" borderId="0" xfId="3" applyNumberFormat="1" applyFont="1" applyFill="1" applyAlignment="1" applyProtection="1">
      <alignment horizontal="right"/>
    </xf>
    <xf numFmtId="167" fontId="1" fillId="0" borderId="0" xfId="1" applyNumberFormat="1" applyFont="1" applyFill="1" applyAlignment="1">
      <alignment horizontal="right"/>
    </xf>
    <xf numFmtId="165" fontId="4" fillId="0" borderId="0" xfId="0" applyNumberFormat="1" applyFont="1" applyFill="1" applyAlignment="1">
      <alignment horizontal="right"/>
    </xf>
    <xf numFmtId="0" fontId="7" fillId="0" borderId="0" xfId="0" applyFont="1" applyFill="1" applyAlignment="1">
      <alignment horizontal="center"/>
    </xf>
    <xf numFmtId="0" fontId="1" fillId="0" borderId="0" xfId="3" applyFont="1" applyFill="1"/>
    <xf numFmtId="0" fontId="4" fillId="0" borderId="2" xfId="0" applyFont="1" applyFill="1" applyBorder="1" applyAlignment="1">
      <alignment horizontal="center"/>
    </xf>
    <xf numFmtId="0" fontId="4" fillId="0" borderId="0" xfId="0" applyFont="1" applyFill="1" applyBorder="1" applyAlignment="1"/>
    <xf numFmtId="0" fontId="4" fillId="0" borderId="0" xfId="0" applyFont="1" applyFill="1" applyBorder="1"/>
    <xf numFmtId="0" fontId="5" fillId="0" borderId="0" xfId="4" applyFont="1" applyFill="1"/>
    <xf numFmtId="0" fontId="8" fillId="0" borderId="0" xfId="0" applyFont="1" applyAlignment="1">
      <alignment vertical="top" wrapText="1"/>
    </xf>
    <xf numFmtId="0" fontId="4" fillId="0" borderId="0" xfId="0" applyNumberFormat="1" applyFont="1" applyFill="1" applyBorder="1" applyAlignment="1" applyProtection="1">
      <alignment horizontal="center" vertical="top"/>
    </xf>
    <xf numFmtId="0" fontId="4" fillId="0" borderId="0" xfId="0" applyNumberFormat="1" applyFont="1" applyAlignment="1">
      <alignment vertical="top"/>
    </xf>
    <xf numFmtId="165" fontId="12" fillId="0" borderId="0" xfId="3" applyNumberFormat="1" applyFont="1" applyFill="1" applyAlignment="1">
      <alignment horizontal="right"/>
    </xf>
    <xf numFmtId="0" fontId="4" fillId="0" borderId="0" xfId="0" applyNumberFormat="1" applyFont="1" applyFill="1" applyBorder="1" applyAlignment="1" applyProtection="1"/>
    <xf numFmtId="0" fontId="11" fillId="0" borderId="0" xfId="2" applyNumberFormat="1" applyFont="1" applyAlignment="1" applyProtection="1">
      <alignment vertical="top"/>
    </xf>
    <xf numFmtId="0" fontId="4" fillId="0" borderId="0" xfId="0" applyNumberFormat="1" applyFont="1" applyAlignment="1">
      <alignment vertical="top" wrapText="1"/>
    </xf>
    <xf numFmtId="0" fontId="11" fillId="0" borderId="0" xfId="2" applyNumberFormat="1" applyFont="1" applyAlignment="1" applyProtection="1">
      <alignment horizontal="left" vertical="top"/>
    </xf>
    <xf numFmtId="0" fontId="12" fillId="0" borderId="0" xfId="4" applyFont="1" applyFill="1" applyAlignment="1">
      <alignment horizontal="left"/>
    </xf>
    <xf numFmtId="0" fontId="12" fillId="0" borderId="0" xfId="4" applyFont="1" applyFill="1"/>
    <xf numFmtId="0" fontId="7" fillId="0" borderId="0" xfId="4" applyFont="1" applyFill="1"/>
    <xf numFmtId="166" fontId="12" fillId="0" borderId="0" xfId="3" applyNumberFormat="1" applyFont="1" applyFill="1" applyAlignment="1">
      <alignment horizontal="right"/>
    </xf>
    <xf numFmtId="167" fontId="1" fillId="0" borderId="0" xfId="4" applyNumberFormat="1" applyFont="1" applyFill="1" applyAlignment="1">
      <alignment horizontal="right"/>
    </xf>
    <xf numFmtId="167" fontId="4" fillId="0" borderId="0" xfId="0" applyNumberFormat="1" applyFont="1" applyFill="1" applyBorder="1" applyAlignment="1" applyProtection="1">
      <alignment horizontal="right"/>
    </xf>
    <xf numFmtId="165" fontId="4" fillId="0" borderId="0" xfId="0" applyNumberFormat="1" applyFont="1" applyFill="1" applyBorder="1" applyAlignment="1" applyProtection="1">
      <alignment horizontal="right"/>
    </xf>
    <xf numFmtId="166" fontId="4" fillId="0" borderId="0" xfId="0" applyNumberFormat="1" applyFont="1" applyFill="1" applyBorder="1" applyAlignment="1" applyProtection="1">
      <alignment horizontal="right"/>
    </xf>
    <xf numFmtId="0" fontId="9" fillId="0" borderId="0" xfId="3" applyFont="1" applyFill="1" applyAlignment="1">
      <alignment horizontal="left"/>
    </xf>
    <xf numFmtId="0" fontId="7" fillId="0" borderId="0" xfId="0" applyFont="1" applyFill="1" applyAlignment="1">
      <alignment horizontal="left"/>
    </xf>
    <xf numFmtId="0" fontId="1" fillId="0" borderId="1" xfId="3" applyFont="1" applyFill="1" applyBorder="1" applyAlignment="1">
      <alignment horizontal="left"/>
    </xf>
    <xf numFmtId="0" fontId="4" fillId="0" borderId="0" xfId="0" applyFont="1" applyFill="1" applyBorder="1" applyAlignment="1">
      <alignment horizontal="center"/>
    </xf>
    <xf numFmtId="0" fontId="0" fillId="0" borderId="0" xfId="0" applyAlignment="1">
      <alignment horizontal="right"/>
    </xf>
    <xf numFmtId="167" fontId="0" fillId="0" borderId="0" xfId="0" applyNumberFormat="1"/>
    <xf numFmtId="0" fontId="12" fillId="0" borderId="0" xfId="0" applyFont="1"/>
    <xf numFmtId="167" fontId="12" fillId="0" borderId="0" xfId="0" applyNumberFormat="1" applyFont="1" applyAlignment="1">
      <alignment horizontal="right"/>
    </xf>
    <xf numFmtId="0" fontId="12" fillId="0" borderId="0" xfId="0" applyFont="1" applyAlignment="1">
      <alignment horizontal="left"/>
    </xf>
    <xf numFmtId="0" fontId="12" fillId="0" borderId="0" xfId="0" applyFont="1" applyAlignment="1">
      <alignment horizontal="center"/>
    </xf>
    <xf numFmtId="165" fontId="0" fillId="0" borderId="0" xfId="0" applyNumberFormat="1" applyAlignment="1">
      <alignment horizontal="right"/>
    </xf>
    <xf numFmtId="166" fontId="12" fillId="0" borderId="0" xfId="0" applyNumberFormat="1" applyFont="1" applyAlignment="1">
      <alignment horizontal="right"/>
    </xf>
    <xf numFmtId="0" fontId="4" fillId="0" borderId="0" xfId="0" applyFont="1" applyFill="1" applyBorder="1" applyAlignment="1">
      <alignment horizontal="left"/>
    </xf>
    <xf numFmtId="0" fontId="1" fillId="0" borderId="0" xfId="3" applyFont="1" applyFill="1" applyBorder="1"/>
    <xf numFmtId="0" fontId="1" fillId="2" borderId="3" xfId="0" applyFont="1" applyFill="1" applyBorder="1" applyAlignment="1">
      <alignment horizontal="left" vertical="top" wrapText="1"/>
    </xf>
    <xf numFmtId="0" fontId="1" fillId="3" borderId="4" xfId="3" applyFont="1" applyFill="1" applyBorder="1" applyAlignment="1">
      <alignment horizontal="left" vertical="top" wrapText="1"/>
    </xf>
    <xf numFmtId="0" fontId="4" fillId="4" borderId="5" xfId="0" applyFont="1" applyFill="1" applyBorder="1" applyAlignment="1">
      <alignment horizontal="left"/>
    </xf>
    <xf numFmtId="0" fontId="4" fillId="4" borderId="6" xfId="0" applyFont="1" applyFill="1" applyBorder="1" applyAlignment="1">
      <alignment horizontal="left"/>
    </xf>
    <xf numFmtId="0" fontId="4" fillId="4" borderId="5" xfId="0" applyFont="1" applyFill="1" applyBorder="1" applyAlignment="1"/>
    <xf numFmtId="0" fontId="4" fillId="4" borderId="6" xfId="0" applyFont="1" applyFill="1" applyBorder="1" applyAlignment="1"/>
    <xf numFmtId="0" fontId="1" fillId="2" borderId="7" xfId="0" applyFont="1" applyFill="1" applyBorder="1" applyAlignment="1">
      <alignment horizontal="left" vertical="top" wrapText="1"/>
    </xf>
    <xf numFmtId="0" fontId="1" fillId="2" borderId="5" xfId="0" applyFont="1" applyFill="1" applyBorder="1" applyAlignment="1">
      <alignment vertical="top" wrapText="1"/>
    </xf>
    <xf numFmtId="0" fontId="1" fillId="2" borderId="8" xfId="0" applyFont="1" applyFill="1" applyBorder="1" applyAlignment="1">
      <alignment vertical="top"/>
    </xf>
    <xf numFmtId="0" fontId="1" fillId="2" borderId="9" xfId="0" applyFont="1" applyFill="1" applyBorder="1" applyAlignment="1">
      <alignment vertical="top" wrapText="1"/>
    </xf>
    <xf numFmtId="0" fontId="1" fillId="2" borderId="6" xfId="0" applyFont="1" applyFill="1" applyBorder="1" applyAlignment="1">
      <alignment vertical="top" wrapText="1"/>
    </xf>
    <xf numFmtId="0" fontId="1" fillId="5" borderId="10" xfId="0" applyFont="1" applyFill="1" applyBorder="1" applyAlignment="1">
      <alignment horizontal="left" vertical="top" wrapText="1"/>
    </xf>
    <xf numFmtId="0" fontId="1" fillId="5" borderId="11" xfId="0" applyFont="1" applyFill="1" applyBorder="1" applyAlignment="1">
      <alignment horizontal="left" vertical="top" wrapText="1"/>
    </xf>
    <xf numFmtId="0" fontId="4" fillId="5" borderId="12" xfId="0" applyFont="1" applyFill="1" applyBorder="1"/>
    <xf numFmtId="0" fontId="1" fillId="2" borderId="8" xfId="0" applyFont="1" applyFill="1" applyBorder="1" applyAlignment="1">
      <alignment horizontal="left" vertical="top"/>
    </xf>
    <xf numFmtId="0" fontId="1" fillId="2" borderId="5" xfId="0" applyFont="1" applyFill="1" applyBorder="1" applyAlignment="1">
      <alignment horizontal="left" vertical="top" wrapText="1"/>
    </xf>
    <xf numFmtId="0" fontId="1" fillId="2" borderId="6" xfId="0" applyFont="1" applyFill="1" applyBorder="1" applyAlignment="1">
      <alignment horizontal="left" vertical="top" wrapText="1"/>
    </xf>
    <xf numFmtId="0" fontId="4" fillId="5" borderId="12" xfId="0" applyFont="1" applyFill="1" applyBorder="1" applyAlignment="1">
      <alignment horizontal="left"/>
    </xf>
    <xf numFmtId="0" fontId="4" fillId="0" borderId="0" xfId="0" applyNumberFormat="1" applyFont="1" applyAlignment="1">
      <alignment horizontal="left" vertical="top" wrapText="1"/>
    </xf>
    <xf numFmtId="0" fontId="4" fillId="4" borderId="13" xfId="0" applyFont="1" applyFill="1" applyBorder="1"/>
    <xf numFmtId="0" fontId="1" fillId="4" borderId="8" xfId="0" applyFont="1" applyFill="1" applyBorder="1" applyAlignment="1">
      <alignment horizontal="left" vertical="top" wrapText="1"/>
    </xf>
    <xf numFmtId="0" fontId="1" fillId="2" borderId="9" xfId="0" applyFont="1" applyFill="1" applyBorder="1" applyAlignment="1">
      <alignment horizontal="left" vertical="top" wrapText="1"/>
    </xf>
    <xf numFmtId="0" fontId="4" fillId="4" borderId="13" xfId="0" applyFont="1" applyFill="1" applyBorder="1" applyAlignment="1">
      <alignment horizontal="left"/>
    </xf>
    <xf numFmtId="0" fontId="4" fillId="0" borderId="0" xfId="0" applyNumberFormat="1" applyFont="1" applyAlignment="1">
      <alignment horizontal="left" vertical="top" wrapText="1"/>
    </xf>
    <xf numFmtId="0" fontId="11" fillId="0" borderId="0" xfId="2" applyFont="1" applyAlignment="1" applyProtection="1"/>
    <xf numFmtId="0" fontId="4" fillId="0" borderId="0" xfId="0" applyNumberFormat="1" applyFont="1" applyAlignment="1">
      <alignment horizontal="left" vertical="top"/>
    </xf>
    <xf numFmtId="0" fontId="4" fillId="4" borderId="13" xfId="0" applyFont="1" applyFill="1" applyBorder="1"/>
    <xf numFmtId="0" fontId="4" fillId="4" borderId="3" xfId="0" applyFont="1" applyFill="1" applyBorder="1"/>
    <xf numFmtId="0" fontId="1" fillId="2" borderId="13" xfId="0" applyFont="1" applyFill="1" applyBorder="1" applyAlignment="1">
      <alignment horizontal="left"/>
    </xf>
    <xf numFmtId="0" fontId="1" fillId="2" borderId="3" xfId="0" applyFont="1" applyFill="1" applyBorder="1" applyAlignment="1">
      <alignment horizontal="left"/>
    </xf>
    <xf numFmtId="0" fontId="1" fillId="5" borderId="25" xfId="0" applyFont="1" applyFill="1" applyBorder="1" applyAlignment="1">
      <alignment horizontal="left" vertical="top" wrapText="1"/>
    </xf>
    <xf numFmtId="0" fontId="1" fillId="5" borderId="26" xfId="0" applyFont="1" applyFill="1" applyBorder="1" applyAlignment="1">
      <alignment horizontal="left" vertical="top" wrapText="1"/>
    </xf>
    <xf numFmtId="0" fontId="1" fillId="5" borderId="30" xfId="0" applyFont="1" applyFill="1" applyBorder="1" applyAlignment="1">
      <alignment horizontal="left" vertical="top" wrapText="1"/>
    </xf>
    <xf numFmtId="0" fontId="1" fillId="5" borderId="31" xfId="0" applyFont="1" applyFill="1" applyBorder="1" applyAlignment="1">
      <alignment horizontal="left" vertical="top" wrapText="1"/>
    </xf>
    <xf numFmtId="0" fontId="1" fillId="5" borderId="32" xfId="0" applyFont="1" applyFill="1" applyBorder="1" applyAlignment="1">
      <alignment horizontal="left" vertical="top" wrapText="1"/>
    </xf>
    <xf numFmtId="0" fontId="1" fillId="5" borderId="18" xfId="0" applyFont="1" applyFill="1" applyBorder="1" applyAlignment="1">
      <alignment horizontal="left" vertical="top" wrapText="1"/>
    </xf>
    <xf numFmtId="0" fontId="1" fillId="5" borderId="35" xfId="0" applyFont="1" applyFill="1" applyBorder="1" applyAlignment="1">
      <alignment horizontal="left" vertical="top" wrapText="1"/>
    </xf>
    <xf numFmtId="0" fontId="1" fillId="5" borderId="36" xfId="0" applyFont="1" applyFill="1" applyBorder="1" applyAlignment="1">
      <alignment horizontal="left" vertical="top" wrapText="1"/>
    </xf>
    <xf numFmtId="0" fontId="1" fillId="2" borderId="23" xfId="0" applyFont="1" applyFill="1" applyBorder="1" applyAlignment="1">
      <alignment horizontal="left" vertical="top" wrapText="1"/>
    </xf>
    <xf numFmtId="0" fontId="1" fillId="2" borderId="24" xfId="0" applyFont="1" applyFill="1" applyBorder="1" applyAlignment="1">
      <alignment horizontal="left" vertical="top" wrapText="1"/>
    </xf>
    <xf numFmtId="0" fontId="1" fillId="2" borderId="14" xfId="0" applyFont="1" applyFill="1" applyBorder="1" applyAlignment="1">
      <alignment horizontal="left" vertical="top" wrapText="1"/>
    </xf>
    <xf numFmtId="0" fontId="1" fillId="2" borderId="15" xfId="0" applyFont="1" applyFill="1" applyBorder="1" applyAlignment="1">
      <alignment horizontal="left" vertical="top" wrapText="1"/>
    </xf>
    <xf numFmtId="0" fontId="1" fillId="2" borderId="16" xfId="0" applyFont="1" applyFill="1" applyBorder="1" applyAlignment="1">
      <alignment horizontal="left" vertical="top" wrapText="1"/>
    </xf>
    <xf numFmtId="0" fontId="1" fillId="5" borderId="38" xfId="0" applyFont="1" applyFill="1" applyBorder="1" applyAlignment="1">
      <alignment horizontal="left" vertical="top" wrapText="1"/>
    </xf>
    <xf numFmtId="0" fontId="1" fillId="5" borderId="39" xfId="0" applyFont="1" applyFill="1" applyBorder="1" applyAlignment="1">
      <alignment horizontal="left" vertical="top" wrapText="1"/>
    </xf>
    <xf numFmtId="0" fontId="1" fillId="5" borderId="40" xfId="0" applyFont="1" applyFill="1" applyBorder="1" applyAlignment="1">
      <alignment horizontal="left" vertical="top" wrapText="1"/>
    </xf>
    <xf numFmtId="0" fontId="1" fillId="5" borderId="41" xfId="0" applyFont="1" applyFill="1" applyBorder="1" applyAlignment="1">
      <alignment horizontal="left" vertical="top" wrapText="1"/>
    </xf>
    <xf numFmtId="0" fontId="1" fillId="5" borderId="21" xfId="0" applyFont="1" applyFill="1" applyBorder="1" applyAlignment="1">
      <alignment horizontal="left" vertical="top" wrapText="1"/>
    </xf>
    <xf numFmtId="0" fontId="1" fillId="5" borderId="3" xfId="0" applyFont="1" applyFill="1" applyBorder="1" applyAlignment="1">
      <alignment horizontal="left" vertical="top" wrapText="1"/>
    </xf>
    <xf numFmtId="0" fontId="1" fillId="5" borderId="19" xfId="0" applyFont="1" applyFill="1" applyBorder="1" applyAlignment="1">
      <alignment horizontal="left" vertical="top" wrapText="1"/>
    </xf>
    <xf numFmtId="0" fontId="1" fillId="5" borderId="20" xfId="0" applyFont="1" applyFill="1" applyBorder="1" applyAlignment="1">
      <alignment horizontal="left" vertical="top" wrapText="1"/>
    </xf>
    <xf numFmtId="0" fontId="1" fillId="2" borderId="37" xfId="0" applyFont="1" applyFill="1" applyBorder="1" applyAlignment="1">
      <alignment horizontal="left" vertical="top" wrapText="1"/>
    </xf>
    <xf numFmtId="0" fontId="1" fillId="5" borderId="27" xfId="0" applyFont="1" applyFill="1" applyBorder="1" applyAlignment="1">
      <alignment horizontal="left" vertical="top" wrapText="1"/>
    </xf>
    <xf numFmtId="0" fontId="1" fillId="5" borderId="28" xfId="0" applyFont="1" applyFill="1" applyBorder="1" applyAlignment="1">
      <alignment horizontal="left" vertical="top" wrapText="1"/>
    </xf>
    <xf numFmtId="0" fontId="1" fillId="5" borderId="29" xfId="0" applyFont="1" applyFill="1" applyBorder="1" applyAlignment="1">
      <alignment horizontal="left" vertical="top" wrapText="1"/>
    </xf>
    <xf numFmtId="0" fontId="1" fillId="5" borderId="33" xfId="0" applyFont="1" applyFill="1" applyBorder="1" applyAlignment="1">
      <alignment horizontal="left" vertical="top" wrapText="1"/>
    </xf>
    <xf numFmtId="0" fontId="1" fillId="5" borderId="34" xfId="0" applyFont="1" applyFill="1" applyBorder="1" applyAlignment="1">
      <alignment horizontal="left" vertical="top" wrapText="1"/>
    </xf>
    <xf numFmtId="0" fontId="1" fillId="5" borderId="17"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4" borderId="13"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2" borderId="22" xfId="0" applyFont="1" applyFill="1" applyBorder="1" applyAlignment="1">
      <alignment horizontal="left" vertical="top" wrapText="1"/>
    </xf>
    <xf numFmtId="0" fontId="4" fillId="4" borderId="13" xfId="0" applyFont="1" applyFill="1" applyBorder="1" applyAlignment="1">
      <alignment horizontal="left"/>
    </xf>
    <xf numFmtId="0" fontId="4" fillId="4" borderId="3" xfId="0" applyFont="1" applyFill="1" applyBorder="1" applyAlignment="1">
      <alignment horizontal="left"/>
    </xf>
    <xf numFmtId="9" fontId="12" fillId="0" borderId="0" xfId="5" applyFont="1" applyAlignment="1">
      <alignment horizontal="right"/>
    </xf>
  </cellXfs>
  <cellStyles count="6">
    <cellStyle name="Comma" xfId="1" builtinId="3"/>
    <cellStyle name="Hyperlink" xfId="2" builtinId="8"/>
    <cellStyle name="Normal" xfId="0" builtinId="0"/>
    <cellStyle name="Normal 2 17" xfId="3"/>
    <cellStyle name="Normal 2 2" xfId="4"/>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'Table A.4 - Assets'!$U$24:$U$276</c:f>
              <c:numCache>
                <c:formatCode>_-\ #,##0_-;\-\ #,##0_-;_-\ "-"??_-;_-@_-</c:formatCode>
                <c:ptCount val="253"/>
                <c:pt idx="0">
                  <c:v>0.22382148761715981</c:v>
                </c:pt>
                <c:pt idx="1">
                  <c:v>0.22036011528870758</c:v>
                </c:pt>
                <c:pt idx="2">
                  <c:v>0.27054881772263495</c:v>
                </c:pt>
                <c:pt idx="3">
                  <c:v>0.25910340054962422</c:v>
                </c:pt>
                <c:pt idx="4">
                  <c:v>0.25907825730274525</c:v>
                </c:pt>
                <c:pt idx="5">
                  <c:v>0.25736292041173447</c:v>
                </c:pt>
                <c:pt idx="6">
                  <c:v>0.26718231710425222</c:v>
                </c:pt>
                <c:pt idx="7">
                  <c:v>0.25408544295583235</c:v>
                </c:pt>
                <c:pt idx="8">
                  <c:v>0.2430140970449004</c:v>
                </c:pt>
                <c:pt idx="9">
                  <c:v>0.25020153127944589</c:v>
                </c:pt>
                <c:pt idx="10">
                  <c:v>0.25496837737169709</c:v>
                </c:pt>
                <c:pt idx="11">
                  <c:v>0.25623122287748967</c:v>
                </c:pt>
                <c:pt idx="12">
                  <c:v>0.28603470947593346</c:v>
                </c:pt>
                <c:pt idx="13">
                  <c:v>0.25772387119030871</c:v>
                </c:pt>
                <c:pt idx="14">
                  <c:v>0.23419404635914409</c:v>
                </c:pt>
                <c:pt idx="15">
                  <c:v>0.25583933257508851</c:v>
                </c:pt>
                <c:pt idx="16">
                  <c:v>0.27221984350081607</c:v>
                </c:pt>
                <c:pt idx="17">
                  <c:v>0.29108582854500731</c:v>
                </c:pt>
                <c:pt idx="18">
                  <c:v>0.27056062931124392</c:v>
                </c:pt>
                <c:pt idx="19">
                  <c:v>0.28688076215707947</c:v>
                </c:pt>
                <c:pt idx="20">
                  <c:v>0.27922852665349374</c:v>
                </c:pt>
                <c:pt idx="21">
                  <c:v>0.30592854225922239</c:v>
                </c:pt>
                <c:pt idx="22">
                  <c:v>0.31041140523736011</c:v>
                </c:pt>
                <c:pt idx="23">
                  <c:v>0.30359811997608444</c:v>
                </c:pt>
                <c:pt idx="24">
                  <c:v>0.24412266710690633</c:v>
                </c:pt>
                <c:pt idx="25">
                  <c:v>0.2828990659702213</c:v>
                </c:pt>
                <c:pt idx="26">
                  <c:v>0.27459923250704055</c:v>
                </c:pt>
                <c:pt idx="27">
                  <c:v>0.27643973229814534</c:v>
                </c:pt>
                <c:pt idx="28">
                  <c:v>0.24563639068478849</c:v>
                </c:pt>
                <c:pt idx="29">
                  <c:v>0.24629479860638415</c:v>
                </c:pt>
                <c:pt idx="30">
                  <c:v>0.23519224026838237</c:v>
                </c:pt>
                <c:pt idx="31">
                  <c:v>0.2310300181172531</c:v>
                </c:pt>
                <c:pt idx="32">
                  <c:v>0.23785595778823398</c:v>
                </c:pt>
                <c:pt idx="33">
                  <c:v>0.22839123503265846</c:v>
                </c:pt>
                <c:pt idx="34">
                  <c:v>0.25124891015555861</c:v>
                </c:pt>
                <c:pt idx="35">
                  <c:v>0.2507901523186471</c:v>
                </c:pt>
                <c:pt idx="36">
                  <c:v>0.26763891326401756</c:v>
                </c:pt>
                <c:pt idx="37">
                  <c:v>0.21810913628621686</c:v>
                </c:pt>
                <c:pt idx="38">
                  <c:v>0.22389214814455105</c:v>
                </c:pt>
                <c:pt idx="39">
                  <c:v>0.22138695845625289</c:v>
                </c:pt>
                <c:pt idx="40">
                  <c:v>0.23456832423087581</c:v>
                </c:pt>
                <c:pt idx="41">
                  <c:v>0.22289356098377877</c:v>
                </c:pt>
                <c:pt idx="42">
                  <c:v>0.20813413481072507</c:v>
                </c:pt>
                <c:pt idx="43">
                  <c:v>0.17604865525193203</c:v>
                </c:pt>
                <c:pt idx="44">
                  <c:v>0.16247731837765289</c:v>
                </c:pt>
                <c:pt idx="45">
                  <c:v>0.13764283551440437</c:v>
                </c:pt>
                <c:pt idx="46">
                  <c:v>0.13680966050100496</c:v>
                </c:pt>
                <c:pt idx="47">
                  <c:v>0.13515339589586195</c:v>
                </c:pt>
                <c:pt idx="48">
                  <c:v>0.1814948571968853</c:v>
                </c:pt>
                <c:pt idx="49">
                  <c:v>0.1821397650386567</c:v>
                </c:pt>
                <c:pt idx="50">
                  <c:v>0.15819113770554405</c:v>
                </c:pt>
                <c:pt idx="51">
                  <c:v>0.13120985414636643</c:v>
                </c:pt>
                <c:pt idx="52">
                  <c:v>0.14371974451585268</c:v>
                </c:pt>
                <c:pt idx="53">
                  <c:v>0.11206857647939428</c:v>
                </c:pt>
                <c:pt idx="54">
                  <c:v>9.4327198550407942E-2</c:v>
                </c:pt>
                <c:pt idx="55">
                  <c:v>0.14394984216565554</c:v>
                </c:pt>
                <c:pt idx="56">
                  <c:v>0.13907433411011616</c:v>
                </c:pt>
                <c:pt idx="57">
                  <c:v>0.14058898164025457</c:v>
                </c:pt>
                <c:pt idx="58">
                  <c:v>0.11508292724630254</c:v>
                </c:pt>
                <c:pt idx="59">
                  <c:v>5.5961912908754297E-2</c:v>
                </c:pt>
                <c:pt idx="60">
                  <c:v>1.5550590506594464E-2</c:v>
                </c:pt>
                <c:pt idx="61">
                  <c:v>1.0145693095103825E-2</c:v>
                </c:pt>
                <c:pt idx="62">
                  <c:v>-3.3665131502412793E-3</c:v>
                </c:pt>
                <c:pt idx="63">
                  <c:v>8.608880135527297E-3</c:v>
                </c:pt>
                <c:pt idx="64">
                  <c:v>-2.5256086273775735E-2</c:v>
                </c:pt>
                <c:pt idx="65">
                  <c:v>-2.4386830901413692E-2</c:v>
                </c:pt>
                <c:pt idx="66">
                  <c:v>-2.5038092078714103E-3</c:v>
                </c:pt>
                <c:pt idx="67">
                  <c:v>-4.4247824443234385E-2</c:v>
                </c:pt>
                <c:pt idx="68">
                  <c:v>-7.3501806951109638E-2</c:v>
                </c:pt>
                <c:pt idx="69">
                  <c:v>-8.4470626783725411E-2</c:v>
                </c:pt>
                <c:pt idx="70">
                  <c:v>-9.8129830301951659E-2</c:v>
                </c:pt>
                <c:pt idx="71">
                  <c:v>-6.2748327605851029E-2</c:v>
                </c:pt>
                <c:pt idx="72">
                  <c:v>-5.9288340105183579E-2</c:v>
                </c:pt>
                <c:pt idx="73">
                  <c:v>-7.398684053386928E-2</c:v>
                </c:pt>
                <c:pt idx="74">
                  <c:v>-5.6950694482239106E-2</c:v>
                </c:pt>
                <c:pt idx="75">
                  <c:v>-7.0444248969430245E-2</c:v>
                </c:pt>
                <c:pt idx="76">
                  <c:v>-4.3502072611091624E-2</c:v>
                </c:pt>
                <c:pt idx="77">
                  <c:v>-3.6876075731497426E-2</c:v>
                </c:pt>
                <c:pt idx="78">
                  <c:v>-5.1765379994543559E-2</c:v>
                </c:pt>
                <c:pt idx="79">
                  <c:v>-2.5815830767645154E-2</c:v>
                </c:pt>
                <c:pt idx="80">
                  <c:v>-2.1176091322033797E-2</c:v>
                </c:pt>
                <c:pt idx="81">
                  <c:v>-6.7310974536957002E-2</c:v>
                </c:pt>
                <c:pt idx="82">
                  <c:v>-6.7730111827209338E-2</c:v>
                </c:pt>
                <c:pt idx="83">
                  <c:v>-0.11754146317876313</c:v>
                </c:pt>
                <c:pt idx="84">
                  <c:v>-0.16102978407053703</c:v>
                </c:pt>
                <c:pt idx="85">
                  <c:v>-0.1494409357724793</c:v>
                </c:pt>
                <c:pt idx="86">
                  <c:v>-0.17623098956039451</c:v>
                </c:pt>
                <c:pt idx="87">
                  <c:v>-0.19515941731856989</c:v>
                </c:pt>
                <c:pt idx="88">
                  <c:v>-0.22741773089409978</c:v>
                </c:pt>
                <c:pt idx="89">
                  <c:v>-0.23812119316743363</c:v>
                </c:pt>
                <c:pt idx="90">
                  <c:v>-0.21869474879657236</c:v>
                </c:pt>
                <c:pt idx="91">
                  <c:v>-0.23411057278601488</c:v>
                </c:pt>
                <c:pt idx="92">
                  <c:v>-0.20238215041565266</c:v>
                </c:pt>
                <c:pt idx="93">
                  <c:v>-0.1685022434827752</c:v>
                </c:pt>
                <c:pt idx="94">
                  <c:v>-0.16259609231375471</c:v>
                </c:pt>
                <c:pt idx="95">
                  <c:v>-0.12167039951781156</c:v>
                </c:pt>
                <c:pt idx="96">
                  <c:v>-0.10501884999433919</c:v>
                </c:pt>
                <c:pt idx="97">
                  <c:v>-0.13129207878152771</c:v>
                </c:pt>
                <c:pt idx="98">
                  <c:v>-0.12531295283676303</c:v>
                </c:pt>
                <c:pt idx="99">
                  <c:v>-0.10627838408647206</c:v>
                </c:pt>
                <c:pt idx="100">
                  <c:v>-8.1757404491397234E-2</c:v>
                </c:pt>
                <c:pt idx="101">
                  <c:v>-6.8308072416799259E-2</c:v>
                </c:pt>
                <c:pt idx="102">
                  <c:v>-9.6651078462140827E-2</c:v>
                </c:pt>
                <c:pt idx="103">
                  <c:v>-0.10961002880352999</c:v>
                </c:pt>
                <c:pt idx="104">
                  <c:v>-0.12819091332262167</c:v>
                </c:pt>
                <c:pt idx="105">
                  <c:v>-0.11751423712841436</c:v>
                </c:pt>
                <c:pt idx="106">
                  <c:v>-0.1254304653790137</c:v>
                </c:pt>
                <c:pt idx="107">
                  <c:v>-0.14934944672754358</c:v>
                </c:pt>
                <c:pt idx="108">
                  <c:v>-0.14438824398921857</c:v>
                </c:pt>
                <c:pt idx="109">
                  <c:v>-0.15177626231485752</c:v>
                </c:pt>
                <c:pt idx="110">
                  <c:v>-0.15253376331167634</c:v>
                </c:pt>
                <c:pt idx="111">
                  <c:v>-0.1531535555668998</c:v>
                </c:pt>
                <c:pt idx="112">
                  <c:v>-0.16134131219333747</c:v>
                </c:pt>
                <c:pt idx="113">
                  <c:v>-0.17567680972121991</c:v>
                </c:pt>
                <c:pt idx="114">
                  <c:v>-0.17193597239610892</c:v>
                </c:pt>
                <c:pt idx="115">
                  <c:v>-0.16529956736441898</c:v>
                </c:pt>
                <c:pt idx="116">
                  <c:v>-0.16230602413337158</c:v>
                </c:pt>
                <c:pt idx="117">
                  <c:v>-0.1754798422845667</c:v>
                </c:pt>
                <c:pt idx="118">
                  <c:v>-0.16117563877944874</c:v>
                </c:pt>
                <c:pt idx="119">
                  <c:v>-0.15132482848790907</c:v>
                </c:pt>
                <c:pt idx="120">
                  <c:v>-0.15260166614667492</c:v>
                </c:pt>
                <c:pt idx="121">
                  <c:v>-0.10530570995452249</c:v>
                </c:pt>
                <c:pt idx="122">
                  <c:v>-0.10144028213711909</c:v>
                </c:pt>
                <c:pt idx="123">
                  <c:v>-9.4855236817847355E-2</c:v>
                </c:pt>
                <c:pt idx="124">
                  <c:v>-0.10242620279015824</c:v>
                </c:pt>
                <c:pt idx="125">
                  <c:v>-7.7378649672191213E-2</c:v>
                </c:pt>
                <c:pt idx="126">
                  <c:v>-8.1791624830653498E-2</c:v>
                </c:pt>
                <c:pt idx="127">
                  <c:v>-7.2053276231711871E-2</c:v>
                </c:pt>
                <c:pt idx="128">
                  <c:v>-7.5079280526765602E-2</c:v>
                </c:pt>
                <c:pt idx="129">
                  <c:v>-5.3894848484444702E-2</c:v>
                </c:pt>
                <c:pt idx="130">
                  <c:v>-7.4008741680427703E-2</c:v>
                </c:pt>
                <c:pt idx="131">
                  <c:v>-7.4461836755911559E-2</c:v>
                </c:pt>
                <c:pt idx="132">
                  <c:v>-4.8624477095225327E-2</c:v>
                </c:pt>
                <c:pt idx="133">
                  <c:v>-7.3150616699260596E-2</c:v>
                </c:pt>
                <c:pt idx="134">
                  <c:v>-5.7966301076012861E-2</c:v>
                </c:pt>
                <c:pt idx="135">
                  <c:v>-8.4066842782932971E-2</c:v>
                </c:pt>
                <c:pt idx="136">
                  <c:v>-7.6890942940651463E-2</c:v>
                </c:pt>
                <c:pt idx="137">
                  <c:v>-9.9361671020581577E-2</c:v>
                </c:pt>
                <c:pt idx="138">
                  <c:v>-8.8630390068213161E-2</c:v>
                </c:pt>
                <c:pt idx="139">
                  <c:v>-0.10439117139278498</c:v>
                </c:pt>
                <c:pt idx="140">
                  <c:v>-0.11698415438648124</c:v>
                </c:pt>
                <c:pt idx="141">
                  <c:v>-0.11040773559715411</c:v>
                </c:pt>
                <c:pt idx="142">
                  <c:v>-9.3511835500921014E-2</c:v>
                </c:pt>
                <c:pt idx="143">
                  <c:v>-0.10544835463978885</c:v>
                </c:pt>
                <c:pt idx="144">
                  <c:v>-0.11828548571791642</c:v>
                </c:pt>
                <c:pt idx="145">
                  <c:v>-8.7396189402215385E-2</c:v>
                </c:pt>
                <c:pt idx="146">
                  <c:v>-0.11299563678032587</c:v>
                </c:pt>
                <c:pt idx="147">
                  <c:v>-8.5699224111030037E-2</c:v>
                </c:pt>
                <c:pt idx="148">
                  <c:v>-8.7659595008809377E-2</c:v>
                </c:pt>
                <c:pt idx="149">
                  <c:v>-8.2376309192179198E-2</c:v>
                </c:pt>
                <c:pt idx="150">
                  <c:v>-6.7739336809215067E-2</c:v>
                </c:pt>
                <c:pt idx="151">
                  <c:v>-5.4091766699529753E-2</c:v>
                </c:pt>
                <c:pt idx="152">
                  <c:v>-4.4187544669899492E-2</c:v>
                </c:pt>
                <c:pt idx="153">
                  <c:v>-5.9011732373339898E-2</c:v>
                </c:pt>
                <c:pt idx="154">
                  <c:v>-6.5666612985225026E-2</c:v>
                </c:pt>
                <c:pt idx="155">
                  <c:v>-3.7270605732960815E-2</c:v>
                </c:pt>
                <c:pt idx="156">
                  <c:v>-3.2861281663683295E-2</c:v>
                </c:pt>
                <c:pt idx="157">
                  <c:v>-5.3066077579896009E-2</c:v>
                </c:pt>
                <c:pt idx="158">
                  <c:v>-3.6677570286944627E-2</c:v>
                </c:pt>
                <c:pt idx="159">
                  <c:v>-3.4829316137925503E-2</c:v>
                </c:pt>
                <c:pt idx="160">
                  <c:v>-4.8637932858919042E-2</c:v>
                </c:pt>
                <c:pt idx="161">
                  <c:v>-4.4465101996198242E-2</c:v>
                </c:pt>
                <c:pt idx="162">
                  <c:v>-5.3325963024135503E-2</c:v>
                </c:pt>
                <c:pt idx="163">
                  <c:v>-5.440284243405058E-2</c:v>
                </c:pt>
                <c:pt idx="164">
                  <c:v>-4.7092118675894579E-2</c:v>
                </c:pt>
                <c:pt idx="165">
                  <c:v>-4.2651771969818064E-2</c:v>
                </c:pt>
                <c:pt idx="166">
                  <c:v>-5.9306324194161597E-2</c:v>
                </c:pt>
                <c:pt idx="167">
                  <c:v>-6.4805356940188408E-2</c:v>
                </c:pt>
                <c:pt idx="168">
                  <c:v>-7.4900259427092886E-2</c:v>
                </c:pt>
                <c:pt idx="169">
                  <c:v>-6.2527079492647131E-2</c:v>
                </c:pt>
                <c:pt idx="170">
                  <c:v>-4.0972783384625955E-2</c:v>
                </c:pt>
                <c:pt idx="171">
                  <c:v>-5.0661745772895062E-2</c:v>
                </c:pt>
                <c:pt idx="172">
                  <c:v>-1.9428257609067745E-2</c:v>
                </c:pt>
                <c:pt idx="173">
                  <c:v>-2.2061109500371989E-2</c:v>
                </c:pt>
                <c:pt idx="174">
                  <c:v>-1.5726898589468519E-2</c:v>
                </c:pt>
                <c:pt idx="175">
                  <c:v>-1.5561585175820514E-2</c:v>
                </c:pt>
                <c:pt idx="176">
                  <c:v>-2.0569709339151254E-2</c:v>
                </c:pt>
                <c:pt idx="177">
                  <c:v>-2.2861189751916866E-2</c:v>
                </c:pt>
                <c:pt idx="178">
                  <c:v>1.2664390070400433E-3</c:v>
                </c:pt>
                <c:pt idx="179">
                  <c:v>8.643131430227502E-2</c:v>
                </c:pt>
                <c:pt idx="180">
                  <c:v>0.12105597463669304</c:v>
                </c:pt>
                <c:pt idx="181">
                  <c:v>9.9835974952197093E-2</c:v>
                </c:pt>
                <c:pt idx="182">
                  <c:v>0.14121932810922933</c:v>
                </c:pt>
                <c:pt idx="183">
                  <c:v>0.15747047665888547</c:v>
                </c:pt>
                <c:pt idx="184">
                  <c:v>0.12585870759632778</c:v>
                </c:pt>
                <c:pt idx="185">
                  <c:v>0.15333934615075506</c:v>
                </c:pt>
                <c:pt idx="186">
                  <c:v>0.19588376772127702</c:v>
                </c:pt>
                <c:pt idx="187">
                  <c:v>0.21686141452587115</c:v>
                </c:pt>
                <c:pt idx="188">
                  <c:v>0.21818351659603819</c:v>
                </c:pt>
                <c:pt idx="189">
                  <c:v>0.23878575770546395</c:v>
                </c:pt>
                <c:pt idx="190">
                  <c:v>0.22991869160219891</c:v>
                </c:pt>
                <c:pt idx="191">
                  <c:v>0.12592093658354409</c:v>
                </c:pt>
                <c:pt idx="192">
                  <c:v>0.11026657566366338</c:v>
                </c:pt>
                <c:pt idx="193">
                  <c:v>0.15610163654011266</c:v>
                </c:pt>
                <c:pt idx="194">
                  <c:v>0.13887531791426255</c:v>
                </c:pt>
                <c:pt idx="195">
                  <c:v>0.13518474545556791</c:v>
                </c:pt>
                <c:pt idx="196">
                  <c:v>0.12590045841519326</c:v>
                </c:pt>
                <c:pt idx="197">
                  <c:v>0.10099694629064127</c:v>
                </c:pt>
                <c:pt idx="198">
                  <c:v>6.6270010847769623E-2</c:v>
                </c:pt>
                <c:pt idx="199">
                  <c:v>3.4425130742298693E-2</c:v>
                </c:pt>
                <c:pt idx="200">
                  <c:v>4.991557603686636E-2</c:v>
                </c:pt>
                <c:pt idx="201">
                  <c:v>5.704791037257162E-2</c:v>
                </c:pt>
                <c:pt idx="202">
                  <c:v>0.10047160109519981</c:v>
                </c:pt>
                <c:pt idx="203">
                  <c:v>0.11950560027483115</c:v>
                </c:pt>
                <c:pt idx="204">
                  <c:v>0.12977579728368371</c:v>
                </c:pt>
                <c:pt idx="205">
                  <c:v>9.8808933285439826E-2</c:v>
                </c:pt>
                <c:pt idx="206">
                  <c:v>7.5979171695575776E-2</c:v>
                </c:pt>
                <c:pt idx="207">
                  <c:v>8.916286731465517E-2</c:v>
                </c:pt>
                <c:pt idx="208">
                  <c:v>7.5647923401304329E-2</c:v>
                </c:pt>
                <c:pt idx="209">
                  <c:v>9.9986919702444332E-2</c:v>
                </c:pt>
                <c:pt idx="210">
                  <c:v>0.11379541320657949</c:v>
                </c:pt>
                <c:pt idx="211">
                  <c:v>0.12431102907638469</c:v>
                </c:pt>
                <c:pt idx="212">
                  <c:v>0.11473312227693699</c:v>
                </c:pt>
                <c:pt idx="213">
                  <c:v>9.8759514463632847E-2</c:v>
                </c:pt>
                <c:pt idx="214">
                  <c:v>7.7631115011121299E-2</c:v>
                </c:pt>
                <c:pt idx="215">
                  <c:v>1.06186402902535E-2</c:v>
                </c:pt>
                <c:pt idx="216">
                  <c:v>6.2115989419532225E-2</c:v>
                </c:pt>
                <c:pt idx="217">
                  <c:v>6.4380004047343453E-2</c:v>
                </c:pt>
                <c:pt idx="218">
                  <c:v>6.3446564229839408E-2</c:v>
                </c:pt>
                <c:pt idx="219">
                  <c:v>0.10581590751152947</c:v>
                </c:pt>
                <c:pt idx="220">
                  <c:v>0.12242887151116832</c:v>
                </c:pt>
                <c:pt idx="221">
                  <c:v>7.7422728789655393E-2</c:v>
                </c:pt>
                <c:pt idx="222">
                  <c:v>0.10576608540298427</c:v>
                </c:pt>
                <c:pt idx="223">
                  <c:v>0.13713439317133713</c:v>
                </c:pt>
                <c:pt idx="224">
                  <c:v>0.16965429824572453</c:v>
                </c:pt>
                <c:pt idx="225">
                  <c:v>0.15967945360614699</c:v>
                </c:pt>
                <c:pt idx="226">
                  <c:v>0.11403970577381983</c:v>
                </c:pt>
                <c:pt idx="227">
                  <c:v>0.13540743687970913</c:v>
                </c:pt>
                <c:pt idx="228">
                  <c:v>6.7911795922669382E-2</c:v>
                </c:pt>
                <c:pt idx="229">
                  <c:v>7.2738130785308996E-2</c:v>
                </c:pt>
                <c:pt idx="230">
                  <c:v>4.0770297149056667E-2</c:v>
                </c:pt>
                <c:pt idx="231">
                  <c:v>6.7230500983777031E-3</c:v>
                </c:pt>
                <c:pt idx="232">
                  <c:v>8.6773796812499748E-2</c:v>
                </c:pt>
                <c:pt idx="233">
                  <c:v>5.2525770381921522E-2</c:v>
                </c:pt>
                <c:pt idx="234">
                  <c:v>2.1367983297018167E-3</c:v>
                </c:pt>
                <c:pt idx="235">
                  <c:v>-1.415487001548188E-2</c:v>
                </c:pt>
                <c:pt idx="236">
                  <c:v>-3.3479154031685554E-2</c:v>
                </c:pt>
                <c:pt idx="237">
                  <c:v>-3.8014387434600172E-2</c:v>
                </c:pt>
                <c:pt idx="238">
                  <c:v>-3.7111954174266715E-2</c:v>
                </c:pt>
                <c:pt idx="239">
                  <c:v>-2.3123492823187153E-2</c:v>
                </c:pt>
                <c:pt idx="240">
                  <c:v>3.9904193211122152E-3</c:v>
                </c:pt>
                <c:pt idx="241">
                  <c:v>-9.351421913752378E-3</c:v>
                </c:pt>
                <c:pt idx="242">
                  <c:v>9.9540058676976795E-3</c:v>
                </c:pt>
                <c:pt idx="243">
                  <c:v>-6.7848395495538893E-3</c:v>
                </c:pt>
                <c:pt idx="244">
                  <c:v>-5.8426494548856733E-2</c:v>
                </c:pt>
                <c:pt idx="245">
                  <c:v>-9.6448955568534389E-3</c:v>
                </c:pt>
                <c:pt idx="246">
                  <c:v>-3.1438650352024755E-3</c:v>
                </c:pt>
                <c:pt idx="247">
                  <c:v>-3.5185028606860014E-3</c:v>
                </c:pt>
                <c:pt idx="248">
                  <c:v>-6.4565384572518036E-3</c:v>
                </c:pt>
                <c:pt idx="249">
                  <c:v>2.8304085442236726E-2</c:v>
                </c:pt>
                <c:pt idx="250">
                  <c:v>9.1881478763416125E-2</c:v>
                </c:pt>
                <c:pt idx="251">
                  <c:v>7.56039251595364E-2</c:v>
                </c:pt>
                <c:pt idx="252">
                  <c:v>6.8820343524452099E-2</c:v>
                </c:pt>
              </c:numCache>
            </c:numRef>
          </c:val>
          <c:smooth val="0"/>
          <c:extLst>
            <c:ext xmlns:c16="http://schemas.microsoft.com/office/drawing/2014/chart" uri="{C3380CC4-5D6E-409C-BE32-E72D297353CC}">
              <c16:uniqueId val="{00000000-85DD-481F-90C7-CAB748054FDF}"/>
            </c:ext>
          </c:extLst>
        </c:ser>
        <c:dLbls>
          <c:showLegendKey val="0"/>
          <c:showVal val="0"/>
          <c:showCatName val="0"/>
          <c:showSerName val="0"/>
          <c:showPercent val="0"/>
          <c:showBubbleSize val="0"/>
        </c:dLbls>
        <c:smooth val="0"/>
        <c:axId val="678248536"/>
        <c:axId val="678252472"/>
      </c:lineChart>
      <c:catAx>
        <c:axId val="678248536"/>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252472"/>
        <c:crosses val="autoZero"/>
        <c:auto val="1"/>
        <c:lblAlgn val="ctr"/>
        <c:lblOffset val="100"/>
        <c:noMultiLvlLbl val="0"/>
      </c:catAx>
      <c:valAx>
        <c:axId val="67825247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248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'Table A.4 - Liabilities'!$B$12:$B$276</c:f>
              <c:numCache>
                <c:formatCode>mmm</c:formatCode>
                <c:ptCount val="265"/>
                <c:pt idx="0">
                  <c:v>37652</c:v>
                </c:pt>
                <c:pt idx="1">
                  <c:v>37680</c:v>
                </c:pt>
                <c:pt idx="2">
                  <c:v>37711</c:v>
                </c:pt>
                <c:pt idx="3">
                  <c:v>37741</c:v>
                </c:pt>
                <c:pt idx="4">
                  <c:v>37771</c:v>
                </c:pt>
                <c:pt idx="5">
                  <c:v>37802</c:v>
                </c:pt>
                <c:pt idx="6">
                  <c:v>37833</c:v>
                </c:pt>
                <c:pt idx="7">
                  <c:v>37862</c:v>
                </c:pt>
                <c:pt idx="8">
                  <c:v>37894</c:v>
                </c:pt>
                <c:pt idx="9">
                  <c:v>37925</c:v>
                </c:pt>
                <c:pt idx="10">
                  <c:v>37953</c:v>
                </c:pt>
                <c:pt idx="11">
                  <c:v>37986</c:v>
                </c:pt>
                <c:pt idx="12">
                  <c:v>38016</c:v>
                </c:pt>
                <c:pt idx="13">
                  <c:v>38044</c:v>
                </c:pt>
                <c:pt idx="14">
                  <c:v>38077</c:v>
                </c:pt>
                <c:pt idx="15">
                  <c:v>38107</c:v>
                </c:pt>
                <c:pt idx="16">
                  <c:v>38138</c:v>
                </c:pt>
                <c:pt idx="17">
                  <c:v>38168</c:v>
                </c:pt>
                <c:pt idx="18">
                  <c:v>38198</c:v>
                </c:pt>
                <c:pt idx="19">
                  <c:v>38230</c:v>
                </c:pt>
                <c:pt idx="20">
                  <c:v>38260</c:v>
                </c:pt>
                <c:pt idx="21">
                  <c:v>38289</c:v>
                </c:pt>
                <c:pt idx="22">
                  <c:v>38321</c:v>
                </c:pt>
                <c:pt idx="23">
                  <c:v>38352</c:v>
                </c:pt>
                <c:pt idx="24">
                  <c:v>38383</c:v>
                </c:pt>
                <c:pt idx="25">
                  <c:v>38411</c:v>
                </c:pt>
                <c:pt idx="26">
                  <c:v>38442</c:v>
                </c:pt>
                <c:pt idx="27">
                  <c:v>38471</c:v>
                </c:pt>
                <c:pt idx="28">
                  <c:v>38503</c:v>
                </c:pt>
                <c:pt idx="29">
                  <c:v>38533</c:v>
                </c:pt>
                <c:pt idx="30">
                  <c:v>38562</c:v>
                </c:pt>
                <c:pt idx="31">
                  <c:v>38595</c:v>
                </c:pt>
                <c:pt idx="32">
                  <c:v>38625</c:v>
                </c:pt>
                <c:pt idx="33">
                  <c:v>38653</c:v>
                </c:pt>
                <c:pt idx="34">
                  <c:v>38686</c:v>
                </c:pt>
                <c:pt idx="35">
                  <c:v>38716</c:v>
                </c:pt>
                <c:pt idx="36">
                  <c:v>38748</c:v>
                </c:pt>
                <c:pt idx="37">
                  <c:v>38776</c:v>
                </c:pt>
                <c:pt idx="38">
                  <c:v>38807</c:v>
                </c:pt>
                <c:pt idx="39">
                  <c:v>38835</c:v>
                </c:pt>
                <c:pt idx="40">
                  <c:v>38868</c:v>
                </c:pt>
                <c:pt idx="41">
                  <c:v>38898</c:v>
                </c:pt>
                <c:pt idx="42">
                  <c:v>38929</c:v>
                </c:pt>
                <c:pt idx="43">
                  <c:v>38960</c:v>
                </c:pt>
                <c:pt idx="44">
                  <c:v>38989</c:v>
                </c:pt>
                <c:pt idx="45">
                  <c:v>39021</c:v>
                </c:pt>
                <c:pt idx="46">
                  <c:v>39051</c:v>
                </c:pt>
                <c:pt idx="47">
                  <c:v>39080</c:v>
                </c:pt>
                <c:pt idx="48">
                  <c:v>39113</c:v>
                </c:pt>
                <c:pt idx="49">
                  <c:v>39141</c:v>
                </c:pt>
                <c:pt idx="50">
                  <c:v>39171</c:v>
                </c:pt>
                <c:pt idx="51">
                  <c:v>39202</c:v>
                </c:pt>
                <c:pt idx="52">
                  <c:v>39233</c:v>
                </c:pt>
                <c:pt idx="53">
                  <c:v>39262</c:v>
                </c:pt>
                <c:pt idx="54">
                  <c:v>39294</c:v>
                </c:pt>
                <c:pt idx="55">
                  <c:v>39325</c:v>
                </c:pt>
                <c:pt idx="56">
                  <c:v>39353</c:v>
                </c:pt>
                <c:pt idx="57">
                  <c:v>39386</c:v>
                </c:pt>
                <c:pt idx="58">
                  <c:v>39416</c:v>
                </c:pt>
                <c:pt idx="59">
                  <c:v>39447</c:v>
                </c:pt>
                <c:pt idx="60">
                  <c:v>39478</c:v>
                </c:pt>
                <c:pt idx="61">
                  <c:v>39507</c:v>
                </c:pt>
                <c:pt idx="62">
                  <c:v>39538</c:v>
                </c:pt>
                <c:pt idx="63">
                  <c:v>39568</c:v>
                </c:pt>
                <c:pt idx="64">
                  <c:v>39598</c:v>
                </c:pt>
                <c:pt idx="65">
                  <c:v>39629</c:v>
                </c:pt>
                <c:pt idx="66">
                  <c:v>39660</c:v>
                </c:pt>
                <c:pt idx="67">
                  <c:v>39689</c:v>
                </c:pt>
                <c:pt idx="68">
                  <c:v>39721</c:v>
                </c:pt>
                <c:pt idx="69">
                  <c:v>39752</c:v>
                </c:pt>
                <c:pt idx="70">
                  <c:v>39780</c:v>
                </c:pt>
                <c:pt idx="71">
                  <c:v>39813</c:v>
                </c:pt>
                <c:pt idx="72">
                  <c:v>39843</c:v>
                </c:pt>
                <c:pt idx="73">
                  <c:v>39871</c:v>
                </c:pt>
                <c:pt idx="74">
                  <c:v>39903</c:v>
                </c:pt>
                <c:pt idx="75">
                  <c:v>39933</c:v>
                </c:pt>
                <c:pt idx="76">
                  <c:v>39962</c:v>
                </c:pt>
                <c:pt idx="77">
                  <c:v>39994</c:v>
                </c:pt>
                <c:pt idx="78">
                  <c:v>40025</c:v>
                </c:pt>
                <c:pt idx="79">
                  <c:v>40056</c:v>
                </c:pt>
                <c:pt idx="80">
                  <c:v>40086</c:v>
                </c:pt>
                <c:pt idx="81">
                  <c:v>40116</c:v>
                </c:pt>
                <c:pt idx="82">
                  <c:v>40147</c:v>
                </c:pt>
                <c:pt idx="83">
                  <c:v>40178</c:v>
                </c:pt>
                <c:pt idx="84">
                  <c:v>40207</c:v>
                </c:pt>
                <c:pt idx="85">
                  <c:v>40235</c:v>
                </c:pt>
                <c:pt idx="86">
                  <c:v>40268</c:v>
                </c:pt>
                <c:pt idx="87">
                  <c:v>40298</c:v>
                </c:pt>
                <c:pt idx="88">
                  <c:v>40329</c:v>
                </c:pt>
                <c:pt idx="89">
                  <c:v>40359</c:v>
                </c:pt>
                <c:pt idx="90">
                  <c:v>40389</c:v>
                </c:pt>
                <c:pt idx="91">
                  <c:v>40421</c:v>
                </c:pt>
                <c:pt idx="92">
                  <c:v>40451</c:v>
                </c:pt>
                <c:pt idx="93">
                  <c:v>40480</c:v>
                </c:pt>
                <c:pt idx="94">
                  <c:v>40512</c:v>
                </c:pt>
                <c:pt idx="95">
                  <c:v>40543</c:v>
                </c:pt>
                <c:pt idx="96">
                  <c:v>40574</c:v>
                </c:pt>
                <c:pt idx="97">
                  <c:v>40602</c:v>
                </c:pt>
                <c:pt idx="98">
                  <c:v>40633</c:v>
                </c:pt>
                <c:pt idx="99">
                  <c:v>40662</c:v>
                </c:pt>
                <c:pt idx="100">
                  <c:v>40694</c:v>
                </c:pt>
                <c:pt idx="101">
                  <c:v>40724</c:v>
                </c:pt>
                <c:pt idx="102">
                  <c:v>40753</c:v>
                </c:pt>
                <c:pt idx="103">
                  <c:v>40786</c:v>
                </c:pt>
                <c:pt idx="104">
                  <c:v>40816</c:v>
                </c:pt>
                <c:pt idx="105">
                  <c:v>40844</c:v>
                </c:pt>
                <c:pt idx="106">
                  <c:v>40877</c:v>
                </c:pt>
                <c:pt idx="107">
                  <c:v>40907</c:v>
                </c:pt>
                <c:pt idx="108">
                  <c:v>40939</c:v>
                </c:pt>
                <c:pt idx="109">
                  <c:v>40968</c:v>
                </c:pt>
                <c:pt idx="110">
                  <c:v>40998</c:v>
                </c:pt>
                <c:pt idx="111">
                  <c:v>41029</c:v>
                </c:pt>
                <c:pt idx="112">
                  <c:v>41060</c:v>
                </c:pt>
                <c:pt idx="113">
                  <c:v>41089</c:v>
                </c:pt>
                <c:pt idx="114">
                  <c:v>41121</c:v>
                </c:pt>
                <c:pt idx="115">
                  <c:v>41152</c:v>
                </c:pt>
                <c:pt idx="116">
                  <c:v>41180</c:v>
                </c:pt>
                <c:pt idx="117">
                  <c:v>41213</c:v>
                </c:pt>
                <c:pt idx="118">
                  <c:v>41243</c:v>
                </c:pt>
                <c:pt idx="119">
                  <c:v>41274</c:v>
                </c:pt>
                <c:pt idx="120">
                  <c:v>41305</c:v>
                </c:pt>
                <c:pt idx="121">
                  <c:v>41333</c:v>
                </c:pt>
                <c:pt idx="122">
                  <c:v>41361</c:v>
                </c:pt>
                <c:pt idx="123">
                  <c:v>41394</c:v>
                </c:pt>
                <c:pt idx="124">
                  <c:v>41425</c:v>
                </c:pt>
                <c:pt idx="125">
                  <c:v>41453</c:v>
                </c:pt>
                <c:pt idx="126">
                  <c:v>41486</c:v>
                </c:pt>
                <c:pt idx="127">
                  <c:v>41516</c:v>
                </c:pt>
                <c:pt idx="128">
                  <c:v>41547</c:v>
                </c:pt>
                <c:pt idx="129">
                  <c:v>41578</c:v>
                </c:pt>
                <c:pt idx="130">
                  <c:v>41607</c:v>
                </c:pt>
                <c:pt idx="131">
                  <c:v>41639</c:v>
                </c:pt>
                <c:pt idx="132">
                  <c:v>41670</c:v>
                </c:pt>
                <c:pt idx="133">
                  <c:v>41698</c:v>
                </c:pt>
                <c:pt idx="134">
                  <c:v>41729</c:v>
                </c:pt>
                <c:pt idx="135">
                  <c:v>41759</c:v>
                </c:pt>
                <c:pt idx="136">
                  <c:v>41789</c:v>
                </c:pt>
                <c:pt idx="137">
                  <c:v>41820</c:v>
                </c:pt>
                <c:pt idx="138">
                  <c:v>41851</c:v>
                </c:pt>
                <c:pt idx="139">
                  <c:v>41880</c:v>
                </c:pt>
                <c:pt idx="140">
                  <c:v>41912</c:v>
                </c:pt>
                <c:pt idx="141">
                  <c:v>41943</c:v>
                </c:pt>
                <c:pt idx="142">
                  <c:v>41971</c:v>
                </c:pt>
                <c:pt idx="143">
                  <c:v>42004</c:v>
                </c:pt>
                <c:pt idx="144">
                  <c:v>42034</c:v>
                </c:pt>
                <c:pt idx="145">
                  <c:v>42062</c:v>
                </c:pt>
                <c:pt idx="146">
                  <c:v>42094</c:v>
                </c:pt>
                <c:pt idx="147">
                  <c:v>42124</c:v>
                </c:pt>
                <c:pt idx="148">
                  <c:v>42153</c:v>
                </c:pt>
                <c:pt idx="149">
                  <c:v>42185</c:v>
                </c:pt>
                <c:pt idx="150">
                  <c:v>42216</c:v>
                </c:pt>
                <c:pt idx="151">
                  <c:v>42247</c:v>
                </c:pt>
                <c:pt idx="152">
                  <c:v>42277</c:v>
                </c:pt>
                <c:pt idx="153">
                  <c:v>42307</c:v>
                </c:pt>
                <c:pt idx="154">
                  <c:v>42338</c:v>
                </c:pt>
                <c:pt idx="155">
                  <c:v>42369</c:v>
                </c:pt>
                <c:pt idx="156">
                  <c:v>42398</c:v>
                </c:pt>
                <c:pt idx="157">
                  <c:v>42429</c:v>
                </c:pt>
                <c:pt idx="158">
                  <c:v>42460</c:v>
                </c:pt>
                <c:pt idx="159">
                  <c:v>42489</c:v>
                </c:pt>
                <c:pt idx="160">
                  <c:v>42521</c:v>
                </c:pt>
                <c:pt idx="161">
                  <c:v>42551</c:v>
                </c:pt>
                <c:pt idx="162">
                  <c:v>42580</c:v>
                </c:pt>
                <c:pt idx="163">
                  <c:v>42613</c:v>
                </c:pt>
                <c:pt idx="164">
                  <c:v>42643</c:v>
                </c:pt>
                <c:pt idx="165">
                  <c:v>42671</c:v>
                </c:pt>
                <c:pt idx="166">
                  <c:v>42704</c:v>
                </c:pt>
                <c:pt idx="167">
                  <c:v>42734</c:v>
                </c:pt>
                <c:pt idx="168">
                  <c:v>42766</c:v>
                </c:pt>
                <c:pt idx="169">
                  <c:v>42794</c:v>
                </c:pt>
                <c:pt idx="170">
                  <c:v>42825</c:v>
                </c:pt>
                <c:pt idx="171">
                  <c:v>42853</c:v>
                </c:pt>
                <c:pt idx="172">
                  <c:v>42886</c:v>
                </c:pt>
                <c:pt idx="173">
                  <c:v>42916</c:v>
                </c:pt>
                <c:pt idx="174">
                  <c:v>42947</c:v>
                </c:pt>
                <c:pt idx="175">
                  <c:v>42978</c:v>
                </c:pt>
                <c:pt idx="176">
                  <c:v>43007</c:v>
                </c:pt>
                <c:pt idx="177">
                  <c:v>43039</c:v>
                </c:pt>
                <c:pt idx="178">
                  <c:v>43069</c:v>
                </c:pt>
                <c:pt idx="179">
                  <c:v>43098</c:v>
                </c:pt>
                <c:pt idx="180">
                  <c:v>43131</c:v>
                </c:pt>
                <c:pt idx="181">
                  <c:v>43159</c:v>
                </c:pt>
                <c:pt idx="182">
                  <c:v>43188</c:v>
                </c:pt>
                <c:pt idx="183">
                  <c:v>43220</c:v>
                </c:pt>
                <c:pt idx="184">
                  <c:v>43251</c:v>
                </c:pt>
                <c:pt idx="185">
                  <c:v>43280</c:v>
                </c:pt>
                <c:pt idx="186">
                  <c:v>43312</c:v>
                </c:pt>
                <c:pt idx="187">
                  <c:v>43343</c:v>
                </c:pt>
                <c:pt idx="188">
                  <c:v>43371</c:v>
                </c:pt>
                <c:pt idx="189">
                  <c:v>43404</c:v>
                </c:pt>
                <c:pt idx="190">
                  <c:v>43434</c:v>
                </c:pt>
                <c:pt idx="191">
                  <c:v>43465</c:v>
                </c:pt>
                <c:pt idx="192">
                  <c:v>43496</c:v>
                </c:pt>
                <c:pt idx="193">
                  <c:v>43524</c:v>
                </c:pt>
                <c:pt idx="194">
                  <c:v>43553</c:v>
                </c:pt>
                <c:pt idx="195">
                  <c:v>43585</c:v>
                </c:pt>
                <c:pt idx="196">
                  <c:v>43616</c:v>
                </c:pt>
                <c:pt idx="197">
                  <c:v>43644</c:v>
                </c:pt>
                <c:pt idx="198">
                  <c:v>43677</c:v>
                </c:pt>
                <c:pt idx="199">
                  <c:v>43707</c:v>
                </c:pt>
                <c:pt idx="200">
                  <c:v>43738</c:v>
                </c:pt>
                <c:pt idx="201">
                  <c:v>43769</c:v>
                </c:pt>
                <c:pt idx="202">
                  <c:v>43798</c:v>
                </c:pt>
                <c:pt idx="203">
                  <c:v>43830</c:v>
                </c:pt>
                <c:pt idx="204">
                  <c:v>43861</c:v>
                </c:pt>
                <c:pt idx="205">
                  <c:v>43889</c:v>
                </c:pt>
                <c:pt idx="206">
                  <c:v>43921</c:v>
                </c:pt>
                <c:pt idx="207">
                  <c:v>43951</c:v>
                </c:pt>
                <c:pt idx="208">
                  <c:v>43980</c:v>
                </c:pt>
                <c:pt idx="209">
                  <c:v>44012</c:v>
                </c:pt>
                <c:pt idx="210">
                  <c:v>44043</c:v>
                </c:pt>
                <c:pt idx="211">
                  <c:v>44074</c:v>
                </c:pt>
                <c:pt idx="212">
                  <c:v>44104</c:v>
                </c:pt>
                <c:pt idx="213">
                  <c:v>44134</c:v>
                </c:pt>
                <c:pt idx="214">
                  <c:v>44165</c:v>
                </c:pt>
                <c:pt idx="215">
                  <c:v>44196</c:v>
                </c:pt>
                <c:pt idx="216">
                  <c:v>44225</c:v>
                </c:pt>
                <c:pt idx="217">
                  <c:v>44253</c:v>
                </c:pt>
                <c:pt idx="218">
                  <c:v>44286</c:v>
                </c:pt>
                <c:pt idx="219">
                  <c:v>44316</c:v>
                </c:pt>
                <c:pt idx="220">
                  <c:v>44347</c:v>
                </c:pt>
                <c:pt idx="221">
                  <c:v>44377</c:v>
                </c:pt>
                <c:pt idx="222">
                  <c:v>44407</c:v>
                </c:pt>
                <c:pt idx="223">
                  <c:v>44439</c:v>
                </c:pt>
                <c:pt idx="224">
                  <c:v>44469</c:v>
                </c:pt>
                <c:pt idx="225">
                  <c:v>44498</c:v>
                </c:pt>
                <c:pt idx="226">
                  <c:v>44530</c:v>
                </c:pt>
                <c:pt idx="227">
                  <c:v>44561</c:v>
                </c:pt>
                <c:pt idx="228">
                  <c:v>44592</c:v>
                </c:pt>
                <c:pt idx="229">
                  <c:v>44620</c:v>
                </c:pt>
                <c:pt idx="230">
                  <c:v>44651</c:v>
                </c:pt>
                <c:pt idx="231">
                  <c:v>44680</c:v>
                </c:pt>
                <c:pt idx="232">
                  <c:v>44712</c:v>
                </c:pt>
                <c:pt idx="233">
                  <c:v>44742</c:v>
                </c:pt>
                <c:pt idx="234">
                  <c:v>44771</c:v>
                </c:pt>
                <c:pt idx="235">
                  <c:v>44804</c:v>
                </c:pt>
                <c:pt idx="236">
                  <c:v>44834</c:v>
                </c:pt>
                <c:pt idx="237">
                  <c:v>44862</c:v>
                </c:pt>
                <c:pt idx="238">
                  <c:v>44895</c:v>
                </c:pt>
                <c:pt idx="239">
                  <c:v>44925</c:v>
                </c:pt>
                <c:pt idx="240">
                  <c:v>44957</c:v>
                </c:pt>
                <c:pt idx="241">
                  <c:v>44985</c:v>
                </c:pt>
                <c:pt idx="242">
                  <c:v>45016</c:v>
                </c:pt>
                <c:pt idx="243">
                  <c:v>45044</c:v>
                </c:pt>
                <c:pt idx="244">
                  <c:v>45077</c:v>
                </c:pt>
                <c:pt idx="245">
                  <c:v>45107</c:v>
                </c:pt>
                <c:pt idx="246">
                  <c:v>45138</c:v>
                </c:pt>
                <c:pt idx="247">
                  <c:v>45169</c:v>
                </c:pt>
                <c:pt idx="248">
                  <c:v>45198</c:v>
                </c:pt>
                <c:pt idx="249">
                  <c:v>45230</c:v>
                </c:pt>
                <c:pt idx="250">
                  <c:v>45260</c:v>
                </c:pt>
                <c:pt idx="251">
                  <c:v>45289</c:v>
                </c:pt>
                <c:pt idx="252">
                  <c:v>45322</c:v>
                </c:pt>
                <c:pt idx="253">
                  <c:v>45351</c:v>
                </c:pt>
                <c:pt idx="254">
                  <c:v>45379</c:v>
                </c:pt>
                <c:pt idx="255">
                  <c:v>45412</c:v>
                </c:pt>
                <c:pt idx="256">
                  <c:v>45443</c:v>
                </c:pt>
                <c:pt idx="257">
                  <c:v>45471</c:v>
                </c:pt>
                <c:pt idx="258">
                  <c:v>45504</c:v>
                </c:pt>
                <c:pt idx="259">
                  <c:v>45534</c:v>
                </c:pt>
                <c:pt idx="260">
                  <c:v>45565</c:v>
                </c:pt>
                <c:pt idx="261">
                  <c:v>45596</c:v>
                </c:pt>
                <c:pt idx="262">
                  <c:v>45625</c:v>
                </c:pt>
                <c:pt idx="263">
                  <c:v>45657</c:v>
                </c:pt>
                <c:pt idx="264">
                  <c:v>45688</c:v>
                </c:pt>
              </c:numCache>
            </c:numRef>
          </c:cat>
          <c:val>
            <c:numRef>
              <c:f>'Table A.4 - Liabilities'!$S$12:$S$276</c:f>
              <c:numCache>
                <c:formatCode>0%</c:formatCode>
                <c:ptCount val="265"/>
                <c:pt idx="0">
                  <c:v>7.1543669444485189E-2</c:v>
                </c:pt>
                <c:pt idx="1">
                  <c:v>6.9430276239515532E-2</c:v>
                </c:pt>
                <c:pt idx="2">
                  <c:v>6.8876199565669274E-2</c:v>
                </c:pt>
                <c:pt idx="3">
                  <c:v>7.0195088583897697E-2</c:v>
                </c:pt>
                <c:pt idx="4">
                  <c:v>6.8899241159063609E-2</c:v>
                </c:pt>
                <c:pt idx="5">
                  <c:v>6.8365093818400224E-2</c:v>
                </c:pt>
                <c:pt idx="6">
                  <c:v>6.8244076218597016E-2</c:v>
                </c:pt>
                <c:pt idx="7">
                  <c:v>6.8302079895578779E-2</c:v>
                </c:pt>
                <c:pt idx="8">
                  <c:v>6.6025274850028556E-2</c:v>
                </c:pt>
                <c:pt idx="9">
                  <c:v>6.7060652853862063E-2</c:v>
                </c:pt>
                <c:pt idx="10">
                  <c:v>6.6771777830948398E-2</c:v>
                </c:pt>
                <c:pt idx="11">
                  <c:v>6.5316568376543899E-2</c:v>
                </c:pt>
                <c:pt idx="12">
                  <c:v>6.5381612470207934E-2</c:v>
                </c:pt>
                <c:pt idx="13">
                  <c:v>6.446952910424987E-2</c:v>
                </c:pt>
                <c:pt idx="14">
                  <c:v>6.2566542798258948E-2</c:v>
                </c:pt>
                <c:pt idx="15">
                  <c:v>6.3341508822538931E-2</c:v>
                </c:pt>
                <c:pt idx="16">
                  <c:v>6.3262095798350612E-2</c:v>
                </c:pt>
                <c:pt idx="17">
                  <c:v>6.4098500959196267E-2</c:v>
                </c:pt>
                <c:pt idx="18">
                  <c:v>6.4389684301485381E-2</c:v>
                </c:pt>
                <c:pt idx="19">
                  <c:v>6.4092632126742322E-2</c:v>
                </c:pt>
                <c:pt idx="20">
                  <c:v>6.2931558125071577E-2</c:v>
                </c:pt>
                <c:pt idx="21">
                  <c:v>6.2615436419518694E-2</c:v>
                </c:pt>
                <c:pt idx="22">
                  <c:v>6.2023092190912517E-2</c:v>
                </c:pt>
                <c:pt idx="23">
                  <c:v>6.0895945437232889E-2</c:v>
                </c:pt>
                <c:pt idx="24">
                  <c:v>5.9050253892260214E-2</c:v>
                </c:pt>
                <c:pt idx="25">
                  <c:v>5.8875656543944763E-2</c:v>
                </c:pt>
                <c:pt idx="26">
                  <c:v>5.738789341750998E-2</c:v>
                </c:pt>
                <c:pt idx="27">
                  <c:v>5.6679834197887378E-2</c:v>
                </c:pt>
                <c:pt idx="28">
                  <c:v>5.5444725989479048E-2</c:v>
                </c:pt>
                <c:pt idx="29">
                  <c:v>5.6336374654027042E-2</c:v>
                </c:pt>
                <c:pt idx="30">
                  <c:v>5.7521402699067671E-2</c:v>
                </c:pt>
                <c:pt idx="31">
                  <c:v>5.7095196572771734E-2</c:v>
                </c:pt>
                <c:pt idx="32">
                  <c:v>5.8364158076536027E-2</c:v>
                </c:pt>
                <c:pt idx="33">
                  <c:v>5.8472615237420193E-2</c:v>
                </c:pt>
                <c:pt idx="34">
                  <c:v>5.6861921188096021E-2</c:v>
                </c:pt>
                <c:pt idx="35">
                  <c:v>5.6794354432019294E-2</c:v>
                </c:pt>
                <c:pt idx="36">
                  <c:v>5.5732245512954963E-2</c:v>
                </c:pt>
                <c:pt idx="37">
                  <c:v>5.4657570434298156E-2</c:v>
                </c:pt>
                <c:pt idx="38">
                  <c:v>5.3822737633122807E-2</c:v>
                </c:pt>
                <c:pt idx="39">
                  <c:v>5.2959532428460583E-2</c:v>
                </c:pt>
                <c:pt idx="40">
                  <c:v>5.2670581751293903E-2</c:v>
                </c:pt>
                <c:pt idx="41">
                  <c:v>5.2749465254888828E-2</c:v>
                </c:pt>
                <c:pt idx="42">
                  <c:v>5.434749588945384E-2</c:v>
                </c:pt>
                <c:pt idx="43">
                  <c:v>5.3778723872859507E-2</c:v>
                </c:pt>
                <c:pt idx="44">
                  <c:v>5.3404120136153817E-2</c:v>
                </c:pt>
                <c:pt idx="45">
                  <c:v>5.6007867397550995E-2</c:v>
                </c:pt>
                <c:pt idx="46">
                  <c:v>5.3066459331970385E-2</c:v>
                </c:pt>
                <c:pt idx="47">
                  <c:v>5.3087610174785763E-2</c:v>
                </c:pt>
                <c:pt idx="48">
                  <c:v>5.445022995725024E-2</c:v>
                </c:pt>
                <c:pt idx="49">
                  <c:v>5.4139670527557582E-2</c:v>
                </c:pt>
                <c:pt idx="50">
                  <c:v>5.3721470981842108E-2</c:v>
                </c:pt>
                <c:pt idx="51">
                  <c:v>5.4750486192300919E-2</c:v>
                </c:pt>
                <c:pt idx="52">
                  <c:v>5.5262917927105346E-2</c:v>
                </c:pt>
                <c:pt idx="53">
                  <c:v>5.5716444318569085E-2</c:v>
                </c:pt>
                <c:pt idx="54">
                  <c:v>5.7758947191415597E-2</c:v>
                </c:pt>
                <c:pt idx="55">
                  <c:v>5.8407436386172788E-2</c:v>
                </c:pt>
                <c:pt idx="56">
                  <c:v>5.7853133685156412E-2</c:v>
                </c:pt>
                <c:pt idx="57">
                  <c:v>5.8051781642766961E-2</c:v>
                </c:pt>
                <c:pt idx="58">
                  <c:v>5.6652957412767622E-2</c:v>
                </c:pt>
                <c:pt idx="59">
                  <c:v>5.559701380933723E-2</c:v>
                </c:pt>
                <c:pt idx="60">
                  <c:v>5.3816875434511253E-2</c:v>
                </c:pt>
                <c:pt idx="61">
                  <c:v>5.3186188779989867E-2</c:v>
                </c:pt>
                <c:pt idx="62">
                  <c:v>5.227551880486999E-2</c:v>
                </c:pt>
                <c:pt idx="63">
                  <c:v>5.285391943241495E-2</c:v>
                </c:pt>
                <c:pt idx="64">
                  <c:v>5.1518145294078901E-2</c:v>
                </c:pt>
                <c:pt idx="65">
                  <c:v>5.2630916106642972E-2</c:v>
                </c:pt>
                <c:pt idx="66">
                  <c:v>5.3909805425231098E-2</c:v>
                </c:pt>
                <c:pt idx="67">
                  <c:v>5.3197695592004636E-2</c:v>
                </c:pt>
                <c:pt idx="68">
                  <c:v>5.2359061616099462E-2</c:v>
                </c:pt>
                <c:pt idx="69">
                  <c:v>5.3125245229975811E-2</c:v>
                </c:pt>
                <c:pt idx="70">
                  <c:v>5.1528240794616757E-2</c:v>
                </c:pt>
                <c:pt idx="71">
                  <c:v>5.2152780384039907E-2</c:v>
                </c:pt>
                <c:pt idx="72">
                  <c:v>5.6841327634425627E-2</c:v>
                </c:pt>
                <c:pt idx="73">
                  <c:v>5.8060084672281805E-2</c:v>
                </c:pt>
                <c:pt idx="74">
                  <c:v>5.6421490136318454E-2</c:v>
                </c:pt>
                <c:pt idx="75">
                  <c:v>5.5350322593032159E-2</c:v>
                </c:pt>
                <c:pt idx="76">
                  <c:v>5.8053025841491482E-2</c:v>
                </c:pt>
                <c:pt idx="77">
                  <c:v>6.0378657487091224E-2</c:v>
                </c:pt>
                <c:pt idx="78">
                  <c:v>6.1977798589250864E-2</c:v>
                </c:pt>
                <c:pt idx="79">
                  <c:v>6.2983107828578647E-2</c:v>
                </c:pt>
                <c:pt idx="80">
                  <c:v>6.38603513752109E-2</c:v>
                </c:pt>
                <c:pt idx="81">
                  <c:v>6.4592941685977359E-2</c:v>
                </c:pt>
                <c:pt idx="82">
                  <c:v>6.4697046404534719E-2</c:v>
                </c:pt>
                <c:pt idx="83">
                  <c:v>6.8008528359363662E-2</c:v>
                </c:pt>
                <c:pt idx="84">
                  <c:v>6.8488478800828978E-2</c:v>
                </c:pt>
                <c:pt idx="85">
                  <c:v>6.8536115579622775E-2</c:v>
                </c:pt>
                <c:pt idx="86">
                  <c:v>6.7016070978382691E-2</c:v>
                </c:pt>
                <c:pt idx="87">
                  <c:v>6.5692419970042798E-2</c:v>
                </c:pt>
                <c:pt idx="88">
                  <c:v>6.4657486574151879E-2</c:v>
                </c:pt>
                <c:pt idx="89">
                  <c:v>6.8861040372902055E-2</c:v>
                </c:pt>
                <c:pt idx="90">
                  <c:v>6.8707540316060606E-2</c:v>
                </c:pt>
                <c:pt idx="91">
                  <c:v>6.6218208666330408E-2</c:v>
                </c:pt>
                <c:pt idx="92">
                  <c:v>6.6627937472172924E-2</c:v>
                </c:pt>
                <c:pt idx="93">
                  <c:v>6.9675335877505684E-2</c:v>
                </c:pt>
                <c:pt idx="94">
                  <c:v>7.3379437018317173E-2</c:v>
                </c:pt>
                <c:pt idx="95">
                  <c:v>9.5116643036691526E-2</c:v>
                </c:pt>
                <c:pt idx="96">
                  <c:v>9.4069004618672056E-2</c:v>
                </c:pt>
                <c:pt idx="97">
                  <c:v>9.6698654914514584E-2</c:v>
                </c:pt>
                <c:pt idx="98">
                  <c:v>9.5790300397851094E-2</c:v>
                </c:pt>
                <c:pt idx="99">
                  <c:v>9.9943350638636005E-2</c:v>
                </c:pt>
                <c:pt idx="100">
                  <c:v>0.10374565432488518</c:v>
                </c:pt>
                <c:pt idx="101">
                  <c:v>0.10809841397670809</c:v>
                </c:pt>
                <c:pt idx="102">
                  <c:v>0.1272292865214337</c:v>
                </c:pt>
                <c:pt idx="103">
                  <c:v>0.12532016081727707</c:v>
                </c:pt>
                <c:pt idx="104">
                  <c:v>0.12488565903883816</c:v>
                </c:pt>
                <c:pt idx="105">
                  <c:v>0.12438121571600588</c:v>
                </c:pt>
                <c:pt idx="106">
                  <c:v>0.12457585427081935</c:v>
                </c:pt>
                <c:pt idx="107">
                  <c:v>0.1241353899420604</c:v>
                </c:pt>
                <c:pt idx="108">
                  <c:v>0.12574879525392799</c:v>
                </c:pt>
                <c:pt idx="109">
                  <c:v>0.13051502673404658</c:v>
                </c:pt>
                <c:pt idx="110">
                  <c:v>0.13516390289655753</c:v>
                </c:pt>
                <c:pt idx="111">
                  <c:v>0.13687954123913079</c:v>
                </c:pt>
                <c:pt idx="112">
                  <c:v>0.13561546339126707</c:v>
                </c:pt>
                <c:pt idx="113">
                  <c:v>0.14042962521609237</c:v>
                </c:pt>
                <c:pt idx="114">
                  <c:v>0.143757717344072</c:v>
                </c:pt>
                <c:pt idx="115">
                  <c:v>0.14651050998557882</c:v>
                </c:pt>
                <c:pt idx="116">
                  <c:v>0.14764751156125766</c:v>
                </c:pt>
                <c:pt idx="117">
                  <c:v>0.14846190100049766</c:v>
                </c:pt>
                <c:pt idx="118">
                  <c:v>0.15079352727208048</c:v>
                </c:pt>
                <c:pt idx="119">
                  <c:v>0.15619603542654287</c:v>
                </c:pt>
                <c:pt idx="120">
                  <c:v>0.1577053462912171</c:v>
                </c:pt>
                <c:pt idx="121">
                  <c:v>0.15912868249146156</c:v>
                </c:pt>
                <c:pt idx="122">
                  <c:v>0.16406059581072141</c:v>
                </c:pt>
                <c:pt idx="123">
                  <c:v>0.1654886683595683</c:v>
                </c:pt>
                <c:pt idx="124">
                  <c:v>0.16497729028194047</c:v>
                </c:pt>
                <c:pt idx="125">
                  <c:v>0.16763931872785764</c:v>
                </c:pt>
                <c:pt idx="126">
                  <c:v>0.17175344960389469</c:v>
                </c:pt>
                <c:pt idx="127">
                  <c:v>0.17288859686551888</c:v>
                </c:pt>
                <c:pt idx="128">
                  <c:v>0.17160454886337312</c:v>
                </c:pt>
                <c:pt idx="129">
                  <c:v>0.17472622205759497</c:v>
                </c:pt>
                <c:pt idx="130">
                  <c:v>0.17268794745449581</c:v>
                </c:pt>
                <c:pt idx="131">
                  <c:v>0.17452786242896165</c:v>
                </c:pt>
                <c:pt idx="132">
                  <c:v>0.17412711823658308</c:v>
                </c:pt>
                <c:pt idx="133">
                  <c:v>0.17341340965352431</c:v>
                </c:pt>
                <c:pt idx="134">
                  <c:v>0.17525377988444107</c:v>
                </c:pt>
                <c:pt idx="135">
                  <c:v>0.17551641655196909</c:v>
                </c:pt>
                <c:pt idx="136">
                  <c:v>0.17394349624798267</c:v>
                </c:pt>
                <c:pt idx="137">
                  <c:v>0.1664717289777633</c:v>
                </c:pt>
                <c:pt idx="138">
                  <c:v>0.16500165510919476</c:v>
                </c:pt>
                <c:pt idx="139">
                  <c:v>0.16426411347197617</c:v>
                </c:pt>
                <c:pt idx="140">
                  <c:v>0.16249748830469765</c:v>
                </c:pt>
                <c:pt idx="141">
                  <c:v>0.16104091439129772</c:v>
                </c:pt>
                <c:pt idx="142">
                  <c:v>0.15882857236908959</c:v>
                </c:pt>
                <c:pt idx="143">
                  <c:v>0.16167959934235193</c:v>
                </c:pt>
                <c:pt idx="144">
                  <c:v>0.16179670792232903</c:v>
                </c:pt>
                <c:pt idx="145">
                  <c:v>0.16158919782452927</c:v>
                </c:pt>
                <c:pt idx="146">
                  <c:v>0.15776050772010755</c:v>
                </c:pt>
                <c:pt idx="147">
                  <c:v>0.16149003402277678</c:v>
                </c:pt>
                <c:pt idx="148">
                  <c:v>0.16137046557092172</c:v>
                </c:pt>
                <c:pt idx="149">
                  <c:v>0.1630282137710401</c:v>
                </c:pt>
                <c:pt idx="150">
                  <c:v>0.16392419701078309</c:v>
                </c:pt>
                <c:pt idx="151">
                  <c:v>0.16611019941476443</c:v>
                </c:pt>
                <c:pt idx="152">
                  <c:v>0.16437080743948129</c:v>
                </c:pt>
                <c:pt idx="153">
                  <c:v>0.16447486112232476</c:v>
                </c:pt>
                <c:pt idx="154">
                  <c:v>0.16204216835131663</c:v>
                </c:pt>
                <c:pt idx="155">
                  <c:v>0.15936470039514605</c:v>
                </c:pt>
                <c:pt idx="156">
                  <c:v>0.16120125057935103</c:v>
                </c:pt>
                <c:pt idx="157">
                  <c:v>0.15854339393139799</c:v>
                </c:pt>
                <c:pt idx="158">
                  <c:v>0.16055649869570618</c:v>
                </c:pt>
                <c:pt idx="159">
                  <c:v>0.16201381111118474</c:v>
                </c:pt>
                <c:pt idx="160">
                  <c:v>0.16278173857834449</c:v>
                </c:pt>
                <c:pt idx="161">
                  <c:v>0.16202233352080897</c:v>
                </c:pt>
                <c:pt idx="162">
                  <c:v>0.16078873408279609</c:v>
                </c:pt>
                <c:pt idx="163">
                  <c:v>0.15950397261459978</c:v>
                </c:pt>
                <c:pt idx="164">
                  <c:v>0.16115906164493804</c:v>
                </c:pt>
                <c:pt idx="165">
                  <c:v>0.1616080216017968</c:v>
                </c:pt>
                <c:pt idx="166">
                  <c:v>0.15785560390351064</c:v>
                </c:pt>
                <c:pt idx="167">
                  <c:v>0.15721528550641414</c:v>
                </c:pt>
                <c:pt idx="168">
                  <c:v>0.15700080605284727</c:v>
                </c:pt>
                <c:pt idx="169">
                  <c:v>0.1586080928391202</c:v>
                </c:pt>
                <c:pt idx="170">
                  <c:v>0.16005020373777143</c:v>
                </c:pt>
                <c:pt idx="171">
                  <c:v>0.15861127800188826</c:v>
                </c:pt>
                <c:pt idx="172">
                  <c:v>0.15883760659994195</c:v>
                </c:pt>
                <c:pt idx="173">
                  <c:v>0.15234758429890349</c:v>
                </c:pt>
                <c:pt idx="174">
                  <c:v>0.15265749762566394</c:v>
                </c:pt>
                <c:pt idx="175">
                  <c:v>0.15241655324446196</c:v>
                </c:pt>
                <c:pt idx="176">
                  <c:v>0.15275881483566753</c:v>
                </c:pt>
                <c:pt idx="177">
                  <c:v>0.15346819133176229</c:v>
                </c:pt>
                <c:pt idx="178">
                  <c:v>0.1529750538461124</c:v>
                </c:pt>
                <c:pt idx="179">
                  <c:v>0.15077887262715547</c:v>
                </c:pt>
                <c:pt idx="180">
                  <c:v>0.14921627454461917</c:v>
                </c:pt>
                <c:pt idx="181">
                  <c:v>0.14712593680051472</c:v>
                </c:pt>
                <c:pt idx="182">
                  <c:v>0.14753522326142571</c:v>
                </c:pt>
                <c:pt idx="183">
                  <c:v>0.14910937242896949</c:v>
                </c:pt>
                <c:pt idx="184">
                  <c:v>0.14682570628478253</c:v>
                </c:pt>
                <c:pt idx="185">
                  <c:v>0.14690979880874774</c:v>
                </c:pt>
                <c:pt idx="186">
                  <c:v>0.14761327858365586</c:v>
                </c:pt>
                <c:pt idx="187">
                  <c:v>0.14779135716572556</c:v>
                </c:pt>
                <c:pt idx="188">
                  <c:v>0.14947661896027981</c:v>
                </c:pt>
                <c:pt idx="189">
                  <c:v>0.15205005449307057</c:v>
                </c:pt>
                <c:pt idx="190">
                  <c:v>0.14829453303288218</c:v>
                </c:pt>
                <c:pt idx="191">
                  <c:v>0.1511894857760209</c:v>
                </c:pt>
                <c:pt idx="192">
                  <c:v>0.14845844613460391</c:v>
                </c:pt>
                <c:pt idx="193">
                  <c:v>0.14862176988904618</c:v>
                </c:pt>
                <c:pt idx="194">
                  <c:v>0.14418501628255137</c:v>
                </c:pt>
                <c:pt idx="195">
                  <c:v>0.14374090020058614</c:v>
                </c:pt>
                <c:pt idx="196">
                  <c:v>0.14652599365271271</c:v>
                </c:pt>
                <c:pt idx="197">
                  <c:v>0.14001381292468548</c:v>
                </c:pt>
                <c:pt idx="198">
                  <c:v>0.13484554628829964</c:v>
                </c:pt>
                <c:pt idx="199">
                  <c:v>0.13351441766395333</c:v>
                </c:pt>
                <c:pt idx="200">
                  <c:v>0.13477161290322581</c:v>
                </c:pt>
                <c:pt idx="201">
                  <c:v>0.13047050915568512</c:v>
                </c:pt>
                <c:pt idx="202">
                  <c:v>0.1329279090698241</c:v>
                </c:pt>
                <c:pt idx="203">
                  <c:v>0.13294211371134448</c:v>
                </c:pt>
                <c:pt idx="204">
                  <c:v>0.12740067503474445</c:v>
                </c:pt>
                <c:pt idx="205">
                  <c:v>0.12296238646665412</c:v>
                </c:pt>
                <c:pt idx="206">
                  <c:v>0.12002620780026897</c:v>
                </c:pt>
                <c:pt idx="207">
                  <c:v>0.11858657224365211</c:v>
                </c:pt>
                <c:pt idx="208">
                  <c:v>0.12086553841679623</c:v>
                </c:pt>
                <c:pt idx="209">
                  <c:v>0.12295057757249368</c:v>
                </c:pt>
                <c:pt idx="210">
                  <c:v>0.11932080928905543</c:v>
                </c:pt>
                <c:pt idx="211">
                  <c:v>0.12142797261025311</c:v>
                </c:pt>
                <c:pt idx="212">
                  <c:v>0.12106340961889057</c:v>
                </c:pt>
                <c:pt idx="213">
                  <c:v>0.11876495326204295</c:v>
                </c:pt>
                <c:pt idx="214">
                  <c:v>0.11395334657098093</c:v>
                </c:pt>
                <c:pt idx="215">
                  <c:v>0.11439508272830805</c:v>
                </c:pt>
                <c:pt idx="216">
                  <c:v>0.11208943411159478</c:v>
                </c:pt>
                <c:pt idx="217">
                  <c:v>0.11099320772731282</c:v>
                </c:pt>
                <c:pt idx="218">
                  <c:v>0.11073920144399518</c:v>
                </c:pt>
                <c:pt idx="219">
                  <c:v>0.10761008275949208</c:v>
                </c:pt>
                <c:pt idx="220">
                  <c:v>0.11039994176614949</c:v>
                </c:pt>
                <c:pt idx="221">
                  <c:v>0.10914698312071737</c:v>
                </c:pt>
                <c:pt idx="222">
                  <c:v>0.10857426838781108</c:v>
                </c:pt>
                <c:pt idx="223">
                  <c:v>0.10937588862222324</c:v>
                </c:pt>
                <c:pt idx="224">
                  <c:v>0.11002934502262302</c:v>
                </c:pt>
                <c:pt idx="225">
                  <c:v>0.10835628099183885</c:v>
                </c:pt>
                <c:pt idx="226">
                  <c:v>0.1057959605402347</c:v>
                </c:pt>
                <c:pt idx="227">
                  <c:v>0.11255442983965856</c:v>
                </c:pt>
                <c:pt idx="228">
                  <c:v>0.10640670845150173</c:v>
                </c:pt>
                <c:pt idx="229">
                  <c:v>0.10473671702183411</c:v>
                </c:pt>
                <c:pt idx="230">
                  <c:v>0.10500271231390514</c:v>
                </c:pt>
                <c:pt idx="231">
                  <c:v>0.10202262802245891</c:v>
                </c:pt>
                <c:pt idx="232">
                  <c:v>0.10331813159960995</c:v>
                </c:pt>
                <c:pt idx="233">
                  <c:v>0.10445104280150101</c:v>
                </c:pt>
                <c:pt idx="234">
                  <c:v>0.1021032330737241</c:v>
                </c:pt>
                <c:pt idx="235">
                  <c:v>9.9458634015032882E-2</c:v>
                </c:pt>
                <c:pt idx="236">
                  <c:v>9.6798587539278405E-2</c:v>
                </c:pt>
                <c:pt idx="237">
                  <c:v>9.670559221517773E-2</c:v>
                </c:pt>
                <c:pt idx="238">
                  <c:v>9.8986189565547666E-2</c:v>
                </c:pt>
                <c:pt idx="239">
                  <c:v>0.10299521853199249</c:v>
                </c:pt>
                <c:pt idx="240">
                  <c:v>0.10237715143509342</c:v>
                </c:pt>
                <c:pt idx="241">
                  <c:v>0.10186926187276113</c:v>
                </c:pt>
                <c:pt idx="242">
                  <c:v>0.10521664498807581</c:v>
                </c:pt>
                <c:pt idx="243">
                  <c:v>0.10286670253165994</c:v>
                </c:pt>
                <c:pt idx="244">
                  <c:v>9.803213249405654E-2</c:v>
                </c:pt>
                <c:pt idx="245">
                  <c:v>0.10111918673482964</c:v>
                </c:pt>
                <c:pt idx="246">
                  <c:v>0.10230561456373621</c:v>
                </c:pt>
                <c:pt idx="247">
                  <c:v>0.1027456948789493</c:v>
                </c:pt>
                <c:pt idx="248">
                  <c:v>0.10246202200104768</c:v>
                </c:pt>
                <c:pt idx="249">
                  <c:v>0.1041159189051705</c:v>
                </c:pt>
                <c:pt idx="250">
                  <c:v>0.10676428768002935</c:v>
                </c:pt>
                <c:pt idx="251">
                  <c:v>0.11078097269946759</c:v>
                </c:pt>
                <c:pt idx="252">
                  <c:v>0.10895001680357196</c:v>
                </c:pt>
                <c:pt idx="253">
                  <c:v>0.10965117505929198</c:v>
                </c:pt>
                <c:pt idx="254">
                  <c:v>0.10805135527228731</c:v>
                </c:pt>
                <c:pt idx="255">
                  <c:v>0.10792317256006144</c:v>
                </c:pt>
                <c:pt idx="256">
                  <c:v>0.10559666273576898</c:v>
                </c:pt>
                <c:pt idx="257">
                  <c:v>0.10769519775940979</c:v>
                </c:pt>
                <c:pt idx="258">
                  <c:v>0.10862488809718518</c:v>
                </c:pt>
                <c:pt idx="259">
                  <c:v>0.10819613894721598</c:v>
                </c:pt>
                <c:pt idx="260">
                  <c:v>0.10735587596207023</c:v>
                </c:pt>
                <c:pt idx="261">
                  <c:v>0.10409731658071342</c:v>
                </c:pt>
                <c:pt idx="262">
                  <c:v>0.1026760959790298</c:v>
                </c:pt>
                <c:pt idx="263">
                  <c:v>0.1077324094623637</c:v>
                </c:pt>
                <c:pt idx="264">
                  <c:v>0.10586843689807372</c:v>
                </c:pt>
              </c:numCache>
            </c:numRef>
          </c:val>
          <c:smooth val="0"/>
          <c:extLst>
            <c:ext xmlns:c16="http://schemas.microsoft.com/office/drawing/2014/chart" uri="{C3380CC4-5D6E-409C-BE32-E72D297353CC}">
              <c16:uniqueId val="{00000000-0C38-45FD-88D9-A3F4BE954279}"/>
            </c:ext>
          </c:extLst>
        </c:ser>
        <c:dLbls>
          <c:showLegendKey val="0"/>
          <c:showVal val="0"/>
          <c:showCatName val="0"/>
          <c:showSerName val="0"/>
          <c:showPercent val="0"/>
          <c:showBubbleSize val="0"/>
        </c:dLbls>
        <c:smooth val="0"/>
        <c:axId val="591652424"/>
        <c:axId val="591656688"/>
      </c:lineChart>
      <c:dateAx>
        <c:axId val="591652424"/>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56688"/>
        <c:crosses val="autoZero"/>
        <c:auto val="1"/>
        <c:lblOffset val="100"/>
        <c:baseTimeUnit val="months"/>
      </c:dateAx>
      <c:valAx>
        <c:axId val="591656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652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177806</xdr:colOff>
      <xdr:row>22</xdr:row>
      <xdr:rowOff>88906</xdr:rowOff>
    </xdr:from>
    <xdr:to>
      <xdr:col>12</xdr:col>
      <xdr:colOff>254006</xdr:colOff>
      <xdr:row>37</xdr:row>
      <xdr:rowOff>69856</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298450</xdr:colOff>
      <xdr:row>262</xdr:row>
      <xdr:rowOff>19044</xdr:rowOff>
    </xdr:from>
    <xdr:to>
      <xdr:col>14</xdr:col>
      <xdr:colOff>311150</xdr:colOff>
      <xdr:row>277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BB100"/>
  <sheetViews>
    <sheetView workbookViewId="0">
      <pane xSplit="2" ySplit="8" topLeftCell="F9" activePane="bottomRight" state="frozen"/>
      <selection pane="topRight" activeCell="C1" sqref="C1"/>
      <selection pane="bottomLeft" activeCell="A9" sqref="A9"/>
      <selection pane="bottomRight" activeCell="R8" sqref="R8"/>
    </sheetView>
  </sheetViews>
  <sheetFormatPr defaultColWidth="0" defaultRowHeight="14.5" zeroHeight="1" x14ac:dyDescent="0.35"/>
  <cols>
    <col min="1" max="2" width="9.1796875" customWidth="1"/>
    <col min="3" max="4" width="9.54296875" bestFit="1" customWidth="1"/>
    <col min="5" max="7" width="9.1796875" bestFit="1" customWidth="1"/>
    <col min="8" max="8" width="9.54296875" bestFit="1" customWidth="1"/>
    <col min="9" max="11" width="9.1796875" bestFit="1" customWidth="1"/>
    <col min="12" max="13" width="9.453125" bestFit="1" customWidth="1"/>
    <col min="14" max="15" width="9.54296875" bestFit="1" customWidth="1"/>
    <col min="16" max="17" width="9.1796875" bestFit="1" customWidth="1"/>
    <col min="18" max="18" width="9.54296875" bestFit="1" customWidth="1"/>
    <col min="19" max="19" width="9" bestFit="1" customWidth="1"/>
    <col min="20" max="20" width="9.453125" bestFit="1" customWidth="1"/>
    <col min="21" max="21" width="9.1796875" customWidth="1"/>
    <col min="22" max="16384" width="9.1796875" hidden="1"/>
  </cols>
  <sheetData>
    <row r="1" spans="1:54" ht="15.5" x14ac:dyDescent="0.35">
      <c r="A1" s="1" t="s">
        <v>0</v>
      </c>
      <c r="B1" s="2"/>
      <c r="C1" s="2"/>
      <c r="D1" s="2"/>
      <c r="E1" s="2"/>
      <c r="F1" s="2"/>
      <c r="G1" s="2"/>
      <c r="H1" s="2"/>
      <c r="I1" s="2"/>
      <c r="J1" s="2"/>
      <c r="K1" s="2"/>
      <c r="L1" s="2"/>
      <c r="M1" s="2"/>
      <c r="N1" s="2"/>
      <c r="O1" s="2"/>
      <c r="P1" s="2"/>
      <c r="Q1" s="2"/>
      <c r="R1" s="2"/>
      <c r="S1" s="2"/>
      <c r="T1" s="2"/>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row>
    <row r="2" spans="1:54" x14ac:dyDescent="0.35">
      <c r="A2" s="3"/>
      <c r="B2" s="2"/>
      <c r="C2" s="2"/>
      <c r="D2" s="2"/>
      <c r="E2" s="2"/>
      <c r="F2" s="2"/>
      <c r="G2" s="2"/>
      <c r="H2" s="2"/>
      <c r="I2" s="2"/>
      <c r="J2" s="2"/>
      <c r="K2" s="2"/>
      <c r="L2" s="2"/>
      <c r="M2" s="2"/>
      <c r="N2" s="2"/>
      <c r="O2" s="2"/>
      <c r="P2" s="2"/>
      <c r="Q2" s="2"/>
      <c r="R2" s="2"/>
      <c r="S2" s="2"/>
      <c r="T2" s="2"/>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row>
    <row r="3" spans="1:54" ht="15" thickBot="1" x14ac:dyDescent="0.4">
      <c r="A3" s="4"/>
      <c r="B3" s="2"/>
      <c r="C3" s="2"/>
      <c r="D3" s="2"/>
      <c r="E3" s="2"/>
      <c r="F3" s="2"/>
      <c r="G3" s="2"/>
      <c r="H3" s="2"/>
      <c r="I3" s="2"/>
      <c r="J3" s="2"/>
      <c r="K3" s="2"/>
      <c r="L3" s="2"/>
      <c r="M3" s="2"/>
      <c r="N3" s="2"/>
      <c r="O3" s="2"/>
      <c r="P3" s="2"/>
      <c r="Q3" s="2"/>
      <c r="R3" s="2"/>
      <c r="S3" s="2"/>
      <c r="T3" s="2"/>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row>
    <row r="4" spans="1:54" ht="15" thickBot="1" x14ac:dyDescent="0.4">
      <c r="A4" s="5"/>
      <c r="B4" s="52"/>
      <c r="C4" s="112" t="s">
        <v>1</v>
      </c>
      <c r="D4" s="56"/>
      <c r="E4" s="56"/>
      <c r="F4" s="56"/>
      <c r="G4" s="56"/>
      <c r="H4" s="56"/>
      <c r="I4" s="56"/>
      <c r="J4" s="56"/>
      <c r="K4" s="56"/>
      <c r="L4" s="56"/>
      <c r="M4" s="56"/>
      <c r="N4" s="56"/>
      <c r="O4" s="56"/>
      <c r="P4" s="56"/>
      <c r="Q4" s="56"/>
      <c r="R4" s="56"/>
      <c r="S4" s="56"/>
      <c r="T4" s="57"/>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row>
    <row r="5" spans="1:54" x14ac:dyDescent="0.35">
      <c r="A5" s="5"/>
      <c r="B5" s="52"/>
      <c r="C5" s="113"/>
      <c r="D5" s="115" t="s">
        <v>2</v>
      </c>
      <c r="E5" s="116"/>
      <c r="F5" s="116"/>
      <c r="G5" s="116"/>
      <c r="H5" s="117"/>
      <c r="I5" s="115" t="s">
        <v>3</v>
      </c>
      <c r="J5" s="116"/>
      <c r="K5" s="116"/>
      <c r="L5" s="116"/>
      <c r="M5" s="117"/>
      <c r="N5" s="92" t="s">
        <v>4</v>
      </c>
      <c r="O5" s="93"/>
      <c r="P5" s="92" t="s">
        <v>5</v>
      </c>
      <c r="Q5" s="93"/>
      <c r="R5" s="94" t="s">
        <v>6</v>
      </c>
      <c r="S5" s="92" t="s">
        <v>7</v>
      </c>
      <c r="T5" s="93"/>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row>
    <row r="6" spans="1:54" x14ac:dyDescent="0.35">
      <c r="A6" s="5"/>
      <c r="B6" s="52"/>
      <c r="C6" s="113"/>
      <c r="D6" s="60"/>
      <c r="E6" s="84" t="s">
        <v>8</v>
      </c>
      <c r="F6" s="65"/>
      <c r="G6" s="106" t="s">
        <v>9</v>
      </c>
      <c r="H6" s="108" t="s">
        <v>10</v>
      </c>
      <c r="I6" s="60"/>
      <c r="J6" s="84" t="s">
        <v>8</v>
      </c>
      <c r="K6" s="66"/>
      <c r="L6" s="86" t="s">
        <v>9</v>
      </c>
      <c r="M6" s="88" t="s">
        <v>10</v>
      </c>
      <c r="N6" s="109" t="s">
        <v>11</v>
      </c>
      <c r="O6" s="103" t="s">
        <v>12</v>
      </c>
      <c r="P6" s="101" t="s">
        <v>11</v>
      </c>
      <c r="Q6" s="111" t="s">
        <v>12</v>
      </c>
      <c r="R6" s="95"/>
      <c r="S6" s="101" t="s">
        <v>13</v>
      </c>
      <c r="T6" s="111" t="s">
        <v>14</v>
      </c>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row>
    <row r="7" spans="1:54" ht="25.5" thickBot="1" x14ac:dyDescent="0.4">
      <c r="A7" s="2"/>
      <c r="B7" s="2"/>
      <c r="C7" s="114"/>
      <c r="D7" s="54"/>
      <c r="E7" s="85"/>
      <c r="F7" s="55" t="s">
        <v>15</v>
      </c>
      <c r="G7" s="107"/>
      <c r="H7" s="89"/>
      <c r="I7" s="54"/>
      <c r="J7" s="85"/>
      <c r="K7" s="55" t="s">
        <v>15</v>
      </c>
      <c r="L7" s="87"/>
      <c r="M7" s="89"/>
      <c r="N7" s="110"/>
      <c r="O7" s="104"/>
      <c r="P7" s="102"/>
      <c r="Q7" s="89"/>
      <c r="R7" s="96"/>
      <c r="S7" s="102"/>
      <c r="T7" s="89"/>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row>
    <row r="8" spans="1:54" x14ac:dyDescent="0.35">
      <c r="A8" s="7"/>
      <c r="B8" s="7"/>
      <c r="C8" s="8">
        <v>15</v>
      </c>
      <c r="D8" s="8">
        <v>16</v>
      </c>
      <c r="E8" s="8">
        <v>17</v>
      </c>
      <c r="F8" s="8">
        <v>1502</v>
      </c>
      <c r="G8" s="8">
        <v>18</v>
      </c>
      <c r="H8" s="8">
        <v>19</v>
      </c>
      <c r="I8" s="8">
        <v>20</v>
      </c>
      <c r="J8" s="8">
        <v>21</v>
      </c>
      <c r="K8" s="8">
        <v>1968</v>
      </c>
      <c r="L8" s="8">
        <v>22</v>
      </c>
      <c r="M8" s="8">
        <v>23</v>
      </c>
      <c r="N8" s="8">
        <v>24</v>
      </c>
      <c r="O8" s="8">
        <v>107</v>
      </c>
      <c r="P8" s="8">
        <v>131</v>
      </c>
      <c r="Q8" s="8">
        <v>145</v>
      </c>
      <c r="R8" s="8">
        <v>1936</v>
      </c>
      <c r="S8" s="8">
        <v>30</v>
      </c>
      <c r="T8" s="8">
        <v>31</v>
      </c>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row>
    <row r="9" spans="1:54" x14ac:dyDescent="0.35">
      <c r="A9" s="10"/>
      <c r="B9" s="10"/>
      <c r="C9" s="8"/>
      <c r="D9" s="8"/>
      <c r="E9" s="8"/>
      <c r="F9" s="8"/>
      <c r="G9" s="8"/>
      <c r="H9" s="8"/>
      <c r="I9" s="8"/>
      <c r="J9" s="8"/>
      <c r="K9" s="8"/>
      <c r="L9" s="8"/>
      <c r="M9" s="8"/>
      <c r="N9" s="8"/>
      <c r="O9" s="8"/>
      <c r="P9" s="8"/>
      <c r="Q9" s="8"/>
      <c r="R9" s="8"/>
      <c r="S9" s="8"/>
      <c r="T9" s="8"/>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row>
    <row r="10" spans="1:54" x14ac:dyDescent="0.35">
      <c r="A10" s="11" t="s">
        <v>16</v>
      </c>
      <c r="B10" s="12"/>
      <c r="C10" s="12"/>
      <c r="D10" s="12"/>
      <c r="E10" s="12"/>
      <c r="F10" s="12"/>
      <c r="G10" s="12"/>
      <c r="H10" s="12"/>
      <c r="I10" s="12"/>
      <c r="J10" s="12"/>
      <c r="K10" s="12"/>
      <c r="L10" s="12"/>
      <c r="M10" s="12"/>
      <c r="N10" s="12"/>
      <c r="O10" s="12"/>
      <c r="P10" s="12"/>
      <c r="Q10" s="12"/>
      <c r="R10" s="12"/>
      <c r="S10" s="12"/>
      <c r="T10" s="12"/>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row>
    <row r="11" spans="1:54" x14ac:dyDescent="0.35">
      <c r="A11" s="13"/>
      <c r="B11" s="12"/>
      <c r="C11" s="12"/>
      <c r="D11" s="12"/>
      <c r="E11" s="12"/>
      <c r="F11" s="12"/>
      <c r="G11" s="12"/>
      <c r="H11" s="12"/>
      <c r="I11" s="12"/>
      <c r="J11" s="12"/>
      <c r="K11" s="12"/>
      <c r="L11" s="12"/>
      <c r="M11" s="12"/>
      <c r="N11" s="12"/>
      <c r="O11" s="12"/>
      <c r="P11" s="12"/>
      <c r="Q11" s="12"/>
      <c r="R11" s="12"/>
      <c r="S11" s="12"/>
      <c r="T11" s="12"/>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row>
    <row r="12" spans="1:54" x14ac:dyDescent="0.35">
      <c r="A12" s="14">
        <v>45322</v>
      </c>
      <c r="B12" s="15">
        <v>45322</v>
      </c>
      <c r="C12" s="16">
        <v>874814</v>
      </c>
      <c r="D12" s="16">
        <v>194146</v>
      </c>
      <c r="E12" s="16">
        <v>46586</v>
      </c>
      <c r="F12" s="16">
        <v>35037</v>
      </c>
      <c r="G12" s="16">
        <v>103</v>
      </c>
      <c r="H12" s="16">
        <v>147458</v>
      </c>
      <c r="I12" s="16">
        <v>47622</v>
      </c>
      <c r="J12" s="16">
        <v>19941</v>
      </c>
      <c r="K12" s="16" t="s">
        <v>38</v>
      </c>
      <c r="L12" s="16">
        <v>11014</v>
      </c>
      <c r="M12" s="16">
        <v>16667</v>
      </c>
      <c r="N12" s="16">
        <v>240465</v>
      </c>
      <c r="O12" s="16">
        <v>123924</v>
      </c>
      <c r="P12" s="16">
        <v>15886</v>
      </c>
      <c r="Q12" s="16">
        <v>29865</v>
      </c>
      <c r="R12" s="16">
        <v>89384</v>
      </c>
      <c r="S12" s="16">
        <v>22249</v>
      </c>
      <c r="T12" s="16">
        <v>111273</v>
      </c>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c r="BA12" s="45"/>
      <c r="BB12" s="45"/>
    </row>
    <row r="13" spans="1:54" x14ac:dyDescent="0.35">
      <c r="A13" s="14" t="s">
        <v>17</v>
      </c>
      <c r="B13" s="15">
        <v>45351</v>
      </c>
      <c r="C13" s="16">
        <v>871956</v>
      </c>
      <c r="D13" s="16">
        <v>195210</v>
      </c>
      <c r="E13" s="16">
        <v>47860</v>
      </c>
      <c r="F13" s="16">
        <v>36394</v>
      </c>
      <c r="G13" s="16">
        <v>138</v>
      </c>
      <c r="H13" s="16">
        <v>147212</v>
      </c>
      <c r="I13" s="16">
        <v>45071</v>
      </c>
      <c r="J13" s="16">
        <v>18429</v>
      </c>
      <c r="K13" s="16" t="s">
        <v>38</v>
      </c>
      <c r="L13" s="16">
        <v>10939</v>
      </c>
      <c r="M13" s="16">
        <v>15704</v>
      </c>
      <c r="N13" s="16">
        <v>235900</v>
      </c>
      <c r="O13" s="16">
        <v>125448</v>
      </c>
      <c r="P13" s="16">
        <v>17342</v>
      </c>
      <c r="Q13" s="16">
        <v>29197</v>
      </c>
      <c r="R13" s="16">
        <v>87263</v>
      </c>
      <c r="S13" s="16">
        <v>22677</v>
      </c>
      <c r="T13" s="16">
        <v>113847</v>
      </c>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c r="BA13" s="45"/>
      <c r="BB13" s="45"/>
    </row>
    <row r="14" spans="1:54" x14ac:dyDescent="0.35">
      <c r="A14" s="14" t="s">
        <v>17</v>
      </c>
      <c r="B14" s="15">
        <v>45379</v>
      </c>
      <c r="C14" s="16">
        <v>871965</v>
      </c>
      <c r="D14" s="16">
        <v>196165</v>
      </c>
      <c r="E14" s="16">
        <v>48323</v>
      </c>
      <c r="F14" s="16">
        <v>36908</v>
      </c>
      <c r="G14" s="16">
        <v>130</v>
      </c>
      <c r="H14" s="16">
        <v>147712</v>
      </c>
      <c r="I14" s="16">
        <v>44878</v>
      </c>
      <c r="J14" s="16">
        <v>18661</v>
      </c>
      <c r="K14" s="16" t="s">
        <v>38</v>
      </c>
      <c r="L14" s="16">
        <v>10653</v>
      </c>
      <c r="M14" s="16">
        <v>15564</v>
      </c>
      <c r="N14" s="16">
        <v>224155</v>
      </c>
      <c r="O14" s="16">
        <v>130452</v>
      </c>
      <c r="P14" s="16">
        <v>18380</v>
      </c>
      <c r="Q14" s="16">
        <v>32449</v>
      </c>
      <c r="R14" s="16">
        <v>92694</v>
      </c>
      <c r="S14" s="16">
        <v>23677</v>
      </c>
      <c r="T14" s="16">
        <v>109116</v>
      </c>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5"/>
      <c r="BB14" s="45"/>
    </row>
    <row r="15" spans="1:54" x14ac:dyDescent="0.35">
      <c r="A15" s="14" t="s">
        <v>17</v>
      </c>
      <c r="B15" s="15">
        <v>45412</v>
      </c>
      <c r="C15" s="16">
        <v>875104</v>
      </c>
      <c r="D15" s="16">
        <v>195273</v>
      </c>
      <c r="E15" s="16">
        <v>48467</v>
      </c>
      <c r="F15" s="16">
        <v>37090</v>
      </c>
      <c r="G15" s="16">
        <v>116</v>
      </c>
      <c r="H15" s="16">
        <v>146690</v>
      </c>
      <c r="I15" s="16">
        <v>45126</v>
      </c>
      <c r="J15" s="16">
        <v>18910</v>
      </c>
      <c r="K15" s="16" t="s">
        <v>38</v>
      </c>
      <c r="L15" s="16">
        <v>10550</v>
      </c>
      <c r="M15" s="16">
        <v>15665</v>
      </c>
      <c r="N15" s="16">
        <v>230150</v>
      </c>
      <c r="O15" s="16">
        <v>130315</v>
      </c>
      <c r="P15" s="16">
        <v>20546</v>
      </c>
      <c r="Q15" s="16">
        <v>33241</v>
      </c>
      <c r="R15" s="16">
        <v>92582</v>
      </c>
      <c r="S15" s="16">
        <v>21869</v>
      </c>
      <c r="T15" s="16">
        <v>106001</v>
      </c>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c r="BA15" s="45"/>
      <c r="BB15" s="45"/>
    </row>
    <row r="16" spans="1:54" x14ac:dyDescent="0.35">
      <c r="A16" s="14" t="s">
        <v>17</v>
      </c>
      <c r="B16" s="15">
        <v>45443</v>
      </c>
      <c r="C16" s="16">
        <v>883598</v>
      </c>
      <c r="D16" s="16">
        <v>196083</v>
      </c>
      <c r="E16" s="16">
        <v>48752</v>
      </c>
      <c r="F16" s="16">
        <v>37439</v>
      </c>
      <c r="G16" s="16">
        <v>176</v>
      </c>
      <c r="H16" s="16">
        <v>147155</v>
      </c>
      <c r="I16" s="16">
        <v>44984</v>
      </c>
      <c r="J16" s="16">
        <v>18723</v>
      </c>
      <c r="K16" s="16" t="s">
        <v>38</v>
      </c>
      <c r="L16" s="16">
        <v>10636</v>
      </c>
      <c r="M16" s="16">
        <v>15625</v>
      </c>
      <c r="N16" s="16">
        <v>226397</v>
      </c>
      <c r="O16" s="16">
        <v>129393</v>
      </c>
      <c r="P16" s="16">
        <v>20048</v>
      </c>
      <c r="Q16" s="16">
        <v>34154</v>
      </c>
      <c r="R16" s="16">
        <v>90757</v>
      </c>
      <c r="S16" s="16">
        <v>23696</v>
      </c>
      <c r="T16" s="16">
        <v>118086</v>
      </c>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c r="BA16" s="45"/>
      <c r="BB16" s="45"/>
    </row>
    <row r="17" spans="1:54" x14ac:dyDescent="0.35">
      <c r="A17" s="17" t="s">
        <v>17</v>
      </c>
      <c r="B17" s="15">
        <v>45471</v>
      </c>
      <c r="C17" s="16">
        <v>878340</v>
      </c>
      <c r="D17" s="16">
        <v>197059</v>
      </c>
      <c r="E17" s="16">
        <v>49846</v>
      </c>
      <c r="F17" s="16">
        <v>38322</v>
      </c>
      <c r="G17" s="16">
        <v>110</v>
      </c>
      <c r="H17" s="16">
        <v>147103</v>
      </c>
      <c r="I17" s="16">
        <v>46064</v>
      </c>
      <c r="J17" s="16">
        <v>18507</v>
      </c>
      <c r="K17" s="16" t="s">
        <v>38</v>
      </c>
      <c r="L17" s="16">
        <v>10449</v>
      </c>
      <c r="M17" s="16">
        <v>17108</v>
      </c>
      <c r="N17" s="16">
        <v>224077</v>
      </c>
      <c r="O17" s="16">
        <v>132672</v>
      </c>
      <c r="P17" s="16">
        <v>21170</v>
      </c>
      <c r="Q17" s="16">
        <v>35362</v>
      </c>
      <c r="R17" s="16">
        <v>93000</v>
      </c>
      <c r="S17" s="16">
        <v>20441</v>
      </c>
      <c r="T17" s="16">
        <v>108496</v>
      </c>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5"/>
      <c r="BB17" s="45"/>
    </row>
    <row r="18" spans="1:54" x14ac:dyDescent="0.35">
      <c r="A18" s="14" t="s">
        <v>17</v>
      </c>
      <c r="B18" s="15">
        <v>45504</v>
      </c>
      <c r="C18" s="16">
        <v>877994</v>
      </c>
      <c r="D18" s="16">
        <v>197773</v>
      </c>
      <c r="E18" s="16">
        <v>49752</v>
      </c>
      <c r="F18" s="16">
        <v>38376</v>
      </c>
      <c r="G18" s="16">
        <v>108</v>
      </c>
      <c r="H18" s="16">
        <v>147914</v>
      </c>
      <c r="I18" s="16">
        <v>45961</v>
      </c>
      <c r="J18" s="16">
        <v>18392</v>
      </c>
      <c r="K18" s="16" t="s">
        <v>38</v>
      </c>
      <c r="L18" s="16">
        <v>10635</v>
      </c>
      <c r="M18" s="16">
        <v>16934</v>
      </c>
      <c r="N18" s="16">
        <v>226692</v>
      </c>
      <c r="O18" s="16">
        <v>131472</v>
      </c>
      <c r="P18" s="16">
        <v>22347</v>
      </c>
      <c r="Q18" s="16">
        <v>35151</v>
      </c>
      <c r="R18" s="16">
        <v>89882</v>
      </c>
      <c r="S18" s="16">
        <v>19030</v>
      </c>
      <c r="T18" s="16">
        <v>109686</v>
      </c>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5"/>
      <c r="BB18" s="45"/>
    </row>
    <row r="19" spans="1:54" x14ac:dyDescent="0.35">
      <c r="A19" s="14" t="s">
        <v>17</v>
      </c>
      <c r="B19" s="15">
        <v>45534</v>
      </c>
      <c r="C19" s="16">
        <v>883904</v>
      </c>
      <c r="D19" s="16">
        <v>197768</v>
      </c>
      <c r="E19" s="16">
        <v>49786</v>
      </c>
      <c r="F19" s="16">
        <v>38475</v>
      </c>
      <c r="G19" s="16">
        <v>127</v>
      </c>
      <c r="H19" s="16">
        <v>147854</v>
      </c>
      <c r="I19" s="16">
        <v>45944</v>
      </c>
      <c r="J19" s="16">
        <v>18408</v>
      </c>
      <c r="K19" s="16" t="s">
        <v>38</v>
      </c>
      <c r="L19" s="16">
        <v>10684</v>
      </c>
      <c r="M19" s="16">
        <v>16852</v>
      </c>
      <c r="N19" s="16">
        <v>228167</v>
      </c>
      <c r="O19" s="16">
        <v>130625</v>
      </c>
      <c r="P19" s="16">
        <v>21188</v>
      </c>
      <c r="Q19" s="16">
        <v>36650</v>
      </c>
      <c r="R19" s="16">
        <v>90884</v>
      </c>
      <c r="S19" s="16">
        <v>20781</v>
      </c>
      <c r="T19" s="16">
        <v>111899</v>
      </c>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c r="BA19" s="45"/>
      <c r="BB19" s="45"/>
    </row>
    <row r="20" spans="1:54" x14ac:dyDescent="0.35">
      <c r="A20" s="14" t="s">
        <v>17</v>
      </c>
      <c r="B20" s="15">
        <v>45565</v>
      </c>
      <c r="C20" s="16">
        <v>891437</v>
      </c>
      <c r="D20" s="16">
        <v>199446</v>
      </c>
      <c r="E20" s="16">
        <v>50257</v>
      </c>
      <c r="F20" s="16">
        <v>38838</v>
      </c>
      <c r="G20" s="16">
        <v>118</v>
      </c>
      <c r="H20" s="16">
        <v>149071</v>
      </c>
      <c r="I20" s="16">
        <v>46161</v>
      </c>
      <c r="J20" s="16">
        <v>18370</v>
      </c>
      <c r="K20" s="16" t="s">
        <v>38</v>
      </c>
      <c r="L20" s="16">
        <v>10797</v>
      </c>
      <c r="M20" s="16">
        <v>16993</v>
      </c>
      <c r="N20" s="16">
        <v>232780</v>
      </c>
      <c r="O20" s="16">
        <v>133456</v>
      </c>
      <c r="P20" s="16">
        <v>22963</v>
      </c>
      <c r="Q20" s="16">
        <v>36787</v>
      </c>
      <c r="R20" s="16">
        <v>87090</v>
      </c>
      <c r="S20" s="16">
        <v>19362</v>
      </c>
      <c r="T20" s="16">
        <v>113392</v>
      </c>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c r="BA20" s="45"/>
      <c r="BB20" s="45"/>
    </row>
    <row r="21" spans="1:54" x14ac:dyDescent="0.35">
      <c r="A21" s="14" t="s">
        <v>17</v>
      </c>
      <c r="B21" s="15">
        <v>45596</v>
      </c>
      <c r="C21" s="16">
        <v>917747</v>
      </c>
      <c r="D21" s="16">
        <v>197681</v>
      </c>
      <c r="E21" s="16">
        <v>48008</v>
      </c>
      <c r="F21" s="16">
        <v>36847</v>
      </c>
      <c r="G21" s="16">
        <v>132</v>
      </c>
      <c r="H21" s="16">
        <v>149541</v>
      </c>
      <c r="I21" s="16">
        <v>46464</v>
      </c>
      <c r="J21" s="16">
        <v>20436</v>
      </c>
      <c r="K21" s="16" t="s">
        <v>38</v>
      </c>
      <c r="L21" s="16">
        <v>10891</v>
      </c>
      <c r="M21" s="16">
        <v>15137</v>
      </c>
      <c r="N21" s="16">
        <v>243688</v>
      </c>
      <c r="O21" s="16">
        <v>137763</v>
      </c>
      <c r="P21" s="16">
        <v>23760</v>
      </c>
      <c r="Q21" s="16">
        <v>36068</v>
      </c>
      <c r="R21" s="16">
        <v>93243</v>
      </c>
      <c r="S21" s="16">
        <v>22597</v>
      </c>
      <c r="T21" s="16">
        <v>116483</v>
      </c>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5"/>
      <c r="BB21" s="45"/>
    </row>
    <row r="22" spans="1:54" x14ac:dyDescent="0.35">
      <c r="A22" s="14" t="s">
        <v>17</v>
      </c>
      <c r="B22" s="15">
        <v>45625</v>
      </c>
      <c r="C22" s="16">
        <v>952208</v>
      </c>
      <c r="D22" s="16">
        <v>199866</v>
      </c>
      <c r="E22" s="16">
        <v>49392</v>
      </c>
      <c r="F22" s="16">
        <v>38001</v>
      </c>
      <c r="G22" s="16">
        <v>147</v>
      </c>
      <c r="H22" s="16">
        <v>150327</v>
      </c>
      <c r="I22" s="16">
        <v>46410</v>
      </c>
      <c r="J22" s="16">
        <v>19817</v>
      </c>
      <c r="K22" s="16" t="s">
        <v>38</v>
      </c>
      <c r="L22" s="16">
        <v>10917</v>
      </c>
      <c r="M22" s="16">
        <v>15676</v>
      </c>
      <c r="N22" s="16">
        <v>264232</v>
      </c>
      <c r="O22" s="16">
        <v>145368</v>
      </c>
      <c r="P22" s="16">
        <v>23302</v>
      </c>
      <c r="Q22" s="16">
        <v>38303</v>
      </c>
      <c r="R22" s="16">
        <v>86617</v>
      </c>
      <c r="S22" s="16">
        <v>25328</v>
      </c>
      <c r="T22" s="16">
        <v>122782</v>
      </c>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5"/>
      <c r="BB22" s="45"/>
    </row>
    <row r="23" spans="1:54" x14ac:dyDescent="0.35">
      <c r="A23" s="14">
        <v>45657</v>
      </c>
      <c r="B23" s="15">
        <v>45657</v>
      </c>
      <c r="C23" s="16">
        <v>911527</v>
      </c>
      <c r="D23" s="16">
        <v>201137</v>
      </c>
      <c r="E23" s="16">
        <v>49646</v>
      </c>
      <c r="F23" s="16">
        <v>38398</v>
      </c>
      <c r="G23" s="16">
        <v>115</v>
      </c>
      <c r="H23" s="16">
        <v>151376</v>
      </c>
      <c r="I23" s="16">
        <v>46556</v>
      </c>
      <c r="J23" s="16">
        <v>19887</v>
      </c>
      <c r="K23" s="16" t="s">
        <v>38</v>
      </c>
      <c r="L23" s="16">
        <v>10871</v>
      </c>
      <c r="M23" s="16">
        <v>15798</v>
      </c>
      <c r="N23" s="16">
        <v>249019</v>
      </c>
      <c r="O23" s="16">
        <v>148123</v>
      </c>
      <c r="P23" s="16">
        <v>17958</v>
      </c>
      <c r="Q23" s="16">
        <v>37311</v>
      </c>
      <c r="R23" s="16">
        <v>91877</v>
      </c>
      <c r="S23" s="16">
        <v>18452</v>
      </c>
      <c r="T23" s="16">
        <v>101093</v>
      </c>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5"/>
      <c r="BB23" s="45"/>
    </row>
    <row r="24" spans="1:54" x14ac:dyDescent="0.35">
      <c r="A24" s="14">
        <v>45688</v>
      </c>
      <c r="B24" s="15">
        <v>45688</v>
      </c>
      <c r="C24" s="16">
        <v>935019</v>
      </c>
      <c r="D24" s="16">
        <v>200735</v>
      </c>
      <c r="E24" s="16">
        <v>49472</v>
      </c>
      <c r="F24" s="16">
        <v>38327</v>
      </c>
      <c r="G24" s="16">
        <v>121</v>
      </c>
      <c r="H24" s="16">
        <v>151142</v>
      </c>
      <c r="I24" s="16">
        <v>46969</v>
      </c>
      <c r="J24" s="16">
        <v>20055</v>
      </c>
      <c r="K24" s="16" t="s">
        <v>38</v>
      </c>
      <c r="L24" s="16">
        <v>11326</v>
      </c>
      <c r="M24" s="16">
        <v>15588</v>
      </c>
      <c r="N24" s="16">
        <v>265088</v>
      </c>
      <c r="O24" s="16">
        <v>143186</v>
      </c>
      <c r="P24" s="16">
        <v>19475</v>
      </c>
      <c r="Q24" s="16">
        <v>40183</v>
      </c>
      <c r="R24" s="16">
        <v>86582</v>
      </c>
      <c r="S24" s="16">
        <v>19050</v>
      </c>
      <c r="T24" s="16">
        <v>113750</v>
      </c>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5"/>
      <c r="BB24" s="45"/>
    </row>
    <row r="25" spans="1:54" ht="15" thickBot="1" x14ac:dyDescent="0.4">
      <c r="A25" s="10"/>
      <c r="B25" s="10"/>
      <c r="C25" s="18"/>
      <c r="D25" s="18"/>
      <c r="E25" s="18"/>
      <c r="F25" s="18"/>
      <c r="G25" s="18"/>
      <c r="H25" s="18"/>
      <c r="I25" s="18"/>
      <c r="J25" s="18"/>
      <c r="K25" s="18"/>
      <c r="L25" s="18"/>
      <c r="M25" s="18"/>
      <c r="N25" s="18"/>
      <c r="O25" s="18"/>
      <c r="P25" s="18"/>
      <c r="Q25" s="18"/>
      <c r="R25" s="18"/>
      <c r="S25" s="18"/>
      <c r="T25" s="10"/>
      <c r="U25" s="46"/>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row>
    <row r="26" spans="1:54" ht="25.5" thickBot="1" x14ac:dyDescent="0.4">
      <c r="A26" s="10"/>
      <c r="B26" s="10"/>
      <c r="C26" s="74" t="s">
        <v>18</v>
      </c>
      <c r="D26" s="58"/>
      <c r="E26" s="58"/>
      <c r="F26" s="58"/>
      <c r="G26" s="58"/>
      <c r="H26" s="58"/>
      <c r="I26" s="58"/>
      <c r="J26" s="58"/>
      <c r="K26" s="58"/>
      <c r="L26" s="58"/>
      <c r="M26" s="58"/>
      <c r="N26" s="58"/>
      <c r="O26" s="58"/>
      <c r="P26" s="58"/>
      <c r="Q26" s="58"/>
      <c r="R26" s="59"/>
      <c r="S26" s="18"/>
      <c r="T26" s="10"/>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row>
    <row r="27" spans="1:54" x14ac:dyDescent="0.35">
      <c r="A27" s="10"/>
      <c r="B27" s="10"/>
      <c r="C27" s="73"/>
      <c r="D27" s="62" t="s">
        <v>19</v>
      </c>
      <c r="E27" s="63"/>
      <c r="F27" s="61"/>
      <c r="G27" s="61"/>
      <c r="H27" s="64"/>
      <c r="I27" s="92" t="s">
        <v>20</v>
      </c>
      <c r="J27" s="105"/>
      <c r="K27" s="93"/>
      <c r="L27" s="92" t="s">
        <v>21</v>
      </c>
      <c r="M27" s="93"/>
      <c r="N27" s="92" t="s">
        <v>22</v>
      </c>
      <c r="O27" s="93"/>
      <c r="P27" s="94" t="s">
        <v>23</v>
      </c>
      <c r="Q27" s="92" t="s">
        <v>24</v>
      </c>
      <c r="R27" s="93"/>
      <c r="S27" s="18"/>
      <c r="T27" s="10"/>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row>
    <row r="28" spans="1:54" x14ac:dyDescent="0.35">
      <c r="A28" s="10"/>
      <c r="B28" s="22"/>
      <c r="C28" s="80"/>
      <c r="D28" s="82"/>
      <c r="E28" s="84" t="s">
        <v>8</v>
      </c>
      <c r="F28" s="67"/>
      <c r="G28" s="86" t="s">
        <v>9</v>
      </c>
      <c r="H28" s="88" t="s">
        <v>10</v>
      </c>
      <c r="I28" s="90" t="s">
        <v>25</v>
      </c>
      <c r="J28" s="97" t="s">
        <v>11</v>
      </c>
      <c r="K28" s="103" t="s">
        <v>12</v>
      </c>
      <c r="L28" s="101" t="s">
        <v>26</v>
      </c>
      <c r="M28" s="99" t="s">
        <v>27</v>
      </c>
      <c r="N28" s="101" t="s">
        <v>13</v>
      </c>
      <c r="O28" s="99" t="s">
        <v>14</v>
      </c>
      <c r="P28" s="95"/>
      <c r="Q28" s="101" t="s">
        <v>13</v>
      </c>
      <c r="R28" s="99" t="s">
        <v>14</v>
      </c>
      <c r="S28" s="18"/>
      <c r="T28" s="10"/>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row>
    <row r="29" spans="1:54" ht="25.5" thickBot="1" x14ac:dyDescent="0.4">
      <c r="A29" s="19"/>
      <c r="B29" s="53"/>
      <c r="C29" s="81"/>
      <c r="D29" s="83"/>
      <c r="E29" s="85"/>
      <c r="F29" s="55" t="s">
        <v>15</v>
      </c>
      <c r="G29" s="87"/>
      <c r="H29" s="89"/>
      <c r="I29" s="91"/>
      <c r="J29" s="98"/>
      <c r="K29" s="104"/>
      <c r="L29" s="102"/>
      <c r="M29" s="100"/>
      <c r="N29" s="102"/>
      <c r="O29" s="100"/>
      <c r="P29" s="96"/>
      <c r="Q29" s="102"/>
      <c r="R29" s="100"/>
      <c r="S29" s="18"/>
      <c r="T29" s="10"/>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row>
    <row r="30" spans="1:54" x14ac:dyDescent="0.35">
      <c r="A30" s="7"/>
      <c r="B30" s="7"/>
      <c r="C30" s="43">
        <v>32</v>
      </c>
      <c r="D30" s="7">
        <v>33</v>
      </c>
      <c r="E30" s="7">
        <v>34</v>
      </c>
      <c r="F30" s="43">
        <v>1555</v>
      </c>
      <c r="G30" s="7">
        <v>35</v>
      </c>
      <c r="H30" s="7">
        <v>11</v>
      </c>
      <c r="I30" s="43">
        <v>36</v>
      </c>
      <c r="J30" s="43">
        <v>37</v>
      </c>
      <c r="K30" s="43">
        <v>38</v>
      </c>
      <c r="L30" s="43">
        <v>39</v>
      </c>
      <c r="M30" s="43">
        <v>40</v>
      </c>
      <c r="N30" s="43">
        <v>41</v>
      </c>
      <c r="O30" s="43">
        <v>42</v>
      </c>
      <c r="P30" s="43">
        <v>43</v>
      </c>
      <c r="Q30" s="7">
        <v>45</v>
      </c>
      <c r="R30" s="7">
        <v>46</v>
      </c>
      <c r="S30" s="7"/>
      <c r="T30" s="7"/>
      <c r="U30" s="46"/>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row>
    <row r="31" spans="1:54" x14ac:dyDescent="0.35">
      <c r="A31" s="10"/>
      <c r="B31" s="10"/>
      <c r="C31" s="10"/>
      <c r="D31" s="10"/>
      <c r="E31" s="10"/>
      <c r="F31" s="10"/>
      <c r="G31" s="10"/>
      <c r="H31" s="10"/>
      <c r="I31" s="10"/>
      <c r="J31" s="10"/>
      <c r="K31" s="10"/>
      <c r="L31" s="10"/>
      <c r="M31" s="10"/>
      <c r="N31" s="10"/>
      <c r="O31" s="10"/>
      <c r="P31" s="21"/>
      <c r="Q31" s="10"/>
      <c r="R31" s="10"/>
      <c r="S31" s="10"/>
      <c r="T31" s="10"/>
      <c r="U31" s="46"/>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row>
    <row r="32" spans="1:54" x14ac:dyDescent="0.35">
      <c r="A32" s="11" t="s">
        <v>16</v>
      </c>
      <c r="B32" s="12"/>
      <c r="C32" s="12"/>
      <c r="D32" s="12"/>
      <c r="E32" s="12"/>
      <c r="F32" s="12"/>
      <c r="G32" s="12"/>
      <c r="H32" s="12"/>
      <c r="I32" s="12"/>
      <c r="J32" s="12"/>
      <c r="K32" s="12"/>
      <c r="L32" s="12"/>
      <c r="M32" s="12"/>
      <c r="N32" s="12"/>
      <c r="O32" s="12"/>
      <c r="P32" s="12"/>
      <c r="Q32" s="7"/>
      <c r="R32" s="7"/>
      <c r="S32" s="22"/>
      <c r="T32" s="22"/>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row>
    <row r="33" spans="1:54" x14ac:dyDescent="0.35">
      <c r="A33" s="23"/>
      <c r="B33" s="12"/>
      <c r="C33" s="12"/>
      <c r="D33" s="12"/>
      <c r="E33" s="12"/>
      <c r="F33" s="12"/>
      <c r="G33" s="12"/>
      <c r="H33" s="12"/>
      <c r="I33" s="12"/>
      <c r="J33" s="12"/>
      <c r="K33" s="12"/>
      <c r="L33" s="12"/>
      <c r="M33" s="12"/>
      <c r="N33" s="12"/>
      <c r="O33" s="12"/>
      <c r="P33" s="12"/>
      <c r="Q33" s="7"/>
      <c r="R33" s="7"/>
      <c r="S33" s="22"/>
      <c r="T33" s="22"/>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row>
    <row r="34" spans="1:54" x14ac:dyDescent="0.35">
      <c r="A34" s="14">
        <v>45322</v>
      </c>
      <c r="B34" s="15">
        <v>45322</v>
      </c>
      <c r="C34" s="16">
        <v>874814</v>
      </c>
      <c r="D34" s="16">
        <v>351872</v>
      </c>
      <c r="E34" s="16">
        <v>41342</v>
      </c>
      <c r="F34" s="16">
        <v>35037</v>
      </c>
      <c r="G34" s="16">
        <v>3797</v>
      </c>
      <c r="H34" s="16">
        <v>306733</v>
      </c>
      <c r="I34" s="16">
        <v>24818</v>
      </c>
      <c r="J34" s="16">
        <v>9975</v>
      </c>
      <c r="K34" s="16">
        <v>18747</v>
      </c>
      <c r="L34" s="16">
        <v>136200</v>
      </c>
      <c r="M34" s="16">
        <v>113858</v>
      </c>
      <c r="N34" s="16">
        <v>41896</v>
      </c>
      <c r="O34" s="16">
        <v>53415</v>
      </c>
      <c r="P34" s="16" t="s">
        <v>38</v>
      </c>
      <c r="Q34" s="16">
        <v>16894</v>
      </c>
      <c r="R34" s="16">
        <v>107044</v>
      </c>
      <c r="S34" s="16"/>
      <c r="T34" s="16"/>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5"/>
      <c r="BB34" s="45"/>
    </row>
    <row r="35" spans="1:54" x14ac:dyDescent="0.35">
      <c r="A35" s="14" t="s">
        <v>17</v>
      </c>
      <c r="B35" s="15">
        <v>45351</v>
      </c>
      <c r="C35" s="16">
        <v>871956</v>
      </c>
      <c r="D35" s="16">
        <v>347682</v>
      </c>
      <c r="E35" s="16">
        <v>42678</v>
      </c>
      <c r="F35" s="16">
        <v>36394</v>
      </c>
      <c r="G35" s="16">
        <v>3345</v>
      </c>
      <c r="H35" s="16">
        <v>301659</v>
      </c>
      <c r="I35" s="16">
        <v>23393</v>
      </c>
      <c r="J35" s="16">
        <v>9735</v>
      </c>
      <c r="K35" s="16">
        <v>18728</v>
      </c>
      <c r="L35" s="16">
        <v>136383</v>
      </c>
      <c r="M35" s="16">
        <v>112848</v>
      </c>
      <c r="N35" s="16">
        <v>42070</v>
      </c>
      <c r="O35" s="16">
        <v>53541</v>
      </c>
      <c r="P35" s="16" t="s">
        <v>38</v>
      </c>
      <c r="Q35" s="16">
        <v>16984</v>
      </c>
      <c r="R35" s="16">
        <v>110508</v>
      </c>
      <c r="S35" s="16"/>
      <c r="T35" s="16"/>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5"/>
      <c r="BB35" s="45"/>
    </row>
    <row r="36" spans="1:54" x14ac:dyDescent="0.35">
      <c r="A36" s="14" t="s">
        <v>17</v>
      </c>
      <c r="B36" s="15">
        <v>45379</v>
      </c>
      <c r="C36" s="16">
        <v>871965</v>
      </c>
      <c r="D36" s="16">
        <v>350980</v>
      </c>
      <c r="E36" s="16">
        <v>43132</v>
      </c>
      <c r="F36" s="16">
        <v>36908</v>
      </c>
      <c r="G36" s="16">
        <v>3530</v>
      </c>
      <c r="H36" s="16">
        <v>304318</v>
      </c>
      <c r="I36" s="16">
        <v>24568</v>
      </c>
      <c r="J36" s="16">
        <v>9015</v>
      </c>
      <c r="K36" s="16">
        <v>17710</v>
      </c>
      <c r="L36" s="16">
        <v>136074</v>
      </c>
      <c r="M36" s="16">
        <v>115174</v>
      </c>
      <c r="N36" s="16">
        <v>41182</v>
      </c>
      <c r="O36" s="16">
        <v>53035</v>
      </c>
      <c r="P36" s="16" t="s">
        <v>38</v>
      </c>
      <c r="Q36" s="16">
        <v>17941</v>
      </c>
      <c r="R36" s="16">
        <v>106258</v>
      </c>
      <c r="S36" s="16"/>
      <c r="T36" s="16"/>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5"/>
      <c r="BB36" s="45"/>
    </row>
    <row r="37" spans="1:54" x14ac:dyDescent="0.35">
      <c r="A37" s="14" t="s">
        <v>17</v>
      </c>
      <c r="B37" s="15">
        <v>45412</v>
      </c>
      <c r="C37" s="16">
        <v>875104</v>
      </c>
      <c r="D37" s="16">
        <v>358013</v>
      </c>
      <c r="E37" s="16">
        <v>43940</v>
      </c>
      <c r="F37" s="16">
        <v>37090</v>
      </c>
      <c r="G37" s="16">
        <v>3720</v>
      </c>
      <c r="H37" s="16">
        <v>310353</v>
      </c>
      <c r="I37" s="16">
        <v>24913</v>
      </c>
      <c r="J37" s="16">
        <v>9082</v>
      </c>
      <c r="K37" s="16">
        <v>17466</v>
      </c>
      <c r="L37" s="16">
        <v>136811</v>
      </c>
      <c r="M37" s="16">
        <v>117199</v>
      </c>
      <c r="N37" s="16">
        <v>41064</v>
      </c>
      <c r="O37" s="16">
        <v>53380</v>
      </c>
      <c r="P37" s="16" t="s">
        <v>38</v>
      </c>
      <c r="Q37" s="16">
        <v>16096</v>
      </c>
      <c r="R37" s="16">
        <v>101051</v>
      </c>
      <c r="S37" s="16"/>
      <c r="T37" s="16"/>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5"/>
      <c r="BB37" s="45"/>
    </row>
    <row r="38" spans="1:54" x14ac:dyDescent="0.35">
      <c r="A38" s="14" t="s">
        <v>17</v>
      </c>
      <c r="B38" s="15">
        <v>45443</v>
      </c>
      <c r="C38" s="16">
        <v>883598</v>
      </c>
      <c r="D38" s="16">
        <v>359562</v>
      </c>
      <c r="E38" s="16">
        <v>44804</v>
      </c>
      <c r="F38" s="16">
        <v>37439</v>
      </c>
      <c r="G38" s="16">
        <v>3671</v>
      </c>
      <c r="H38" s="16">
        <v>311086</v>
      </c>
      <c r="I38" s="16">
        <v>25204</v>
      </c>
      <c r="J38" s="16">
        <v>8891</v>
      </c>
      <c r="K38" s="16">
        <v>17539</v>
      </c>
      <c r="L38" s="16">
        <v>132705</v>
      </c>
      <c r="M38" s="16">
        <v>113688</v>
      </c>
      <c r="N38" s="16">
        <v>39784</v>
      </c>
      <c r="O38" s="16">
        <v>53521</v>
      </c>
      <c r="P38" s="16" t="s">
        <v>38</v>
      </c>
      <c r="Q38" s="16">
        <v>17362</v>
      </c>
      <c r="R38" s="16">
        <v>115306</v>
      </c>
      <c r="S38" s="16"/>
      <c r="T38" s="16"/>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5"/>
      <c r="BB38" s="45"/>
    </row>
    <row r="39" spans="1:54" x14ac:dyDescent="0.35">
      <c r="A39" s="17" t="s">
        <v>17</v>
      </c>
      <c r="B39" s="15">
        <v>45471</v>
      </c>
      <c r="C39" s="16">
        <v>878340</v>
      </c>
      <c r="D39" s="16">
        <v>358812</v>
      </c>
      <c r="E39" s="16">
        <v>45771</v>
      </c>
      <c r="F39" s="16">
        <v>38322</v>
      </c>
      <c r="G39" s="16">
        <v>3533</v>
      </c>
      <c r="H39" s="16">
        <v>309508</v>
      </c>
      <c r="I39" s="16">
        <v>25031</v>
      </c>
      <c r="J39" s="16">
        <v>9044</v>
      </c>
      <c r="K39" s="16">
        <v>17465</v>
      </c>
      <c r="L39" s="16">
        <v>136199</v>
      </c>
      <c r="M39" s="16">
        <v>117662</v>
      </c>
      <c r="N39" s="16">
        <v>40240</v>
      </c>
      <c r="O39" s="16">
        <v>54353</v>
      </c>
      <c r="P39" s="16" t="s">
        <v>38</v>
      </c>
      <c r="Q39" s="16">
        <v>15384</v>
      </c>
      <c r="R39" s="16">
        <v>104141</v>
      </c>
      <c r="S39" s="16"/>
      <c r="T39" s="16"/>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5"/>
      <c r="BB39" s="45"/>
    </row>
    <row r="40" spans="1:54" x14ac:dyDescent="0.35">
      <c r="A40" s="14" t="s">
        <v>17</v>
      </c>
      <c r="B40" s="15">
        <v>45504</v>
      </c>
      <c r="C40" s="16">
        <v>877994</v>
      </c>
      <c r="D40" s="16">
        <v>364546</v>
      </c>
      <c r="E40" s="16">
        <v>46003</v>
      </c>
      <c r="F40" s="16">
        <v>38376</v>
      </c>
      <c r="G40" s="16">
        <v>3788</v>
      </c>
      <c r="H40" s="16">
        <v>314755</v>
      </c>
      <c r="I40" s="16">
        <v>25467</v>
      </c>
      <c r="J40" s="16">
        <v>9526</v>
      </c>
      <c r="K40" s="16">
        <v>16926</v>
      </c>
      <c r="L40" s="16">
        <v>137819</v>
      </c>
      <c r="M40" s="16">
        <v>107088</v>
      </c>
      <c r="N40" s="16">
        <v>41037</v>
      </c>
      <c r="O40" s="16">
        <v>54335</v>
      </c>
      <c r="P40" s="16" t="s">
        <v>38</v>
      </c>
      <c r="Q40" s="16">
        <v>14481</v>
      </c>
      <c r="R40" s="16">
        <v>106760</v>
      </c>
      <c r="S40" s="16"/>
      <c r="T40" s="16"/>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5"/>
      <c r="BB40" s="45"/>
    </row>
    <row r="41" spans="1:54" x14ac:dyDescent="0.35">
      <c r="A41" s="14" t="s">
        <v>17</v>
      </c>
      <c r="B41" s="15">
        <v>45534</v>
      </c>
      <c r="C41" s="16">
        <v>883904</v>
      </c>
      <c r="D41" s="16">
        <v>363845</v>
      </c>
      <c r="E41" s="16">
        <v>45679</v>
      </c>
      <c r="F41" s="16">
        <v>38475</v>
      </c>
      <c r="G41" s="16">
        <v>3512</v>
      </c>
      <c r="H41" s="16">
        <v>314655</v>
      </c>
      <c r="I41" s="16">
        <v>25861</v>
      </c>
      <c r="J41" s="16">
        <v>9388</v>
      </c>
      <c r="K41" s="16">
        <v>16800</v>
      </c>
      <c r="L41" s="16">
        <v>135158</v>
      </c>
      <c r="M41" s="16">
        <v>113722</v>
      </c>
      <c r="N41" s="16">
        <v>41504</v>
      </c>
      <c r="O41" s="16">
        <v>54131</v>
      </c>
      <c r="P41" s="16" t="s">
        <v>38</v>
      </c>
      <c r="Q41" s="16">
        <v>15063</v>
      </c>
      <c r="R41" s="16">
        <v>108431</v>
      </c>
      <c r="S41" s="16"/>
      <c r="T41" s="16"/>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5"/>
      <c r="BB41" s="45"/>
    </row>
    <row r="42" spans="1:54" x14ac:dyDescent="0.35">
      <c r="A42" s="14" t="s">
        <v>17</v>
      </c>
      <c r="B42" s="15">
        <v>45565</v>
      </c>
      <c r="C42" s="16">
        <v>891437</v>
      </c>
      <c r="D42" s="16">
        <v>363482</v>
      </c>
      <c r="E42" s="16">
        <v>45933</v>
      </c>
      <c r="F42" s="16">
        <v>38838</v>
      </c>
      <c r="G42" s="16">
        <v>3704</v>
      </c>
      <c r="H42" s="16">
        <v>313845</v>
      </c>
      <c r="I42" s="16">
        <v>24664</v>
      </c>
      <c r="J42" s="16">
        <v>9558</v>
      </c>
      <c r="K42" s="16">
        <v>16222</v>
      </c>
      <c r="L42" s="16">
        <v>140852</v>
      </c>
      <c r="M42" s="16">
        <v>118063</v>
      </c>
      <c r="N42" s="16">
        <v>41544</v>
      </c>
      <c r="O42" s="16">
        <v>54157</v>
      </c>
      <c r="P42" s="16" t="s">
        <v>38</v>
      </c>
      <c r="Q42" s="16">
        <v>15092</v>
      </c>
      <c r="R42" s="16">
        <v>107803</v>
      </c>
      <c r="S42" s="16"/>
      <c r="T42" s="16"/>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5"/>
      <c r="BB42" s="45"/>
    </row>
    <row r="43" spans="1:54" x14ac:dyDescent="0.35">
      <c r="A43" s="14" t="s">
        <v>17</v>
      </c>
      <c r="B43" s="15">
        <v>45596</v>
      </c>
      <c r="C43" s="16">
        <v>917747</v>
      </c>
      <c r="D43" s="16">
        <v>367165</v>
      </c>
      <c r="E43" s="16">
        <v>42896</v>
      </c>
      <c r="F43" s="16">
        <v>36847</v>
      </c>
      <c r="G43" s="16">
        <v>3758</v>
      </c>
      <c r="H43" s="16">
        <v>320511</v>
      </c>
      <c r="I43" s="16">
        <v>26461</v>
      </c>
      <c r="J43" s="16">
        <v>9462</v>
      </c>
      <c r="K43" s="16">
        <v>15789</v>
      </c>
      <c r="L43" s="16">
        <v>155997</v>
      </c>
      <c r="M43" s="16">
        <v>119191</v>
      </c>
      <c r="N43" s="16">
        <v>41454</v>
      </c>
      <c r="O43" s="16">
        <v>54081</v>
      </c>
      <c r="P43" s="16" t="s">
        <v>38</v>
      </c>
      <c r="Q43" s="16">
        <v>17346</v>
      </c>
      <c r="R43" s="16">
        <v>110802</v>
      </c>
      <c r="S43" s="16"/>
      <c r="T43" s="16"/>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5"/>
      <c r="BB43" s="45"/>
    </row>
    <row r="44" spans="1:54" x14ac:dyDescent="0.35">
      <c r="A44" s="14" t="s">
        <v>17</v>
      </c>
      <c r="B44" s="15">
        <v>45625</v>
      </c>
      <c r="C44" s="16">
        <v>952208</v>
      </c>
      <c r="D44" s="16">
        <v>365058</v>
      </c>
      <c r="E44" s="16">
        <v>43772</v>
      </c>
      <c r="F44" s="16">
        <v>38001</v>
      </c>
      <c r="G44" s="16">
        <v>4459</v>
      </c>
      <c r="H44" s="16">
        <v>316826</v>
      </c>
      <c r="I44" s="16">
        <v>25185</v>
      </c>
      <c r="J44" s="16">
        <v>9610</v>
      </c>
      <c r="K44" s="16">
        <v>15491</v>
      </c>
      <c r="L44" s="16">
        <v>156699</v>
      </c>
      <c r="M44" s="16">
        <v>139509</v>
      </c>
      <c r="N44" s="16">
        <v>41972</v>
      </c>
      <c r="O44" s="16">
        <v>55797</v>
      </c>
      <c r="P44" s="16" t="s">
        <v>38</v>
      </c>
      <c r="Q44" s="16">
        <v>27868</v>
      </c>
      <c r="R44" s="16">
        <v>115019</v>
      </c>
      <c r="S44" s="16"/>
      <c r="T44" s="16"/>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5"/>
      <c r="BB44" s="45"/>
    </row>
    <row r="45" spans="1:54" x14ac:dyDescent="0.35">
      <c r="A45" s="14">
        <v>45657</v>
      </c>
      <c r="B45" s="15">
        <v>45657</v>
      </c>
      <c r="C45" s="16">
        <v>911527</v>
      </c>
      <c r="D45" s="16">
        <v>373438</v>
      </c>
      <c r="E45" s="16">
        <v>45188</v>
      </c>
      <c r="F45" s="16">
        <v>38398</v>
      </c>
      <c r="G45" s="16">
        <v>3794</v>
      </c>
      <c r="H45" s="16">
        <v>324456</v>
      </c>
      <c r="I45" s="16">
        <v>24645</v>
      </c>
      <c r="J45" s="16">
        <v>9730</v>
      </c>
      <c r="K45" s="16">
        <v>15935</v>
      </c>
      <c r="L45" s="16">
        <v>149653</v>
      </c>
      <c r="M45" s="16">
        <v>128650</v>
      </c>
      <c r="N45" s="16">
        <v>42003</v>
      </c>
      <c r="O45" s="16">
        <v>56198</v>
      </c>
      <c r="P45" s="16" t="s">
        <v>38</v>
      </c>
      <c r="Q45" s="16">
        <v>15627</v>
      </c>
      <c r="R45" s="16">
        <v>95648</v>
      </c>
      <c r="S45" s="16"/>
      <c r="T45" s="16"/>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5"/>
      <c r="BB45" s="45"/>
    </row>
    <row r="46" spans="1:54" x14ac:dyDescent="0.35">
      <c r="A46" s="14">
        <v>45688</v>
      </c>
      <c r="B46" s="15">
        <v>45688</v>
      </c>
      <c r="C46" s="16">
        <v>935019</v>
      </c>
      <c r="D46" s="16">
        <v>369741</v>
      </c>
      <c r="E46" s="16">
        <v>44926</v>
      </c>
      <c r="F46" s="16">
        <v>38327</v>
      </c>
      <c r="G46" s="16">
        <v>3769</v>
      </c>
      <c r="H46" s="16">
        <v>321045</v>
      </c>
      <c r="I46" s="16">
        <v>25899</v>
      </c>
      <c r="J46" s="16">
        <v>9732</v>
      </c>
      <c r="K46" s="16">
        <v>15985</v>
      </c>
      <c r="L46" s="16">
        <v>155926</v>
      </c>
      <c r="M46" s="16">
        <v>138241</v>
      </c>
      <c r="N46" s="16">
        <v>41987</v>
      </c>
      <c r="O46" s="16">
        <v>57002</v>
      </c>
      <c r="P46" s="16" t="s">
        <v>38</v>
      </c>
      <c r="Q46" s="16">
        <v>16372</v>
      </c>
      <c r="R46" s="16">
        <v>104133</v>
      </c>
      <c r="S46" s="16"/>
      <c r="T46" s="16"/>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5"/>
      <c r="BB46" s="45"/>
    </row>
    <row r="47" spans="1:54" x14ac:dyDescent="0.35">
      <c r="A47" s="10"/>
      <c r="B47" s="10"/>
      <c r="C47" s="18"/>
      <c r="D47" s="18"/>
      <c r="E47" s="18"/>
      <c r="F47" s="18"/>
      <c r="G47" s="18"/>
      <c r="H47" s="18"/>
      <c r="I47" s="18"/>
      <c r="J47" s="18"/>
      <c r="K47" s="18"/>
      <c r="L47" s="18"/>
      <c r="M47" s="18"/>
      <c r="N47" s="18"/>
      <c r="O47" s="18"/>
      <c r="P47" s="18"/>
      <c r="Q47" s="18"/>
      <c r="R47" s="10"/>
      <c r="S47" s="10"/>
      <c r="T47" s="10"/>
      <c r="U47" s="46"/>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row>
    <row r="48" spans="1:54" x14ac:dyDescent="0.35">
      <c r="A48" s="24" t="s">
        <v>28</v>
      </c>
      <c r="B48" s="25">
        <v>1</v>
      </c>
      <c r="C48" s="79" t="s">
        <v>29</v>
      </c>
      <c r="D48" s="79"/>
      <c r="E48" s="79"/>
      <c r="F48" s="79"/>
      <c r="G48" s="79"/>
      <c r="H48" s="79"/>
      <c r="I48" s="79"/>
      <c r="J48" s="79"/>
      <c r="K48" s="79"/>
      <c r="L48" s="79"/>
      <c r="M48" s="79"/>
      <c r="N48" s="79"/>
      <c r="O48" s="79"/>
      <c r="P48" s="79"/>
      <c r="Q48" s="26"/>
      <c r="R48" s="26"/>
      <c r="S48" s="26"/>
      <c r="T48" s="2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row>
    <row r="49" spans="1:52" x14ac:dyDescent="0.35">
      <c r="A49" s="27"/>
      <c r="B49" s="28"/>
      <c r="C49" s="78" t="s">
        <v>30</v>
      </c>
      <c r="D49" s="78"/>
      <c r="E49" s="78"/>
      <c r="F49" s="78"/>
      <c r="G49" s="78"/>
      <c r="H49" s="78"/>
      <c r="I49" s="78"/>
      <c r="J49" s="78"/>
      <c r="K49" s="78"/>
      <c r="L49" s="78"/>
      <c r="M49" s="78"/>
      <c r="N49" s="78"/>
      <c r="O49" s="78"/>
      <c r="P49" s="78"/>
      <c r="Q49" s="28"/>
      <c r="R49" s="28"/>
      <c r="S49" s="28"/>
      <c r="T49" s="28"/>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row>
    <row r="50" spans="1:52" x14ac:dyDescent="0.35">
      <c r="A50" s="27"/>
      <c r="B50" s="28"/>
      <c r="C50" s="29"/>
      <c r="D50" s="72"/>
      <c r="E50" s="72"/>
      <c r="F50" s="72"/>
      <c r="G50" s="72"/>
      <c r="H50" s="72"/>
      <c r="I50" s="72"/>
      <c r="J50" s="72"/>
      <c r="K50" s="72"/>
      <c r="L50" s="72"/>
      <c r="M50" s="72"/>
      <c r="N50" s="30"/>
      <c r="O50" s="30"/>
      <c r="P50" s="30"/>
      <c r="Q50" s="28"/>
      <c r="R50" s="28"/>
      <c r="S50" s="28"/>
      <c r="T50" s="28"/>
      <c r="U50" s="46"/>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row>
    <row r="51" spans="1:52" x14ac:dyDescent="0.35">
      <c r="A51" s="27"/>
      <c r="B51" s="25">
        <v>2</v>
      </c>
      <c r="C51" s="79" t="s">
        <v>31</v>
      </c>
      <c r="D51" s="79"/>
      <c r="E51" s="79"/>
      <c r="F51" s="79"/>
      <c r="G51" s="79"/>
      <c r="H51" s="79"/>
      <c r="I51" s="79"/>
      <c r="J51" s="79"/>
      <c r="K51" s="79"/>
      <c r="L51" s="79"/>
      <c r="M51" s="79"/>
      <c r="N51" s="79"/>
      <c r="O51" s="79"/>
      <c r="P51" s="79"/>
      <c r="Q51" s="26"/>
      <c r="R51" s="26"/>
      <c r="S51" s="26"/>
      <c r="T51" s="26"/>
      <c r="U51" s="46"/>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row>
    <row r="52" spans="1:52" x14ac:dyDescent="0.35">
      <c r="A52" s="27"/>
      <c r="B52" s="28"/>
      <c r="C52" s="78" t="s">
        <v>32</v>
      </c>
      <c r="D52" s="78"/>
      <c r="E52" s="78"/>
      <c r="F52" s="78"/>
      <c r="G52" s="78"/>
      <c r="H52" s="78"/>
      <c r="I52" s="78"/>
      <c r="J52" s="78"/>
      <c r="K52" s="78"/>
      <c r="L52" s="78"/>
      <c r="M52" s="78"/>
      <c r="N52" s="78"/>
      <c r="O52" s="78"/>
      <c r="P52" s="78"/>
      <c r="Q52" s="28"/>
      <c r="R52" s="28"/>
      <c r="S52" s="28"/>
      <c r="T52" s="28"/>
      <c r="U52" s="46"/>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row>
    <row r="53" spans="1:52" x14ac:dyDescent="0.35">
      <c r="A53" s="27"/>
      <c r="B53" s="28"/>
      <c r="C53" s="29"/>
      <c r="D53" s="30"/>
      <c r="E53" s="30"/>
      <c r="F53" s="30"/>
      <c r="G53" s="30"/>
      <c r="H53" s="30"/>
      <c r="I53" s="30"/>
      <c r="J53" s="30"/>
      <c r="K53" s="30"/>
      <c r="L53" s="30"/>
      <c r="M53" s="30"/>
      <c r="N53" s="30"/>
      <c r="O53" s="30"/>
      <c r="P53" s="30"/>
      <c r="Q53" s="28"/>
      <c r="R53" s="28"/>
      <c r="S53" s="28"/>
      <c r="T53" s="28"/>
      <c r="U53" s="46"/>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row>
    <row r="54" spans="1:52" x14ac:dyDescent="0.35">
      <c r="A54" s="27"/>
      <c r="B54" s="25">
        <v>3</v>
      </c>
      <c r="C54" s="77" t="s">
        <v>33</v>
      </c>
      <c r="D54" s="77"/>
      <c r="E54" s="77"/>
      <c r="F54" s="77"/>
      <c r="G54" s="77"/>
      <c r="H54" s="77"/>
      <c r="I54" s="77"/>
      <c r="J54" s="77"/>
      <c r="K54" s="77"/>
      <c r="L54" s="77"/>
      <c r="M54" s="77"/>
      <c r="N54" s="77"/>
      <c r="O54" s="77"/>
      <c r="P54" s="77"/>
      <c r="Q54" s="30"/>
      <c r="R54" s="30"/>
      <c r="S54" s="30"/>
      <c r="T54" s="30"/>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row>
    <row r="55" spans="1:52" x14ac:dyDescent="0.35">
      <c r="A55" s="27"/>
      <c r="B55" s="25"/>
      <c r="C55" s="78" t="s">
        <v>34</v>
      </c>
      <c r="D55" s="78"/>
      <c r="E55" s="78"/>
      <c r="F55" s="78"/>
      <c r="G55" s="78"/>
      <c r="H55" s="78"/>
      <c r="I55" s="78"/>
      <c r="J55" s="78"/>
      <c r="K55" s="78"/>
      <c r="L55" s="78"/>
      <c r="M55" s="78"/>
      <c r="N55" s="78"/>
      <c r="O55" s="78"/>
      <c r="P55" s="78"/>
      <c r="Q55" s="28"/>
      <c r="R55" s="28"/>
      <c r="S55" s="28"/>
      <c r="T55" s="28"/>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row>
    <row r="56" spans="1:52" x14ac:dyDescent="0.35">
      <c r="A56" s="27"/>
      <c r="B56" s="24"/>
      <c r="C56" s="31"/>
      <c r="D56" s="72"/>
      <c r="E56" s="72"/>
      <c r="F56" s="72"/>
      <c r="G56" s="72"/>
      <c r="H56" s="72"/>
      <c r="I56" s="72"/>
      <c r="J56" s="72"/>
      <c r="K56" s="72"/>
      <c r="L56" s="72"/>
      <c r="M56" s="72"/>
      <c r="N56" s="72"/>
      <c r="O56" s="72"/>
      <c r="P56" s="72"/>
      <c r="Q56" s="28"/>
      <c r="R56" s="28"/>
      <c r="S56" s="28"/>
      <c r="T56" s="28"/>
      <c r="U56" s="46"/>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row>
    <row r="57" spans="1:52" x14ac:dyDescent="0.35">
      <c r="A57" s="27"/>
      <c r="B57" s="25">
        <v>4</v>
      </c>
      <c r="C57" s="77" t="s">
        <v>35</v>
      </c>
      <c r="D57" s="77"/>
      <c r="E57" s="77"/>
      <c r="F57" s="77"/>
      <c r="G57" s="77"/>
      <c r="H57" s="77"/>
      <c r="I57" s="77"/>
      <c r="J57" s="77"/>
      <c r="K57" s="77"/>
      <c r="L57" s="77"/>
      <c r="M57" s="77"/>
      <c r="N57" s="77"/>
      <c r="O57" s="77"/>
      <c r="P57" s="77"/>
      <c r="Q57" s="30"/>
      <c r="R57" s="30"/>
      <c r="S57" s="30"/>
      <c r="T57" s="30"/>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row>
    <row r="58" spans="1:52" x14ac:dyDescent="0.35">
      <c r="A58" s="27"/>
      <c r="B58" s="25">
        <v>5</v>
      </c>
      <c r="C58" s="77" t="s">
        <v>36</v>
      </c>
      <c r="D58" s="77"/>
      <c r="E58" s="77"/>
      <c r="F58" s="77"/>
      <c r="G58" s="77"/>
      <c r="H58" s="77"/>
      <c r="I58" s="77"/>
      <c r="J58" s="77"/>
      <c r="K58" s="77"/>
      <c r="L58" s="77"/>
      <c r="M58" s="77"/>
      <c r="N58" s="77"/>
      <c r="O58" s="77"/>
      <c r="P58" s="77"/>
      <c r="Q58" s="30"/>
      <c r="R58" s="30"/>
      <c r="S58" s="30"/>
      <c r="T58" s="30"/>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row>
    <row r="59" spans="1:52" x14ac:dyDescent="0.35">
      <c r="A59" s="27"/>
      <c r="B59" s="25">
        <v>6</v>
      </c>
      <c r="C59" s="77" t="s">
        <v>37</v>
      </c>
      <c r="D59" s="77"/>
      <c r="E59" s="77"/>
      <c r="F59" s="77"/>
      <c r="G59" s="77"/>
      <c r="H59" s="77"/>
      <c r="I59" s="77"/>
      <c r="J59" s="77"/>
      <c r="K59" s="77"/>
      <c r="L59" s="77"/>
      <c r="M59" s="77"/>
      <c r="N59" s="77"/>
      <c r="O59" s="77"/>
      <c r="P59" s="77"/>
      <c r="Q59" s="30"/>
      <c r="R59" s="30"/>
      <c r="S59" s="30"/>
      <c r="T59" s="30"/>
      <c r="U59" s="46"/>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row>
    <row r="60" spans="1:52" x14ac:dyDescent="0.35">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row>
    <row r="61" spans="1:52" hidden="1" x14ac:dyDescent="0.35">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row>
    <row r="62" spans="1:52" hidden="1" x14ac:dyDescent="0.3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row>
    <row r="63" spans="1:52" hidden="1" x14ac:dyDescent="0.35">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row>
    <row r="64" spans="1:52" hidden="1" x14ac:dyDescent="0.35">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row>
    <row r="65" spans="1:52" hidden="1" x14ac:dyDescent="0.3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row>
    <row r="66" spans="1:52" hidden="1" x14ac:dyDescent="0.35">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row>
    <row r="67" spans="1:52" hidden="1" x14ac:dyDescent="0.3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row>
    <row r="68" spans="1:52" hidden="1" x14ac:dyDescent="0.35">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row>
    <row r="69" spans="1:52" hidden="1" x14ac:dyDescent="0.3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row>
    <row r="70" spans="1:52" hidden="1" x14ac:dyDescent="0.3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row>
    <row r="71" spans="1:52" hidden="1" x14ac:dyDescent="0.35">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row>
    <row r="72" spans="1:52" hidden="1" x14ac:dyDescent="0.35">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row>
    <row r="73" spans="1:52" hidden="1" x14ac:dyDescent="0.35">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row>
    <row r="74" spans="1:52" hidden="1" x14ac:dyDescent="0.35">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row>
    <row r="75" spans="1:52" hidden="1" x14ac:dyDescent="0.3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row>
    <row r="76" spans="1:52" hidden="1" x14ac:dyDescent="0.35">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row>
    <row r="77" spans="1:52" hidden="1" x14ac:dyDescent="0.35">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row>
    <row r="78" spans="1:52" hidden="1" x14ac:dyDescent="0.35">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row>
    <row r="79" spans="1:52" hidden="1" x14ac:dyDescent="0.35">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row>
    <row r="80" spans="1:52" hidden="1" x14ac:dyDescent="0.35">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row>
    <row r="81" spans="1:52" hidden="1" x14ac:dyDescent="0.35">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row>
    <row r="82" spans="1:52" hidden="1" x14ac:dyDescent="0.35">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row>
    <row r="83" spans="1:52" hidden="1" x14ac:dyDescent="0.35">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row>
    <row r="84" spans="1:52" hidden="1" x14ac:dyDescent="0.3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row>
    <row r="85" spans="1:52" hidden="1" x14ac:dyDescent="0.3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row>
    <row r="86" spans="1:52" hidden="1" x14ac:dyDescent="0.35">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row>
    <row r="87" spans="1:52" hidden="1" x14ac:dyDescent="0.35">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row>
    <row r="88" spans="1:52" hidden="1" x14ac:dyDescent="0.35">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row>
    <row r="89" spans="1:52" hidden="1" x14ac:dyDescent="0.3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row>
    <row r="90" spans="1:52" hidden="1" x14ac:dyDescent="0.3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row>
    <row r="91" spans="1:52" hidden="1" x14ac:dyDescent="0.3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row>
    <row r="92" spans="1:52" hidden="1" x14ac:dyDescent="0.3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row>
    <row r="93" spans="1:52" hidden="1" x14ac:dyDescent="0.3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row>
    <row r="94" spans="1:52" hidden="1" x14ac:dyDescent="0.3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row>
    <row r="95" spans="1:52" hidden="1" x14ac:dyDescent="0.3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row>
    <row r="96" spans="1:52" hidden="1" x14ac:dyDescent="0.3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row>
    <row r="97" spans="1:52" hidden="1" x14ac:dyDescent="0.3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row>
    <row r="98" spans="1:52" hidden="1" x14ac:dyDescent="0.3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row>
    <row r="99" spans="1:52" hidden="1" x14ac:dyDescent="0.3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row>
    <row r="100" spans="1:52" hidden="1" x14ac:dyDescent="0.35">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row>
  </sheetData>
  <mergeCells count="47">
    <mergeCell ref="C4:C7"/>
    <mergeCell ref="D5:H5"/>
    <mergeCell ref="I5:M5"/>
    <mergeCell ref="N5:O5"/>
    <mergeCell ref="P5:Q5"/>
    <mergeCell ref="S5:T5"/>
    <mergeCell ref="E6:E7"/>
    <mergeCell ref="G6:G7"/>
    <mergeCell ref="H6:H7"/>
    <mergeCell ref="J6:J7"/>
    <mergeCell ref="L6:L7"/>
    <mergeCell ref="M6:M7"/>
    <mergeCell ref="N6:N7"/>
    <mergeCell ref="S6:S7"/>
    <mergeCell ref="T6:T7"/>
    <mergeCell ref="R5:R7"/>
    <mergeCell ref="Q6:Q7"/>
    <mergeCell ref="O6:O7"/>
    <mergeCell ref="P6:P7"/>
    <mergeCell ref="N27:O27"/>
    <mergeCell ref="P27:P29"/>
    <mergeCell ref="Q27:R27"/>
    <mergeCell ref="J28:J29"/>
    <mergeCell ref="M28:M29"/>
    <mergeCell ref="N28:N29"/>
    <mergeCell ref="O28:O29"/>
    <mergeCell ref="Q28:Q29"/>
    <mergeCell ref="R28:R29"/>
    <mergeCell ref="K28:K29"/>
    <mergeCell ref="L28:L29"/>
    <mergeCell ref="I27:K27"/>
    <mergeCell ref="L27:M27"/>
    <mergeCell ref="C48:P48"/>
    <mergeCell ref="C28:C29"/>
    <mergeCell ref="D28:D29"/>
    <mergeCell ref="E28:E29"/>
    <mergeCell ref="G28:G29"/>
    <mergeCell ref="H28:H29"/>
    <mergeCell ref="I28:I29"/>
    <mergeCell ref="C58:P58"/>
    <mergeCell ref="C59:P59"/>
    <mergeCell ref="C49:P49"/>
    <mergeCell ref="C51:P51"/>
    <mergeCell ref="C52:P52"/>
    <mergeCell ref="C54:P54"/>
    <mergeCell ref="C55:P55"/>
    <mergeCell ref="C57:P57"/>
  </mergeCells>
  <pageMargins left="0.7" right="0.7" top="0.75" bottom="0.75" header="0.3" footer="0.3"/>
  <pageSetup orientation="portrait" r:id="rId1"/>
  <headerFooter>
    <oddHeader>&amp;L&amp;"Times New Roman,Regular"&amp;12&amp;K000000 </oddHeader>
    <oddFooter>&amp;LCentral Bank of Ireland, 2025</oddFooter>
    <evenHeader>&amp;L&amp;"Times New Roman,Regular"&amp;12&amp;K000000 </evenHeader>
    <firstHeader>&amp;L&amp;"Times New Roman,Regular"&amp;12&amp;K000000 </first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Z502"/>
  <sheetViews>
    <sheetView tabSelected="1" zoomScale="65" workbookViewId="0">
      <pane xSplit="2" ySplit="8" topLeftCell="C18" activePane="bottomRight" state="frozen"/>
      <selection pane="topRight" activeCell="C1" sqref="C1"/>
      <selection pane="bottomLeft" activeCell="A9" sqref="A9"/>
      <selection pane="bottomRight" activeCell="O25" sqref="O25"/>
    </sheetView>
  </sheetViews>
  <sheetFormatPr defaultColWidth="0" defaultRowHeight="14.5" zeroHeight="1" x14ac:dyDescent="0.35"/>
  <cols>
    <col min="1" max="1" width="9.1796875" customWidth="1"/>
    <col min="2" max="2" width="9" bestFit="1" customWidth="1"/>
    <col min="3" max="3" width="11" bestFit="1" customWidth="1"/>
    <col min="4" max="6" width="9.453125" bestFit="1" customWidth="1"/>
    <col min="7" max="7" width="9" bestFit="1" customWidth="1"/>
    <col min="8" max="9" width="9.453125" bestFit="1" customWidth="1"/>
    <col min="10" max="13" width="9" bestFit="1" customWidth="1"/>
    <col min="14" max="18" width="9.453125" bestFit="1" customWidth="1"/>
    <col min="19" max="19" width="9" bestFit="1" customWidth="1"/>
    <col min="20" max="20" width="9.453125" bestFit="1" customWidth="1"/>
    <col min="21" max="21" width="9.1796875" customWidth="1"/>
    <col min="22" max="16384" width="9.1796875" hidden="1"/>
  </cols>
  <sheetData>
    <row r="1" spans="1:52" ht="15.5" x14ac:dyDescent="0.35">
      <c r="A1" s="1" t="s">
        <v>0</v>
      </c>
      <c r="B1" s="32"/>
      <c r="C1" s="32"/>
      <c r="D1" s="32"/>
      <c r="E1" s="32"/>
      <c r="F1" s="32"/>
      <c r="G1" s="32"/>
      <c r="H1" s="32"/>
      <c r="I1" s="32"/>
      <c r="J1" s="32"/>
      <c r="K1" s="32"/>
      <c r="L1" s="32"/>
      <c r="M1" s="32"/>
      <c r="N1" s="32"/>
      <c r="O1" s="32"/>
      <c r="P1" s="32"/>
      <c r="Q1" s="32"/>
      <c r="R1" s="32"/>
      <c r="S1" s="32"/>
      <c r="T1" s="32"/>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row>
    <row r="2" spans="1:52" x14ac:dyDescent="0.35">
      <c r="A2" s="3"/>
      <c r="B2" s="2"/>
      <c r="C2" s="2"/>
      <c r="D2" s="2"/>
      <c r="E2" s="2"/>
      <c r="F2" s="2"/>
      <c r="G2" s="2"/>
      <c r="H2" s="2"/>
      <c r="I2" s="2"/>
      <c r="J2" s="2"/>
      <c r="K2" s="2"/>
      <c r="L2" s="2"/>
      <c r="M2" s="2"/>
      <c r="N2" s="2"/>
      <c r="O2" s="2"/>
      <c r="P2" s="2"/>
      <c r="Q2" s="2"/>
      <c r="R2" s="2"/>
      <c r="S2" s="2"/>
      <c r="T2" s="2"/>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row>
    <row r="3" spans="1:52" ht="15" thickBot="1" x14ac:dyDescent="0.4">
      <c r="A3" s="4"/>
      <c r="B3" s="2"/>
      <c r="C3" s="2"/>
      <c r="D3" s="2"/>
      <c r="E3" s="2"/>
      <c r="F3" s="2"/>
      <c r="G3" s="2"/>
      <c r="H3" s="2"/>
      <c r="I3" s="2"/>
      <c r="J3" s="2"/>
      <c r="K3" s="2"/>
      <c r="L3" s="2"/>
      <c r="M3" s="2"/>
      <c r="N3" s="2"/>
      <c r="O3" s="2"/>
      <c r="P3" s="2"/>
      <c r="Q3" s="2"/>
      <c r="R3" s="2"/>
      <c r="S3" s="2"/>
      <c r="T3" s="2"/>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row>
    <row r="4" spans="1:52" ht="15.75" customHeight="1" thickBot="1" x14ac:dyDescent="0.4">
      <c r="A4" s="5"/>
      <c r="B4" s="6"/>
      <c r="C4" s="112" t="s">
        <v>1</v>
      </c>
      <c r="D4" s="56"/>
      <c r="E4" s="56"/>
      <c r="F4" s="56"/>
      <c r="G4" s="56"/>
      <c r="H4" s="56"/>
      <c r="I4" s="56"/>
      <c r="J4" s="56"/>
      <c r="K4" s="56"/>
      <c r="L4" s="56"/>
      <c r="M4" s="56"/>
      <c r="N4" s="56"/>
      <c r="O4" s="56"/>
      <c r="P4" s="56"/>
      <c r="Q4" s="56"/>
      <c r="R4" s="56"/>
      <c r="S4" s="56"/>
      <c r="T4" s="57"/>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row>
    <row r="5" spans="1:52" ht="15" customHeight="1" x14ac:dyDescent="0.35">
      <c r="A5" s="5"/>
      <c r="B5" s="6"/>
      <c r="C5" s="113"/>
      <c r="D5" s="115" t="s">
        <v>2</v>
      </c>
      <c r="E5" s="116"/>
      <c r="F5" s="116"/>
      <c r="G5" s="116"/>
      <c r="H5" s="117"/>
      <c r="I5" s="115" t="s">
        <v>3</v>
      </c>
      <c r="J5" s="116"/>
      <c r="K5" s="116"/>
      <c r="L5" s="116"/>
      <c r="M5" s="117"/>
      <c r="N5" s="92" t="s">
        <v>4</v>
      </c>
      <c r="O5" s="93"/>
      <c r="P5" s="92" t="s">
        <v>5</v>
      </c>
      <c r="Q5" s="93"/>
      <c r="R5" s="94" t="s">
        <v>6</v>
      </c>
      <c r="S5" s="92" t="s">
        <v>7</v>
      </c>
      <c r="T5" s="93"/>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row>
    <row r="6" spans="1:52" ht="15" customHeight="1" x14ac:dyDescent="0.35">
      <c r="A6" s="5"/>
      <c r="B6" s="6"/>
      <c r="C6" s="113"/>
      <c r="D6" s="60"/>
      <c r="E6" s="84" t="s">
        <v>8</v>
      </c>
      <c r="F6" s="65"/>
      <c r="G6" s="106" t="s">
        <v>9</v>
      </c>
      <c r="H6" s="108" t="s">
        <v>10</v>
      </c>
      <c r="I6" s="60"/>
      <c r="J6" s="84" t="s">
        <v>8</v>
      </c>
      <c r="K6" s="66"/>
      <c r="L6" s="86" t="s">
        <v>9</v>
      </c>
      <c r="M6" s="88" t="s">
        <v>10</v>
      </c>
      <c r="N6" s="109" t="s">
        <v>11</v>
      </c>
      <c r="O6" s="103" t="s">
        <v>12</v>
      </c>
      <c r="P6" s="101" t="s">
        <v>11</v>
      </c>
      <c r="Q6" s="111" t="s">
        <v>12</v>
      </c>
      <c r="R6" s="95"/>
      <c r="S6" s="101" t="s">
        <v>13</v>
      </c>
      <c r="T6" s="111" t="s">
        <v>14</v>
      </c>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row>
    <row r="7" spans="1:52" ht="25.5" thickBot="1" x14ac:dyDescent="0.4">
      <c r="A7" s="2"/>
      <c r="B7" s="2"/>
      <c r="C7" s="114"/>
      <c r="D7" s="54"/>
      <c r="E7" s="85"/>
      <c r="F7" s="55" t="s">
        <v>15</v>
      </c>
      <c r="G7" s="107"/>
      <c r="H7" s="89"/>
      <c r="I7" s="54"/>
      <c r="J7" s="85"/>
      <c r="K7" s="55" t="s">
        <v>15</v>
      </c>
      <c r="L7" s="87"/>
      <c r="M7" s="89"/>
      <c r="N7" s="110"/>
      <c r="O7" s="104"/>
      <c r="P7" s="102"/>
      <c r="Q7" s="89"/>
      <c r="R7" s="96"/>
      <c r="S7" s="102"/>
      <c r="T7" s="89"/>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row>
    <row r="8" spans="1:52" x14ac:dyDescent="0.35">
      <c r="A8" s="7"/>
      <c r="B8" s="7"/>
      <c r="C8" s="9">
        <v>15</v>
      </c>
      <c r="D8" s="9">
        <v>16</v>
      </c>
      <c r="E8" s="9">
        <v>17</v>
      </c>
      <c r="F8" s="8">
        <v>1502</v>
      </c>
      <c r="G8" s="8">
        <v>18</v>
      </c>
      <c r="H8" s="9">
        <v>19</v>
      </c>
      <c r="I8" s="9">
        <v>20</v>
      </c>
      <c r="J8" s="9">
        <v>21</v>
      </c>
      <c r="K8" s="8">
        <v>1968</v>
      </c>
      <c r="L8" s="9">
        <v>22</v>
      </c>
      <c r="M8" s="8">
        <v>23</v>
      </c>
      <c r="N8" s="8">
        <v>24</v>
      </c>
      <c r="O8" s="8">
        <v>107</v>
      </c>
      <c r="P8" s="9">
        <v>131</v>
      </c>
      <c r="Q8" s="9">
        <v>145</v>
      </c>
      <c r="R8" s="8">
        <v>1936</v>
      </c>
      <c r="S8" s="8">
        <v>30</v>
      </c>
      <c r="T8" s="8">
        <v>31</v>
      </c>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row>
    <row r="9" spans="1:52" x14ac:dyDescent="0.35">
      <c r="A9" s="10"/>
      <c r="B9" s="10"/>
      <c r="C9" s="8"/>
      <c r="D9" s="8"/>
      <c r="E9" s="8"/>
      <c r="F9" s="8"/>
      <c r="G9" s="8"/>
      <c r="H9" s="8"/>
      <c r="I9" s="8"/>
      <c r="J9" s="8"/>
      <c r="K9" s="8"/>
      <c r="L9" s="8"/>
      <c r="M9" s="8"/>
      <c r="N9" s="8"/>
      <c r="O9" s="8"/>
      <c r="P9" s="8"/>
      <c r="Q9" s="8"/>
      <c r="R9" s="8"/>
      <c r="S9" s="8"/>
      <c r="T9" s="8"/>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row>
    <row r="10" spans="1:52" x14ac:dyDescent="0.35">
      <c r="A10" s="11" t="s">
        <v>16</v>
      </c>
      <c r="B10" s="33"/>
      <c r="C10" s="33"/>
      <c r="D10" s="33"/>
      <c r="E10" s="33"/>
      <c r="F10" s="33"/>
      <c r="G10" s="33"/>
      <c r="H10" s="28"/>
      <c r="I10" s="28"/>
      <c r="J10" s="28"/>
      <c r="K10" s="28"/>
      <c r="L10" s="28"/>
      <c r="M10" s="28"/>
      <c r="N10" s="28"/>
      <c r="O10" s="28"/>
      <c r="P10" s="28"/>
      <c r="Q10" s="28"/>
      <c r="R10" s="28"/>
      <c r="S10" s="28"/>
      <c r="T10" s="28"/>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row>
    <row r="11" spans="1:52" x14ac:dyDescent="0.35">
      <c r="A11" s="34"/>
      <c r="B11" s="33"/>
      <c r="C11" s="33"/>
      <c r="D11" s="33"/>
      <c r="E11" s="33"/>
      <c r="F11" s="33"/>
      <c r="G11" s="33"/>
      <c r="H11" s="28"/>
      <c r="I11" s="28"/>
      <c r="J11" s="28"/>
      <c r="K11" s="28"/>
      <c r="L11" s="28"/>
      <c r="M11" s="28"/>
      <c r="N11" s="28"/>
      <c r="O11" s="28"/>
      <c r="P11" s="28"/>
      <c r="Q11" s="28"/>
      <c r="R11" s="28"/>
      <c r="S11" s="28"/>
      <c r="T11" s="28"/>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row>
    <row r="12" spans="1:52" x14ac:dyDescent="0.35">
      <c r="A12" s="27">
        <v>37652</v>
      </c>
      <c r="B12" s="35">
        <v>37652</v>
      </c>
      <c r="C12" s="16">
        <v>477233</v>
      </c>
      <c r="D12" s="16">
        <v>171940</v>
      </c>
      <c r="E12" s="16">
        <v>36345</v>
      </c>
      <c r="F12" s="16">
        <v>17599</v>
      </c>
      <c r="G12" s="16">
        <v>686</v>
      </c>
      <c r="H12" s="16">
        <v>134910</v>
      </c>
      <c r="I12" s="16">
        <v>14231</v>
      </c>
      <c r="J12" s="16">
        <v>2815</v>
      </c>
      <c r="K12" s="16" t="s">
        <v>38</v>
      </c>
      <c r="L12" s="16">
        <v>4512</v>
      </c>
      <c r="M12" s="16">
        <v>6905</v>
      </c>
      <c r="N12" s="16">
        <v>49718</v>
      </c>
      <c r="O12" s="16">
        <v>71454</v>
      </c>
      <c r="P12" s="16">
        <v>67607</v>
      </c>
      <c r="Q12" s="16">
        <v>44302</v>
      </c>
      <c r="R12" s="16">
        <v>5620</v>
      </c>
      <c r="S12" s="16">
        <v>8956</v>
      </c>
      <c r="T12" s="16">
        <v>43405</v>
      </c>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row>
    <row r="13" spans="1:52" x14ac:dyDescent="0.35">
      <c r="A13" s="27"/>
      <c r="B13" s="35">
        <v>37680</v>
      </c>
      <c r="C13" s="16">
        <v>494064</v>
      </c>
      <c r="D13" s="16">
        <v>174446</v>
      </c>
      <c r="E13" s="16">
        <v>38228</v>
      </c>
      <c r="F13" s="16">
        <v>18963</v>
      </c>
      <c r="G13" s="16">
        <v>781</v>
      </c>
      <c r="H13" s="16">
        <v>135438</v>
      </c>
      <c r="I13" s="16">
        <v>14244</v>
      </c>
      <c r="J13" s="16">
        <v>2862</v>
      </c>
      <c r="K13" s="16" t="s">
        <v>38</v>
      </c>
      <c r="L13" s="16">
        <v>4488</v>
      </c>
      <c r="M13" s="16">
        <v>6895</v>
      </c>
      <c r="N13" s="16">
        <v>52742</v>
      </c>
      <c r="O13" s="16">
        <v>72132</v>
      </c>
      <c r="P13" s="16">
        <v>71078</v>
      </c>
      <c r="Q13" s="16">
        <v>45476</v>
      </c>
      <c r="R13" s="16">
        <v>6764</v>
      </c>
      <c r="S13" s="16">
        <v>9482</v>
      </c>
      <c r="T13" s="16">
        <v>47700</v>
      </c>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row>
    <row r="14" spans="1:52" x14ac:dyDescent="0.35">
      <c r="A14" s="27"/>
      <c r="B14" s="35">
        <v>37711</v>
      </c>
      <c r="C14" s="16">
        <v>494554</v>
      </c>
      <c r="D14" s="16">
        <v>173971</v>
      </c>
      <c r="E14" s="16">
        <v>34968</v>
      </c>
      <c r="F14" s="16">
        <v>16158</v>
      </c>
      <c r="G14" s="16">
        <v>594</v>
      </c>
      <c r="H14" s="16">
        <v>138410</v>
      </c>
      <c r="I14" s="16">
        <v>14120</v>
      </c>
      <c r="J14" s="16">
        <v>2976</v>
      </c>
      <c r="K14" s="16" t="s">
        <v>38</v>
      </c>
      <c r="L14" s="16">
        <v>4420</v>
      </c>
      <c r="M14" s="16">
        <v>6724</v>
      </c>
      <c r="N14" s="16">
        <v>56475</v>
      </c>
      <c r="O14" s="16">
        <v>69882</v>
      </c>
      <c r="P14" s="16">
        <v>73105</v>
      </c>
      <c r="Q14" s="16">
        <v>45546</v>
      </c>
      <c r="R14" s="16">
        <v>5753</v>
      </c>
      <c r="S14" s="16">
        <v>9062</v>
      </c>
      <c r="T14" s="16">
        <v>46638</v>
      </c>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row>
    <row r="15" spans="1:52" x14ac:dyDescent="0.35">
      <c r="A15" s="27"/>
      <c r="B15" s="35">
        <v>37741</v>
      </c>
      <c r="C15" s="16">
        <v>499978</v>
      </c>
      <c r="D15" s="16">
        <v>175300</v>
      </c>
      <c r="E15" s="16">
        <v>35174</v>
      </c>
      <c r="F15" s="16">
        <v>16604</v>
      </c>
      <c r="G15" s="16">
        <v>799</v>
      </c>
      <c r="H15" s="16">
        <v>139327</v>
      </c>
      <c r="I15" s="16">
        <v>14596</v>
      </c>
      <c r="J15" s="16">
        <v>3264</v>
      </c>
      <c r="K15" s="16" t="s">
        <v>38</v>
      </c>
      <c r="L15" s="16">
        <v>4336</v>
      </c>
      <c r="M15" s="16">
        <v>6995</v>
      </c>
      <c r="N15" s="16">
        <v>54290</v>
      </c>
      <c r="O15" s="16">
        <v>72142</v>
      </c>
      <c r="P15" s="16">
        <v>74619</v>
      </c>
      <c r="Q15" s="16">
        <v>47054</v>
      </c>
      <c r="R15" s="16">
        <v>5349</v>
      </c>
      <c r="S15" s="16">
        <v>9391</v>
      </c>
      <c r="T15" s="16">
        <v>47237</v>
      </c>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row>
    <row r="16" spans="1:52" x14ac:dyDescent="0.35">
      <c r="A16" s="27"/>
      <c r="B16" s="35">
        <v>37771</v>
      </c>
      <c r="C16" s="16">
        <v>511965</v>
      </c>
      <c r="D16" s="16">
        <v>177088</v>
      </c>
      <c r="E16" s="16">
        <v>37051</v>
      </c>
      <c r="F16" s="16">
        <v>16468</v>
      </c>
      <c r="G16" s="16">
        <v>555</v>
      </c>
      <c r="H16" s="16">
        <v>139482</v>
      </c>
      <c r="I16" s="16">
        <v>14350</v>
      </c>
      <c r="J16" s="16">
        <v>3047</v>
      </c>
      <c r="K16" s="16" t="s">
        <v>38</v>
      </c>
      <c r="L16" s="16">
        <v>4458</v>
      </c>
      <c r="M16" s="16">
        <v>6846</v>
      </c>
      <c r="N16" s="16">
        <v>57192</v>
      </c>
      <c r="O16" s="16">
        <v>73743</v>
      </c>
      <c r="P16" s="16">
        <v>74700</v>
      </c>
      <c r="Q16" s="16">
        <v>46790</v>
      </c>
      <c r="R16" s="16">
        <v>5197</v>
      </c>
      <c r="S16" s="16">
        <v>11000</v>
      </c>
      <c r="T16" s="16">
        <v>51904</v>
      </c>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row>
    <row r="17" spans="1:52" x14ac:dyDescent="0.35">
      <c r="A17" s="27"/>
      <c r="B17" s="35">
        <v>37802</v>
      </c>
      <c r="C17" s="16">
        <v>519461</v>
      </c>
      <c r="D17" s="16">
        <v>175728</v>
      </c>
      <c r="E17" s="16">
        <v>34565</v>
      </c>
      <c r="F17" s="16">
        <v>18355</v>
      </c>
      <c r="G17" s="16">
        <v>621</v>
      </c>
      <c r="H17" s="16">
        <v>140541</v>
      </c>
      <c r="I17" s="16">
        <v>14617</v>
      </c>
      <c r="J17" s="16">
        <v>3237</v>
      </c>
      <c r="K17" s="16" t="s">
        <v>38</v>
      </c>
      <c r="L17" s="16">
        <v>4495</v>
      </c>
      <c r="M17" s="16">
        <v>6885</v>
      </c>
      <c r="N17" s="16">
        <v>60701</v>
      </c>
      <c r="O17" s="16">
        <v>73084</v>
      </c>
      <c r="P17" s="16">
        <v>76825</v>
      </c>
      <c r="Q17" s="16">
        <v>52292</v>
      </c>
      <c r="R17" s="16">
        <v>4775</v>
      </c>
      <c r="S17" s="16">
        <v>9852</v>
      </c>
      <c r="T17" s="16">
        <v>51588</v>
      </c>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row>
    <row r="18" spans="1:52" x14ac:dyDescent="0.35">
      <c r="A18" s="27"/>
      <c r="B18" s="35">
        <v>37833</v>
      </c>
      <c r="C18" s="16">
        <v>529687</v>
      </c>
      <c r="D18" s="16">
        <v>182794</v>
      </c>
      <c r="E18" s="16">
        <v>39516</v>
      </c>
      <c r="F18" s="16">
        <v>21109</v>
      </c>
      <c r="G18" s="16">
        <v>625</v>
      </c>
      <c r="H18" s="16">
        <v>142653</v>
      </c>
      <c r="I18" s="16">
        <v>14578</v>
      </c>
      <c r="J18" s="16">
        <v>3167</v>
      </c>
      <c r="K18" s="16" t="s">
        <v>38</v>
      </c>
      <c r="L18" s="16">
        <v>4497</v>
      </c>
      <c r="M18" s="16">
        <v>6913</v>
      </c>
      <c r="N18" s="16">
        <v>59537</v>
      </c>
      <c r="O18" s="16">
        <v>74223</v>
      </c>
      <c r="P18" s="16">
        <v>89137</v>
      </c>
      <c r="Q18" s="16">
        <v>53765</v>
      </c>
      <c r="R18" s="16">
        <v>4484</v>
      </c>
      <c r="S18" s="16">
        <v>10070</v>
      </c>
      <c r="T18" s="16">
        <v>41101</v>
      </c>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row>
    <row r="19" spans="1:52" x14ac:dyDescent="0.35">
      <c r="A19" s="27"/>
      <c r="B19" s="35">
        <v>37862</v>
      </c>
      <c r="C19" s="16">
        <v>539354</v>
      </c>
      <c r="D19" s="16">
        <v>189521</v>
      </c>
      <c r="E19" s="16">
        <v>43973</v>
      </c>
      <c r="F19" s="16">
        <v>24901</v>
      </c>
      <c r="G19" s="16">
        <v>623</v>
      </c>
      <c r="H19" s="16">
        <v>144925</v>
      </c>
      <c r="I19" s="16">
        <v>14444</v>
      </c>
      <c r="J19" s="16">
        <v>3039</v>
      </c>
      <c r="K19" s="16" t="s">
        <v>38</v>
      </c>
      <c r="L19" s="16">
        <v>4487</v>
      </c>
      <c r="M19" s="16">
        <v>6917</v>
      </c>
      <c r="N19" s="16">
        <v>59032</v>
      </c>
      <c r="O19" s="16">
        <v>76901</v>
      </c>
      <c r="P19" s="16">
        <v>89695</v>
      </c>
      <c r="Q19" s="16">
        <v>55181</v>
      </c>
      <c r="R19" s="16">
        <v>4587</v>
      </c>
      <c r="S19" s="16">
        <v>9666</v>
      </c>
      <c r="T19" s="16">
        <v>40328</v>
      </c>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row>
    <row r="20" spans="1:52" x14ac:dyDescent="0.35">
      <c r="A20" s="27"/>
      <c r="B20" s="35">
        <v>37894</v>
      </c>
      <c r="C20" s="16">
        <v>554939</v>
      </c>
      <c r="D20" s="16">
        <v>193024</v>
      </c>
      <c r="E20" s="16">
        <v>46047</v>
      </c>
      <c r="F20" s="16">
        <v>27274</v>
      </c>
      <c r="G20" s="16">
        <v>643</v>
      </c>
      <c r="H20" s="16">
        <v>146334</v>
      </c>
      <c r="I20" s="16">
        <v>14528</v>
      </c>
      <c r="J20" s="16">
        <v>3174</v>
      </c>
      <c r="K20" s="16" t="s">
        <v>38</v>
      </c>
      <c r="L20" s="16">
        <v>4540</v>
      </c>
      <c r="M20" s="16">
        <v>6813</v>
      </c>
      <c r="N20" s="16">
        <v>60823</v>
      </c>
      <c r="O20" s="16">
        <v>77995</v>
      </c>
      <c r="P20" s="16">
        <v>93217</v>
      </c>
      <c r="Q20" s="16">
        <v>55108</v>
      </c>
      <c r="R20" s="16">
        <v>3187</v>
      </c>
      <c r="S20" s="16">
        <v>10378</v>
      </c>
      <c r="T20" s="16">
        <v>46680</v>
      </c>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row>
    <row r="21" spans="1:52" x14ac:dyDescent="0.35">
      <c r="A21" s="27"/>
      <c r="B21" s="35">
        <v>37925</v>
      </c>
      <c r="C21" s="16">
        <v>558226</v>
      </c>
      <c r="D21" s="16">
        <v>197029</v>
      </c>
      <c r="E21" s="16">
        <v>48173</v>
      </c>
      <c r="F21" s="16">
        <v>29621</v>
      </c>
      <c r="G21" s="16">
        <v>626</v>
      </c>
      <c r="H21" s="16">
        <v>148230</v>
      </c>
      <c r="I21" s="16">
        <v>14714</v>
      </c>
      <c r="J21" s="16">
        <v>3258</v>
      </c>
      <c r="K21" s="16" t="s">
        <v>38</v>
      </c>
      <c r="L21" s="16">
        <v>4587</v>
      </c>
      <c r="M21" s="16">
        <v>6869</v>
      </c>
      <c r="N21" s="16">
        <v>60326</v>
      </c>
      <c r="O21" s="16">
        <v>78470</v>
      </c>
      <c r="P21" s="16">
        <v>95078</v>
      </c>
      <c r="Q21" s="16">
        <v>56125</v>
      </c>
      <c r="R21" s="16">
        <v>3766</v>
      </c>
      <c r="S21" s="16">
        <v>9518</v>
      </c>
      <c r="T21" s="16">
        <v>43200</v>
      </c>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row>
    <row r="22" spans="1:52" x14ac:dyDescent="0.35">
      <c r="A22" s="27"/>
      <c r="B22" s="35">
        <v>37953</v>
      </c>
      <c r="C22" s="16">
        <v>560042</v>
      </c>
      <c r="D22" s="16">
        <v>197119</v>
      </c>
      <c r="E22" s="16">
        <v>46580</v>
      </c>
      <c r="F22" s="16">
        <v>28138</v>
      </c>
      <c r="G22" s="16">
        <v>601</v>
      </c>
      <c r="H22" s="16">
        <v>149939</v>
      </c>
      <c r="I22" s="16">
        <v>15042</v>
      </c>
      <c r="J22" s="16">
        <v>3240</v>
      </c>
      <c r="K22" s="16" t="s">
        <v>38</v>
      </c>
      <c r="L22" s="16">
        <v>4751</v>
      </c>
      <c r="M22" s="16">
        <v>7051</v>
      </c>
      <c r="N22" s="16">
        <v>59999</v>
      </c>
      <c r="O22" s="16">
        <v>80645</v>
      </c>
      <c r="P22" s="16">
        <v>96105</v>
      </c>
      <c r="Q22" s="16">
        <v>56435</v>
      </c>
      <c r="R22" s="16">
        <v>4318</v>
      </c>
      <c r="S22" s="16">
        <v>9915</v>
      </c>
      <c r="T22" s="16">
        <v>40465</v>
      </c>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row>
    <row r="23" spans="1:52" x14ac:dyDescent="0.35">
      <c r="A23" s="27">
        <v>37986</v>
      </c>
      <c r="B23" s="35">
        <v>37986</v>
      </c>
      <c r="C23" s="16">
        <v>575168</v>
      </c>
      <c r="D23" s="16">
        <v>203212</v>
      </c>
      <c r="E23" s="16">
        <v>49492</v>
      </c>
      <c r="F23" s="16">
        <v>30114</v>
      </c>
      <c r="G23" s="16">
        <v>615</v>
      </c>
      <c r="H23" s="16">
        <v>153105</v>
      </c>
      <c r="I23" s="16">
        <v>14264</v>
      </c>
      <c r="J23" s="16">
        <v>2744</v>
      </c>
      <c r="K23" s="16" t="s">
        <v>38</v>
      </c>
      <c r="L23" s="16">
        <v>4664</v>
      </c>
      <c r="M23" s="16">
        <v>6855</v>
      </c>
      <c r="N23" s="16">
        <v>60546</v>
      </c>
      <c r="O23" s="16">
        <v>86140</v>
      </c>
      <c r="P23" s="16">
        <v>98662</v>
      </c>
      <c r="Q23" s="16">
        <v>54938</v>
      </c>
      <c r="R23" s="16">
        <v>4303</v>
      </c>
      <c r="S23" s="16">
        <v>10152</v>
      </c>
      <c r="T23" s="16">
        <v>42951</v>
      </c>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row>
    <row r="24" spans="1:52" x14ac:dyDescent="0.35">
      <c r="A24" s="27">
        <v>38016</v>
      </c>
      <c r="B24" s="35">
        <v>38016</v>
      </c>
      <c r="C24" s="16">
        <v>584048</v>
      </c>
      <c r="D24" s="16">
        <v>201197</v>
      </c>
      <c r="E24" s="16">
        <v>45613</v>
      </c>
      <c r="F24" s="16">
        <v>28296</v>
      </c>
      <c r="G24" s="16">
        <v>591</v>
      </c>
      <c r="H24" s="16">
        <v>154993</v>
      </c>
      <c r="I24" s="16">
        <v>14390</v>
      </c>
      <c r="J24" s="16">
        <v>2932</v>
      </c>
      <c r="K24" s="16" t="s">
        <v>38</v>
      </c>
      <c r="L24" s="16">
        <v>4551</v>
      </c>
      <c r="M24" s="16">
        <v>6906</v>
      </c>
      <c r="N24" s="16">
        <v>62831</v>
      </c>
      <c r="O24" s="16">
        <v>88247</v>
      </c>
      <c r="P24" s="16">
        <v>101748</v>
      </c>
      <c r="Q24" s="16">
        <v>58219</v>
      </c>
      <c r="R24" s="16">
        <v>4250</v>
      </c>
      <c r="S24" s="16">
        <v>9763</v>
      </c>
      <c r="T24" s="16">
        <v>43403</v>
      </c>
      <c r="U24" s="47">
        <f>+C24/C12-1</f>
        <v>0.22382148761715981</v>
      </c>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row>
    <row r="25" spans="1:52" x14ac:dyDescent="0.35">
      <c r="A25" s="27"/>
      <c r="B25" s="35">
        <v>38044</v>
      </c>
      <c r="C25" s="16">
        <v>602936</v>
      </c>
      <c r="D25" s="16">
        <v>205832</v>
      </c>
      <c r="E25" s="16">
        <v>48264</v>
      </c>
      <c r="F25" s="16">
        <v>30137</v>
      </c>
      <c r="G25" s="16">
        <v>564</v>
      </c>
      <c r="H25" s="16">
        <v>157004</v>
      </c>
      <c r="I25" s="16">
        <v>14150</v>
      </c>
      <c r="J25" s="16">
        <v>2968</v>
      </c>
      <c r="K25" s="16" t="s">
        <v>38</v>
      </c>
      <c r="L25" s="16">
        <v>4383</v>
      </c>
      <c r="M25" s="16">
        <v>6799</v>
      </c>
      <c r="N25" s="16">
        <v>67173</v>
      </c>
      <c r="O25" s="16">
        <v>92840</v>
      </c>
      <c r="P25" s="16">
        <v>104682</v>
      </c>
      <c r="Q25" s="16">
        <v>57491</v>
      </c>
      <c r="R25" s="16">
        <v>4676</v>
      </c>
      <c r="S25" s="16">
        <v>11083</v>
      </c>
      <c r="T25" s="16">
        <v>45010</v>
      </c>
      <c r="U25" s="47">
        <f t="shared" ref="U25:U88" si="0">+C25/C13-1</f>
        <v>0.22036011528870758</v>
      </c>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row>
    <row r="26" spans="1:52" x14ac:dyDescent="0.35">
      <c r="A26" s="27"/>
      <c r="B26" s="35">
        <v>38077</v>
      </c>
      <c r="C26" s="16">
        <v>628355</v>
      </c>
      <c r="D26" s="16">
        <v>212442</v>
      </c>
      <c r="E26" s="16">
        <v>48588</v>
      </c>
      <c r="F26" s="16">
        <v>31037</v>
      </c>
      <c r="G26" s="16">
        <v>656</v>
      </c>
      <c r="H26" s="16">
        <v>163197</v>
      </c>
      <c r="I26" s="16">
        <v>14312</v>
      </c>
      <c r="J26" s="16">
        <v>3153</v>
      </c>
      <c r="K26" s="16" t="s">
        <v>38</v>
      </c>
      <c r="L26" s="16">
        <v>4313</v>
      </c>
      <c r="M26" s="16">
        <v>6845</v>
      </c>
      <c r="N26" s="16">
        <v>68799</v>
      </c>
      <c r="O26" s="16">
        <v>99004</v>
      </c>
      <c r="P26" s="16">
        <v>108785</v>
      </c>
      <c r="Q26" s="16">
        <v>59039</v>
      </c>
      <c r="R26" s="16">
        <v>4837</v>
      </c>
      <c r="S26" s="16">
        <v>11602</v>
      </c>
      <c r="T26" s="16">
        <v>49535</v>
      </c>
      <c r="U26" s="47">
        <f t="shared" si="0"/>
        <v>0.27054881772263495</v>
      </c>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row>
    <row r="27" spans="1:52" x14ac:dyDescent="0.35">
      <c r="A27" s="27"/>
      <c r="B27" s="35">
        <v>38107</v>
      </c>
      <c r="C27" s="16">
        <v>629524</v>
      </c>
      <c r="D27" s="16">
        <v>215679</v>
      </c>
      <c r="E27" s="16">
        <v>51690</v>
      </c>
      <c r="F27" s="16">
        <v>33439</v>
      </c>
      <c r="G27" s="16">
        <v>764</v>
      </c>
      <c r="H27" s="16">
        <v>163225</v>
      </c>
      <c r="I27" s="16">
        <v>14418</v>
      </c>
      <c r="J27" s="16">
        <v>3251</v>
      </c>
      <c r="K27" s="16" t="s">
        <v>38</v>
      </c>
      <c r="L27" s="16">
        <v>4206</v>
      </c>
      <c r="M27" s="16">
        <v>6960</v>
      </c>
      <c r="N27" s="16">
        <v>68836</v>
      </c>
      <c r="O27" s="16">
        <v>102167</v>
      </c>
      <c r="P27" s="16">
        <v>108910</v>
      </c>
      <c r="Q27" s="16">
        <v>60299</v>
      </c>
      <c r="R27" s="16">
        <v>5477</v>
      </c>
      <c r="S27" s="16">
        <v>10899</v>
      </c>
      <c r="T27" s="16">
        <v>42840</v>
      </c>
      <c r="U27" s="47">
        <f t="shared" si="0"/>
        <v>0.25910340054962422</v>
      </c>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row>
    <row r="28" spans="1:52" x14ac:dyDescent="0.35">
      <c r="A28" s="27"/>
      <c r="B28" s="35">
        <v>38138</v>
      </c>
      <c r="C28" s="16">
        <v>644604</v>
      </c>
      <c r="D28" s="16">
        <v>220404</v>
      </c>
      <c r="E28" s="16">
        <v>52427</v>
      </c>
      <c r="F28" s="16">
        <v>33868</v>
      </c>
      <c r="G28" s="16">
        <v>1034</v>
      </c>
      <c r="H28" s="16">
        <v>166943</v>
      </c>
      <c r="I28" s="16">
        <v>14330</v>
      </c>
      <c r="J28" s="16">
        <v>3336</v>
      </c>
      <c r="K28" s="16" t="s">
        <v>38</v>
      </c>
      <c r="L28" s="16">
        <v>4046</v>
      </c>
      <c r="M28" s="16">
        <v>6948</v>
      </c>
      <c r="N28" s="16">
        <v>71549</v>
      </c>
      <c r="O28" s="16">
        <v>105765</v>
      </c>
      <c r="P28" s="16">
        <v>109801</v>
      </c>
      <c r="Q28" s="16">
        <v>62297</v>
      </c>
      <c r="R28" s="16">
        <v>5860</v>
      </c>
      <c r="S28" s="16">
        <v>11922</v>
      </c>
      <c r="T28" s="16">
        <v>42677</v>
      </c>
      <c r="U28" s="47">
        <f t="shared" si="0"/>
        <v>0.25907825730274525</v>
      </c>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row>
    <row r="29" spans="1:52" x14ac:dyDescent="0.35">
      <c r="A29" s="27"/>
      <c r="B29" s="35">
        <v>38168</v>
      </c>
      <c r="C29" s="16">
        <v>653151</v>
      </c>
      <c r="D29" s="16">
        <v>225632</v>
      </c>
      <c r="E29" s="16">
        <v>54601</v>
      </c>
      <c r="F29" s="16">
        <v>36187</v>
      </c>
      <c r="G29" s="16">
        <v>861</v>
      </c>
      <c r="H29" s="16">
        <v>170171</v>
      </c>
      <c r="I29" s="16">
        <v>14655</v>
      </c>
      <c r="J29" s="16">
        <v>3583</v>
      </c>
      <c r="K29" s="16" t="s">
        <v>38</v>
      </c>
      <c r="L29" s="16">
        <v>4141</v>
      </c>
      <c r="M29" s="16">
        <v>6931</v>
      </c>
      <c r="N29" s="16">
        <v>73264</v>
      </c>
      <c r="O29" s="16">
        <v>106185</v>
      </c>
      <c r="P29" s="16">
        <v>112962</v>
      </c>
      <c r="Q29" s="16">
        <v>62872</v>
      </c>
      <c r="R29" s="16">
        <v>4671</v>
      </c>
      <c r="S29" s="16">
        <v>11208</v>
      </c>
      <c r="T29" s="16">
        <v>41702</v>
      </c>
      <c r="U29" s="47">
        <f t="shared" si="0"/>
        <v>0.25736292041173447</v>
      </c>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row>
    <row r="30" spans="1:52" x14ac:dyDescent="0.35">
      <c r="A30" s="27"/>
      <c r="B30" s="35">
        <v>38198</v>
      </c>
      <c r="C30" s="16">
        <v>671210</v>
      </c>
      <c r="D30" s="16">
        <v>242827</v>
      </c>
      <c r="E30" s="16">
        <v>66444</v>
      </c>
      <c r="F30" s="16">
        <v>46699</v>
      </c>
      <c r="G30" s="16">
        <v>781</v>
      </c>
      <c r="H30" s="16">
        <v>175602</v>
      </c>
      <c r="I30" s="16">
        <v>15227</v>
      </c>
      <c r="J30" s="16">
        <v>3979</v>
      </c>
      <c r="K30" s="16" t="s">
        <v>38</v>
      </c>
      <c r="L30" s="16">
        <v>4261</v>
      </c>
      <c r="M30" s="16">
        <v>6987</v>
      </c>
      <c r="N30" s="16">
        <v>73397</v>
      </c>
      <c r="O30" s="16">
        <v>98855</v>
      </c>
      <c r="P30" s="16">
        <v>116362</v>
      </c>
      <c r="Q30" s="16">
        <v>65798</v>
      </c>
      <c r="R30" s="16">
        <v>5112</v>
      </c>
      <c r="S30" s="16">
        <v>11869</v>
      </c>
      <c r="T30" s="16">
        <v>41762</v>
      </c>
      <c r="U30" s="47">
        <f t="shared" si="0"/>
        <v>0.26718231710425222</v>
      </c>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row>
    <row r="31" spans="1:52" x14ac:dyDescent="0.35">
      <c r="A31" s="27"/>
      <c r="B31" s="35">
        <v>38230</v>
      </c>
      <c r="C31" s="16">
        <v>676396</v>
      </c>
      <c r="D31" s="16">
        <v>243220</v>
      </c>
      <c r="E31" s="16">
        <v>65357</v>
      </c>
      <c r="F31" s="16">
        <v>47013</v>
      </c>
      <c r="G31" s="16">
        <v>767</v>
      </c>
      <c r="H31" s="16">
        <v>177096</v>
      </c>
      <c r="I31" s="16">
        <v>15049</v>
      </c>
      <c r="J31" s="16">
        <v>4028</v>
      </c>
      <c r="K31" s="16" t="s">
        <v>38</v>
      </c>
      <c r="L31" s="16">
        <v>4102</v>
      </c>
      <c r="M31" s="16">
        <v>6919</v>
      </c>
      <c r="N31" s="16">
        <v>74636</v>
      </c>
      <c r="O31" s="16">
        <v>99912</v>
      </c>
      <c r="P31" s="16">
        <v>115850</v>
      </c>
      <c r="Q31" s="16">
        <v>67673</v>
      </c>
      <c r="R31" s="16">
        <v>5064</v>
      </c>
      <c r="S31" s="16">
        <v>11224</v>
      </c>
      <c r="T31" s="16">
        <v>43767</v>
      </c>
      <c r="U31" s="47">
        <f t="shared" si="0"/>
        <v>0.25408544295583235</v>
      </c>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row>
    <row r="32" spans="1:52" x14ac:dyDescent="0.35">
      <c r="A32" s="27"/>
      <c r="B32" s="35">
        <v>38260</v>
      </c>
      <c r="C32" s="16">
        <v>689797</v>
      </c>
      <c r="D32" s="16">
        <v>247205</v>
      </c>
      <c r="E32" s="16">
        <v>66323</v>
      </c>
      <c r="F32" s="16">
        <v>48379</v>
      </c>
      <c r="G32" s="16">
        <v>793</v>
      </c>
      <c r="H32" s="16">
        <v>180090</v>
      </c>
      <c r="I32" s="16">
        <v>15346</v>
      </c>
      <c r="J32" s="16">
        <v>4097</v>
      </c>
      <c r="K32" s="16" t="s">
        <v>38</v>
      </c>
      <c r="L32" s="16">
        <v>4205</v>
      </c>
      <c r="M32" s="16">
        <v>7044</v>
      </c>
      <c r="N32" s="16">
        <v>76471</v>
      </c>
      <c r="O32" s="16">
        <v>101889</v>
      </c>
      <c r="P32" s="16">
        <v>116365</v>
      </c>
      <c r="Q32" s="16">
        <v>70167</v>
      </c>
      <c r="R32" s="16">
        <v>5770</v>
      </c>
      <c r="S32" s="16">
        <v>11070</v>
      </c>
      <c r="T32" s="16">
        <v>45515</v>
      </c>
      <c r="U32" s="47">
        <f t="shared" si="0"/>
        <v>0.2430140970449004</v>
      </c>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row>
    <row r="33" spans="1:52" x14ac:dyDescent="0.35">
      <c r="A33" s="27"/>
      <c r="B33" s="35">
        <v>38289</v>
      </c>
      <c r="C33" s="16">
        <v>697895</v>
      </c>
      <c r="D33" s="16">
        <v>253821</v>
      </c>
      <c r="E33" s="16">
        <v>70075</v>
      </c>
      <c r="F33" s="16">
        <v>51602</v>
      </c>
      <c r="G33" s="16">
        <v>791</v>
      </c>
      <c r="H33" s="16">
        <v>182955</v>
      </c>
      <c r="I33" s="16">
        <v>15943</v>
      </c>
      <c r="J33" s="16">
        <v>4781</v>
      </c>
      <c r="K33" s="16" t="s">
        <v>38</v>
      </c>
      <c r="L33" s="16">
        <v>4147</v>
      </c>
      <c r="M33" s="16">
        <v>7015</v>
      </c>
      <c r="N33" s="16">
        <v>77436</v>
      </c>
      <c r="O33" s="16">
        <v>98104</v>
      </c>
      <c r="P33" s="16">
        <v>118513</v>
      </c>
      <c r="Q33" s="16">
        <v>70555</v>
      </c>
      <c r="R33" s="16">
        <v>4804</v>
      </c>
      <c r="S33" s="16">
        <v>11813</v>
      </c>
      <c r="T33" s="16">
        <v>46906</v>
      </c>
      <c r="U33" s="47">
        <f t="shared" si="0"/>
        <v>0.25020153127944589</v>
      </c>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row>
    <row r="34" spans="1:52" x14ac:dyDescent="0.35">
      <c r="A34" s="27"/>
      <c r="B34" s="35">
        <v>38321</v>
      </c>
      <c r="C34" s="16">
        <v>702835</v>
      </c>
      <c r="D34" s="16">
        <v>258850</v>
      </c>
      <c r="E34" s="16">
        <v>71428</v>
      </c>
      <c r="F34" s="16">
        <v>52917</v>
      </c>
      <c r="G34" s="16">
        <v>747</v>
      </c>
      <c r="H34" s="16">
        <v>186675</v>
      </c>
      <c r="I34" s="16">
        <v>16051</v>
      </c>
      <c r="J34" s="16">
        <v>4903</v>
      </c>
      <c r="K34" s="16" t="s">
        <v>38</v>
      </c>
      <c r="L34" s="16">
        <v>4187</v>
      </c>
      <c r="M34" s="16">
        <v>6962</v>
      </c>
      <c r="N34" s="16">
        <v>76710</v>
      </c>
      <c r="O34" s="16">
        <v>98681</v>
      </c>
      <c r="P34" s="16">
        <v>119503</v>
      </c>
      <c r="Q34" s="16">
        <v>71587</v>
      </c>
      <c r="R34" s="16">
        <v>5280</v>
      </c>
      <c r="S34" s="16">
        <v>12822</v>
      </c>
      <c r="T34" s="16">
        <v>43350</v>
      </c>
      <c r="U34" s="47">
        <f t="shared" si="0"/>
        <v>0.25496837737169709</v>
      </c>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row>
    <row r="35" spans="1:52" x14ac:dyDescent="0.35">
      <c r="A35" s="27">
        <v>38352</v>
      </c>
      <c r="B35" s="35">
        <v>38352</v>
      </c>
      <c r="C35" s="16">
        <v>722544</v>
      </c>
      <c r="D35" s="16">
        <v>267049</v>
      </c>
      <c r="E35" s="16">
        <v>74244</v>
      </c>
      <c r="F35" s="16">
        <v>57030</v>
      </c>
      <c r="G35" s="16">
        <v>713</v>
      </c>
      <c r="H35" s="16">
        <v>192092</v>
      </c>
      <c r="I35" s="16">
        <v>15919</v>
      </c>
      <c r="J35" s="16">
        <v>4944</v>
      </c>
      <c r="K35" s="16" t="s">
        <v>38</v>
      </c>
      <c r="L35" s="16">
        <v>4038</v>
      </c>
      <c r="M35" s="16">
        <v>6937</v>
      </c>
      <c r="N35" s="16">
        <v>73211</v>
      </c>
      <c r="O35" s="16">
        <v>100618</v>
      </c>
      <c r="P35" s="16">
        <v>127513</v>
      </c>
      <c r="Q35" s="16">
        <v>76990</v>
      </c>
      <c r="R35" s="16">
        <v>4760</v>
      </c>
      <c r="S35" s="16">
        <v>11500</v>
      </c>
      <c r="T35" s="16">
        <v>44984</v>
      </c>
      <c r="U35" s="47">
        <f t="shared" si="0"/>
        <v>0.25623122287748967</v>
      </c>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row>
    <row r="36" spans="1:52" x14ac:dyDescent="0.35">
      <c r="A36" s="27">
        <v>38383</v>
      </c>
      <c r="B36" s="35">
        <v>38383</v>
      </c>
      <c r="C36" s="16">
        <v>751106</v>
      </c>
      <c r="D36" s="16">
        <v>271238</v>
      </c>
      <c r="E36" s="16">
        <v>75407</v>
      </c>
      <c r="F36" s="16">
        <v>56435</v>
      </c>
      <c r="G36" s="16">
        <v>671</v>
      </c>
      <c r="H36" s="16">
        <v>195160</v>
      </c>
      <c r="I36" s="16">
        <v>16117</v>
      </c>
      <c r="J36" s="16">
        <v>5041</v>
      </c>
      <c r="K36" s="16" t="s">
        <v>38</v>
      </c>
      <c r="L36" s="16">
        <v>4074</v>
      </c>
      <c r="M36" s="16">
        <v>7002</v>
      </c>
      <c r="N36" s="16">
        <v>82990</v>
      </c>
      <c r="O36" s="16">
        <v>111250</v>
      </c>
      <c r="P36" s="16">
        <v>126488</v>
      </c>
      <c r="Q36" s="16">
        <v>82072</v>
      </c>
      <c r="R36" s="16">
        <v>6343</v>
      </c>
      <c r="S36" s="16">
        <v>11325</v>
      </c>
      <c r="T36" s="16">
        <v>43282</v>
      </c>
      <c r="U36" s="47">
        <f t="shared" si="0"/>
        <v>0.28603470947593346</v>
      </c>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row>
    <row r="37" spans="1:52" x14ac:dyDescent="0.35">
      <c r="A37" s="27"/>
      <c r="B37" s="35">
        <v>38411</v>
      </c>
      <c r="C37" s="16">
        <v>758327</v>
      </c>
      <c r="D37" s="16">
        <v>275152</v>
      </c>
      <c r="E37" s="16">
        <v>76477</v>
      </c>
      <c r="F37" s="16">
        <v>56260</v>
      </c>
      <c r="G37" s="16">
        <v>641</v>
      </c>
      <c r="H37" s="16">
        <v>198033</v>
      </c>
      <c r="I37" s="16">
        <v>16394</v>
      </c>
      <c r="J37" s="16">
        <v>5257</v>
      </c>
      <c r="K37" s="16" t="s">
        <v>38</v>
      </c>
      <c r="L37" s="16">
        <v>4113</v>
      </c>
      <c r="M37" s="16">
        <v>7023</v>
      </c>
      <c r="N37" s="16">
        <v>82822</v>
      </c>
      <c r="O37" s="16">
        <v>114968</v>
      </c>
      <c r="P37" s="16">
        <v>128153</v>
      </c>
      <c r="Q37" s="16">
        <v>83654</v>
      </c>
      <c r="R37" s="16">
        <v>6128</v>
      </c>
      <c r="S37" s="16">
        <v>11285</v>
      </c>
      <c r="T37" s="16">
        <v>39771</v>
      </c>
      <c r="U37" s="47">
        <f t="shared" si="0"/>
        <v>0.25772387119030871</v>
      </c>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row>
    <row r="38" spans="1:52" x14ac:dyDescent="0.35">
      <c r="A38" s="27"/>
      <c r="B38" s="35">
        <v>38442</v>
      </c>
      <c r="C38" s="16">
        <v>775512</v>
      </c>
      <c r="D38" s="16">
        <v>281730</v>
      </c>
      <c r="E38" s="16">
        <v>77987</v>
      </c>
      <c r="F38" s="16">
        <v>58361</v>
      </c>
      <c r="G38" s="16">
        <v>661</v>
      </c>
      <c r="H38" s="16">
        <v>203081</v>
      </c>
      <c r="I38" s="16">
        <v>16916</v>
      </c>
      <c r="J38" s="16">
        <v>5736</v>
      </c>
      <c r="K38" s="16" t="s">
        <v>38</v>
      </c>
      <c r="L38" s="16">
        <v>4142</v>
      </c>
      <c r="M38" s="16">
        <v>7037</v>
      </c>
      <c r="N38" s="16">
        <v>83006</v>
      </c>
      <c r="O38" s="16">
        <v>114678</v>
      </c>
      <c r="P38" s="16">
        <v>133102</v>
      </c>
      <c r="Q38" s="16">
        <v>85907</v>
      </c>
      <c r="R38" s="16">
        <v>6300</v>
      </c>
      <c r="S38" s="16">
        <v>12307</v>
      </c>
      <c r="T38" s="16">
        <v>41567</v>
      </c>
      <c r="U38" s="47">
        <f t="shared" si="0"/>
        <v>0.23419404635914409</v>
      </c>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row>
    <row r="39" spans="1:52" x14ac:dyDescent="0.35">
      <c r="A39" s="27"/>
      <c r="B39" s="35">
        <v>38471</v>
      </c>
      <c r="C39" s="16">
        <v>790581</v>
      </c>
      <c r="D39" s="16">
        <v>286236</v>
      </c>
      <c r="E39" s="16">
        <v>80305</v>
      </c>
      <c r="F39" s="16">
        <v>59759</v>
      </c>
      <c r="G39" s="16">
        <v>1051</v>
      </c>
      <c r="H39" s="16">
        <v>204880</v>
      </c>
      <c r="I39" s="16">
        <v>16845</v>
      </c>
      <c r="J39" s="16">
        <v>5743</v>
      </c>
      <c r="K39" s="16" t="s">
        <v>38</v>
      </c>
      <c r="L39" s="16">
        <v>4113</v>
      </c>
      <c r="M39" s="16">
        <v>6988</v>
      </c>
      <c r="N39" s="16">
        <v>82823</v>
      </c>
      <c r="O39" s="16">
        <v>117598</v>
      </c>
      <c r="P39" s="16">
        <v>133512</v>
      </c>
      <c r="Q39" s="16">
        <v>90062</v>
      </c>
      <c r="R39" s="16">
        <v>6789</v>
      </c>
      <c r="S39" s="16">
        <v>12392</v>
      </c>
      <c r="T39" s="16">
        <v>44325</v>
      </c>
      <c r="U39" s="47">
        <f t="shared" si="0"/>
        <v>0.25583933257508851</v>
      </c>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row>
    <row r="40" spans="1:52" x14ac:dyDescent="0.35">
      <c r="A40" s="27"/>
      <c r="B40" s="35">
        <v>38503</v>
      </c>
      <c r="C40" s="16">
        <v>820078</v>
      </c>
      <c r="D40" s="16">
        <v>294358</v>
      </c>
      <c r="E40" s="16">
        <v>81190</v>
      </c>
      <c r="F40" s="16">
        <v>60706</v>
      </c>
      <c r="G40" s="16">
        <v>659</v>
      </c>
      <c r="H40" s="16">
        <v>212510</v>
      </c>
      <c r="I40" s="16">
        <v>17114</v>
      </c>
      <c r="J40" s="16">
        <v>6016</v>
      </c>
      <c r="K40" s="16" t="s">
        <v>38</v>
      </c>
      <c r="L40" s="16">
        <v>4001</v>
      </c>
      <c r="M40" s="16">
        <v>7098</v>
      </c>
      <c r="N40" s="16">
        <v>86402</v>
      </c>
      <c r="O40" s="16">
        <v>122105</v>
      </c>
      <c r="P40" s="16">
        <v>137247</v>
      </c>
      <c r="Q40" s="16">
        <v>94952</v>
      </c>
      <c r="R40" s="16">
        <v>6072</v>
      </c>
      <c r="S40" s="16">
        <v>13408</v>
      </c>
      <c r="T40" s="16">
        <v>48419</v>
      </c>
      <c r="U40" s="47">
        <f t="shared" si="0"/>
        <v>0.27221984350081607</v>
      </c>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row>
    <row r="41" spans="1:52" x14ac:dyDescent="0.35">
      <c r="A41" s="27"/>
      <c r="B41" s="35">
        <v>38533</v>
      </c>
      <c r="C41" s="16">
        <v>843274</v>
      </c>
      <c r="D41" s="16">
        <v>302832</v>
      </c>
      <c r="E41" s="16">
        <v>82613</v>
      </c>
      <c r="F41" s="16">
        <v>62014</v>
      </c>
      <c r="G41" s="16">
        <v>1330</v>
      </c>
      <c r="H41" s="16">
        <v>218889</v>
      </c>
      <c r="I41" s="16">
        <v>18127</v>
      </c>
      <c r="J41" s="16">
        <v>6875</v>
      </c>
      <c r="K41" s="16" t="s">
        <v>38</v>
      </c>
      <c r="L41" s="16">
        <v>3986</v>
      </c>
      <c r="M41" s="16">
        <v>7266</v>
      </c>
      <c r="N41" s="16">
        <v>84233</v>
      </c>
      <c r="O41" s="16">
        <v>122268</v>
      </c>
      <c r="P41" s="16">
        <v>141636</v>
      </c>
      <c r="Q41" s="16">
        <v>102205</v>
      </c>
      <c r="R41" s="16">
        <v>5695</v>
      </c>
      <c r="S41" s="16">
        <v>14686</v>
      </c>
      <c r="T41" s="16">
        <v>51591</v>
      </c>
      <c r="U41" s="47">
        <f t="shared" si="0"/>
        <v>0.29108582854500731</v>
      </c>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row>
    <row r="42" spans="1:52" x14ac:dyDescent="0.35">
      <c r="A42" s="27"/>
      <c r="B42" s="35">
        <v>38562</v>
      </c>
      <c r="C42" s="16">
        <v>852813</v>
      </c>
      <c r="D42" s="16">
        <v>309864</v>
      </c>
      <c r="E42" s="16">
        <v>84739</v>
      </c>
      <c r="F42" s="16">
        <v>63994</v>
      </c>
      <c r="G42" s="16">
        <v>948</v>
      </c>
      <c r="H42" s="16">
        <v>224178</v>
      </c>
      <c r="I42" s="16">
        <v>18100</v>
      </c>
      <c r="J42" s="16">
        <v>6925</v>
      </c>
      <c r="K42" s="16" t="s">
        <v>38</v>
      </c>
      <c r="L42" s="16">
        <v>3921</v>
      </c>
      <c r="M42" s="16">
        <v>7254</v>
      </c>
      <c r="N42" s="16">
        <v>82834</v>
      </c>
      <c r="O42" s="16">
        <v>124303</v>
      </c>
      <c r="P42" s="16">
        <v>143123</v>
      </c>
      <c r="Q42" s="16">
        <v>105571</v>
      </c>
      <c r="R42" s="16">
        <v>6615</v>
      </c>
      <c r="S42" s="16">
        <v>16580</v>
      </c>
      <c r="T42" s="16">
        <v>45822</v>
      </c>
      <c r="U42" s="47">
        <f t="shared" si="0"/>
        <v>0.27056062931124392</v>
      </c>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row>
    <row r="43" spans="1:52" x14ac:dyDescent="0.35">
      <c r="A43" s="27"/>
      <c r="B43" s="35">
        <v>38595</v>
      </c>
      <c r="C43" s="16">
        <v>870441</v>
      </c>
      <c r="D43" s="16">
        <v>316947</v>
      </c>
      <c r="E43" s="16">
        <v>87422</v>
      </c>
      <c r="F43" s="16">
        <v>67049</v>
      </c>
      <c r="G43" s="16">
        <v>1035</v>
      </c>
      <c r="H43" s="16">
        <v>228490</v>
      </c>
      <c r="I43" s="16">
        <v>18386</v>
      </c>
      <c r="J43" s="16">
        <v>7141</v>
      </c>
      <c r="K43" s="16" t="s">
        <v>38</v>
      </c>
      <c r="L43" s="16">
        <v>3957</v>
      </c>
      <c r="M43" s="16">
        <v>7288</v>
      </c>
      <c r="N43" s="16">
        <v>84287</v>
      </c>
      <c r="O43" s="16">
        <v>129530</v>
      </c>
      <c r="P43" s="16">
        <v>143093</v>
      </c>
      <c r="Q43" s="16">
        <v>107532</v>
      </c>
      <c r="R43" s="16">
        <v>5726</v>
      </c>
      <c r="S43" s="16">
        <v>16495</v>
      </c>
      <c r="T43" s="16">
        <v>48446</v>
      </c>
      <c r="U43" s="47">
        <f t="shared" si="0"/>
        <v>0.28688076215707947</v>
      </c>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row>
    <row r="44" spans="1:52" x14ac:dyDescent="0.35">
      <c r="A44" s="27"/>
      <c r="B44" s="35">
        <v>38625</v>
      </c>
      <c r="C44" s="16">
        <v>882408</v>
      </c>
      <c r="D44" s="16">
        <v>323205</v>
      </c>
      <c r="E44" s="16">
        <v>89163</v>
      </c>
      <c r="F44" s="16">
        <v>69691</v>
      </c>
      <c r="G44" s="16">
        <v>677</v>
      </c>
      <c r="H44" s="16">
        <v>233365</v>
      </c>
      <c r="I44" s="16">
        <v>18212</v>
      </c>
      <c r="J44" s="16">
        <v>6920</v>
      </c>
      <c r="K44" s="16" t="s">
        <v>38</v>
      </c>
      <c r="L44" s="16">
        <v>4107</v>
      </c>
      <c r="M44" s="16">
        <v>7185</v>
      </c>
      <c r="N44" s="16">
        <v>86549</v>
      </c>
      <c r="O44" s="16">
        <v>136759</v>
      </c>
      <c r="P44" s="16">
        <v>144446</v>
      </c>
      <c r="Q44" s="16">
        <v>110562</v>
      </c>
      <c r="R44" s="16">
        <v>6076</v>
      </c>
      <c r="S44" s="16">
        <v>14380</v>
      </c>
      <c r="T44" s="16">
        <v>42219</v>
      </c>
      <c r="U44" s="47">
        <f t="shared" si="0"/>
        <v>0.27922852665349374</v>
      </c>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row>
    <row r="45" spans="1:52" x14ac:dyDescent="0.35">
      <c r="A45" s="27"/>
      <c r="B45" s="35">
        <v>38653</v>
      </c>
      <c r="C45" s="16">
        <v>911401</v>
      </c>
      <c r="D45" s="16">
        <v>331920</v>
      </c>
      <c r="E45" s="16">
        <v>92735</v>
      </c>
      <c r="F45" s="16">
        <v>72641</v>
      </c>
      <c r="G45" s="16">
        <v>708</v>
      </c>
      <c r="H45" s="16">
        <v>238477</v>
      </c>
      <c r="I45" s="16">
        <v>18253</v>
      </c>
      <c r="J45" s="16">
        <v>7082</v>
      </c>
      <c r="K45" s="16" t="s">
        <v>38</v>
      </c>
      <c r="L45" s="16">
        <v>3760</v>
      </c>
      <c r="M45" s="16">
        <v>7411</v>
      </c>
      <c r="N45" s="16">
        <v>87163</v>
      </c>
      <c r="O45" s="16">
        <v>142470</v>
      </c>
      <c r="P45" s="16">
        <v>149848</v>
      </c>
      <c r="Q45" s="16">
        <v>114510</v>
      </c>
      <c r="R45" s="16">
        <v>7075</v>
      </c>
      <c r="S45" s="16">
        <v>14901</v>
      </c>
      <c r="T45" s="16">
        <v>45260</v>
      </c>
      <c r="U45" s="47">
        <f t="shared" si="0"/>
        <v>0.30592854225922239</v>
      </c>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row>
    <row r="46" spans="1:52" x14ac:dyDescent="0.35">
      <c r="A46" s="27"/>
      <c r="B46" s="35">
        <v>38686</v>
      </c>
      <c r="C46" s="16">
        <v>921003</v>
      </c>
      <c r="D46" s="16">
        <v>341099</v>
      </c>
      <c r="E46" s="16">
        <v>96330</v>
      </c>
      <c r="F46" s="16">
        <v>74283</v>
      </c>
      <c r="G46" s="16">
        <v>1121</v>
      </c>
      <c r="H46" s="16">
        <v>243647</v>
      </c>
      <c r="I46" s="16">
        <v>18591</v>
      </c>
      <c r="J46" s="16">
        <v>7316</v>
      </c>
      <c r="K46" s="16" t="s">
        <v>38</v>
      </c>
      <c r="L46" s="16">
        <v>3712</v>
      </c>
      <c r="M46" s="16">
        <v>7563</v>
      </c>
      <c r="N46" s="16">
        <v>85559</v>
      </c>
      <c r="O46" s="16">
        <v>144079</v>
      </c>
      <c r="P46" s="16">
        <v>149484</v>
      </c>
      <c r="Q46" s="16">
        <v>114764</v>
      </c>
      <c r="R46" s="16">
        <v>6597</v>
      </c>
      <c r="S46" s="16">
        <v>15017</v>
      </c>
      <c r="T46" s="16">
        <v>45814</v>
      </c>
      <c r="U46" s="47">
        <f t="shared" si="0"/>
        <v>0.31041140523736011</v>
      </c>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row>
    <row r="47" spans="1:52" x14ac:dyDescent="0.35">
      <c r="A47" s="27">
        <v>38716</v>
      </c>
      <c r="B47" s="35">
        <v>38716</v>
      </c>
      <c r="C47" s="16">
        <v>941907</v>
      </c>
      <c r="D47" s="16">
        <v>349646</v>
      </c>
      <c r="E47" s="16">
        <v>98150</v>
      </c>
      <c r="F47" s="16">
        <v>76560</v>
      </c>
      <c r="G47" s="16">
        <v>990</v>
      </c>
      <c r="H47" s="16">
        <v>250506</v>
      </c>
      <c r="I47" s="16">
        <v>18479</v>
      </c>
      <c r="J47" s="16">
        <v>7312</v>
      </c>
      <c r="K47" s="16" t="s">
        <v>38</v>
      </c>
      <c r="L47" s="16">
        <v>3617</v>
      </c>
      <c r="M47" s="16">
        <v>7550</v>
      </c>
      <c r="N47" s="16">
        <v>91841</v>
      </c>
      <c r="O47" s="16">
        <v>149397</v>
      </c>
      <c r="P47" s="16">
        <v>147958</v>
      </c>
      <c r="Q47" s="16">
        <v>115587</v>
      </c>
      <c r="R47" s="16">
        <v>8883</v>
      </c>
      <c r="S47" s="16">
        <v>14663</v>
      </c>
      <c r="T47" s="16">
        <v>45453</v>
      </c>
      <c r="U47" s="47">
        <f t="shared" si="0"/>
        <v>0.30359811997608444</v>
      </c>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row>
    <row r="48" spans="1:52" x14ac:dyDescent="0.35">
      <c r="A48" s="27">
        <v>38748</v>
      </c>
      <c r="B48" s="35">
        <v>38748</v>
      </c>
      <c r="C48" s="16">
        <v>934468</v>
      </c>
      <c r="D48" s="16">
        <v>357184</v>
      </c>
      <c r="E48" s="16">
        <v>102050</v>
      </c>
      <c r="F48" s="16">
        <v>78919</v>
      </c>
      <c r="G48" s="16">
        <v>1301</v>
      </c>
      <c r="H48" s="16">
        <v>253832</v>
      </c>
      <c r="I48" s="16">
        <v>18530</v>
      </c>
      <c r="J48" s="16">
        <v>7513</v>
      </c>
      <c r="K48" s="16" t="s">
        <v>38</v>
      </c>
      <c r="L48" s="16">
        <v>3551</v>
      </c>
      <c r="M48" s="16">
        <v>7466</v>
      </c>
      <c r="N48" s="16">
        <v>86667</v>
      </c>
      <c r="O48" s="16">
        <v>137934</v>
      </c>
      <c r="P48" s="16">
        <v>150667</v>
      </c>
      <c r="Q48" s="16">
        <v>117571</v>
      </c>
      <c r="R48" s="16">
        <v>8420</v>
      </c>
      <c r="S48" s="16">
        <v>15056</v>
      </c>
      <c r="T48" s="16">
        <v>42439</v>
      </c>
      <c r="U48" s="47">
        <f t="shared" si="0"/>
        <v>0.24412266710690633</v>
      </c>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row>
    <row r="49" spans="1:52" x14ac:dyDescent="0.35">
      <c r="A49" s="27"/>
      <c r="B49" s="35">
        <v>38776</v>
      </c>
      <c r="C49" s="16">
        <v>972857</v>
      </c>
      <c r="D49" s="16">
        <v>381942</v>
      </c>
      <c r="E49" s="16">
        <v>121469</v>
      </c>
      <c r="F49" s="16">
        <v>99924</v>
      </c>
      <c r="G49" s="16">
        <v>1167</v>
      </c>
      <c r="H49" s="16">
        <v>259305</v>
      </c>
      <c r="I49" s="16">
        <v>18991</v>
      </c>
      <c r="J49" s="16">
        <v>7882</v>
      </c>
      <c r="K49" s="16" t="s">
        <v>38</v>
      </c>
      <c r="L49" s="16">
        <v>3481</v>
      </c>
      <c r="M49" s="16">
        <v>7628</v>
      </c>
      <c r="N49" s="16">
        <v>87148</v>
      </c>
      <c r="O49" s="16">
        <v>141947</v>
      </c>
      <c r="P49" s="16">
        <v>153065</v>
      </c>
      <c r="Q49" s="16">
        <v>120180</v>
      </c>
      <c r="R49" s="16">
        <v>8634</v>
      </c>
      <c r="S49" s="16">
        <v>15204</v>
      </c>
      <c r="T49" s="16">
        <v>45745</v>
      </c>
      <c r="U49" s="47">
        <f t="shared" si="0"/>
        <v>0.2828990659702213</v>
      </c>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row>
    <row r="50" spans="1:52" x14ac:dyDescent="0.35">
      <c r="A50" s="27"/>
      <c r="B50" s="35">
        <v>38807</v>
      </c>
      <c r="C50" s="16">
        <v>988467</v>
      </c>
      <c r="D50" s="16">
        <v>382863</v>
      </c>
      <c r="E50" s="16">
        <v>118854</v>
      </c>
      <c r="F50" s="16">
        <v>97191</v>
      </c>
      <c r="G50" s="16">
        <v>1524</v>
      </c>
      <c r="H50" s="16">
        <v>262486</v>
      </c>
      <c r="I50" s="16">
        <v>19361</v>
      </c>
      <c r="J50" s="16">
        <v>7672</v>
      </c>
      <c r="K50" s="16" t="s">
        <v>38</v>
      </c>
      <c r="L50" s="16">
        <v>3494</v>
      </c>
      <c r="M50" s="16">
        <v>8195</v>
      </c>
      <c r="N50" s="16">
        <v>89739</v>
      </c>
      <c r="O50" s="16">
        <v>138081</v>
      </c>
      <c r="P50" s="16">
        <v>158697</v>
      </c>
      <c r="Q50" s="16">
        <v>122421</v>
      </c>
      <c r="R50" s="16">
        <v>7657</v>
      </c>
      <c r="S50" s="16">
        <v>14863</v>
      </c>
      <c r="T50" s="16">
        <v>54785</v>
      </c>
      <c r="U50" s="47">
        <f t="shared" si="0"/>
        <v>0.27459923250704055</v>
      </c>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row>
    <row r="51" spans="1:52" x14ac:dyDescent="0.35">
      <c r="A51" s="27"/>
      <c r="B51" s="35">
        <v>38835</v>
      </c>
      <c r="C51" s="16">
        <v>1009129</v>
      </c>
      <c r="D51" s="16">
        <v>387934</v>
      </c>
      <c r="E51" s="16">
        <v>119701</v>
      </c>
      <c r="F51" s="16">
        <v>97595</v>
      </c>
      <c r="G51" s="16">
        <v>1454</v>
      </c>
      <c r="H51" s="16">
        <v>266779</v>
      </c>
      <c r="I51" s="16">
        <v>19496</v>
      </c>
      <c r="J51" s="16">
        <v>7767</v>
      </c>
      <c r="K51" s="16" t="s">
        <v>38</v>
      </c>
      <c r="L51" s="16">
        <v>3537</v>
      </c>
      <c r="M51" s="16">
        <v>8192</v>
      </c>
      <c r="N51" s="16">
        <v>90452</v>
      </c>
      <c r="O51" s="16">
        <v>141162</v>
      </c>
      <c r="P51" s="16">
        <v>158532</v>
      </c>
      <c r="Q51" s="16">
        <v>123529</v>
      </c>
      <c r="R51" s="16">
        <v>7758</v>
      </c>
      <c r="S51" s="16">
        <v>21379</v>
      </c>
      <c r="T51" s="16">
        <v>58886</v>
      </c>
      <c r="U51" s="47">
        <f t="shared" si="0"/>
        <v>0.27643973229814534</v>
      </c>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row>
    <row r="52" spans="1:52" x14ac:dyDescent="0.35">
      <c r="A52" s="27"/>
      <c r="B52" s="35">
        <v>38868</v>
      </c>
      <c r="C52" s="16">
        <v>1021519</v>
      </c>
      <c r="D52" s="16">
        <v>396598</v>
      </c>
      <c r="E52" s="16">
        <v>121986</v>
      </c>
      <c r="F52" s="16">
        <v>99659</v>
      </c>
      <c r="G52" s="16">
        <v>1016</v>
      </c>
      <c r="H52" s="16">
        <v>273596</v>
      </c>
      <c r="I52" s="16">
        <v>19550</v>
      </c>
      <c r="J52" s="16">
        <v>7738</v>
      </c>
      <c r="K52" s="16" t="s">
        <v>38</v>
      </c>
      <c r="L52" s="16">
        <v>3723</v>
      </c>
      <c r="M52" s="16">
        <v>8088</v>
      </c>
      <c r="N52" s="16">
        <v>95040</v>
      </c>
      <c r="O52" s="16">
        <v>138545</v>
      </c>
      <c r="P52" s="16">
        <v>158615</v>
      </c>
      <c r="Q52" s="16">
        <v>123321</v>
      </c>
      <c r="R52" s="16">
        <v>8088</v>
      </c>
      <c r="S52" s="16">
        <v>21116</v>
      </c>
      <c r="T52" s="16">
        <v>60647</v>
      </c>
      <c r="U52" s="47">
        <f t="shared" si="0"/>
        <v>0.24563639068478849</v>
      </c>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row>
    <row r="53" spans="1:52" x14ac:dyDescent="0.35">
      <c r="A53" s="27"/>
      <c r="B53" s="35">
        <v>38898</v>
      </c>
      <c r="C53" s="16">
        <v>1050968</v>
      </c>
      <c r="D53" s="16">
        <v>405101</v>
      </c>
      <c r="E53" s="16">
        <v>123704</v>
      </c>
      <c r="F53" s="16">
        <v>102065</v>
      </c>
      <c r="G53" s="16">
        <v>2062</v>
      </c>
      <c r="H53" s="16">
        <v>279335</v>
      </c>
      <c r="I53" s="16">
        <v>19781</v>
      </c>
      <c r="J53" s="16">
        <v>7610</v>
      </c>
      <c r="K53" s="16" t="s">
        <v>38</v>
      </c>
      <c r="L53" s="16">
        <v>3644</v>
      </c>
      <c r="M53" s="16">
        <v>8527</v>
      </c>
      <c r="N53" s="16">
        <v>93615</v>
      </c>
      <c r="O53" s="16">
        <v>144122</v>
      </c>
      <c r="P53" s="16">
        <v>166054</v>
      </c>
      <c r="Q53" s="16">
        <v>127181</v>
      </c>
      <c r="R53" s="16">
        <v>11400</v>
      </c>
      <c r="S53" s="16">
        <v>20669</v>
      </c>
      <c r="T53" s="16">
        <v>63045</v>
      </c>
      <c r="U53" s="47">
        <f t="shared" si="0"/>
        <v>0.24629479860638415</v>
      </c>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row>
    <row r="54" spans="1:52" x14ac:dyDescent="0.35">
      <c r="A54" s="27"/>
      <c r="B54" s="35">
        <v>38929</v>
      </c>
      <c r="C54" s="16">
        <v>1053388</v>
      </c>
      <c r="D54" s="16">
        <v>408248</v>
      </c>
      <c r="E54" s="16">
        <v>123733</v>
      </c>
      <c r="F54" s="16">
        <v>102248</v>
      </c>
      <c r="G54" s="16">
        <v>1053</v>
      </c>
      <c r="H54" s="16">
        <v>283461</v>
      </c>
      <c r="I54" s="16">
        <v>19977</v>
      </c>
      <c r="J54" s="16">
        <v>7574</v>
      </c>
      <c r="K54" s="16" t="s">
        <v>38</v>
      </c>
      <c r="L54" s="16">
        <v>3644</v>
      </c>
      <c r="M54" s="16">
        <v>8760</v>
      </c>
      <c r="N54" s="16">
        <v>92070</v>
      </c>
      <c r="O54" s="16">
        <v>149656</v>
      </c>
      <c r="P54" s="16">
        <v>172546</v>
      </c>
      <c r="Q54" s="16">
        <v>131845</v>
      </c>
      <c r="R54" s="16">
        <v>7965</v>
      </c>
      <c r="S54" s="16">
        <v>18926</v>
      </c>
      <c r="T54" s="16">
        <v>52156</v>
      </c>
      <c r="U54" s="47">
        <f t="shared" si="0"/>
        <v>0.23519224026838237</v>
      </c>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row>
    <row r="55" spans="1:52" x14ac:dyDescent="0.35">
      <c r="A55" s="27"/>
      <c r="B55" s="35">
        <v>38960</v>
      </c>
      <c r="C55" s="16">
        <v>1071539</v>
      </c>
      <c r="D55" s="16">
        <v>414142</v>
      </c>
      <c r="E55" s="16">
        <v>125703</v>
      </c>
      <c r="F55" s="16">
        <v>104052</v>
      </c>
      <c r="G55" s="16">
        <v>1731</v>
      </c>
      <c r="H55" s="16">
        <v>286709</v>
      </c>
      <c r="I55" s="16">
        <v>20472</v>
      </c>
      <c r="J55" s="16">
        <v>7950</v>
      </c>
      <c r="K55" s="16" t="s">
        <v>38</v>
      </c>
      <c r="L55" s="16">
        <v>3514</v>
      </c>
      <c r="M55" s="16">
        <v>9007</v>
      </c>
      <c r="N55" s="16">
        <v>96011</v>
      </c>
      <c r="O55" s="16">
        <v>152909</v>
      </c>
      <c r="P55" s="16">
        <v>172838</v>
      </c>
      <c r="Q55" s="16">
        <v>133027</v>
      </c>
      <c r="R55" s="16">
        <v>9795</v>
      </c>
      <c r="S55" s="16">
        <v>20776</v>
      </c>
      <c r="T55" s="16">
        <v>51569</v>
      </c>
      <c r="U55" s="47">
        <f t="shared" si="0"/>
        <v>0.2310300181172531</v>
      </c>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row>
    <row r="56" spans="1:52" x14ac:dyDescent="0.35">
      <c r="A56" s="27"/>
      <c r="B56" s="35">
        <v>38989</v>
      </c>
      <c r="C56" s="16">
        <v>1092294</v>
      </c>
      <c r="D56" s="16">
        <v>422100</v>
      </c>
      <c r="E56" s="16">
        <v>128976</v>
      </c>
      <c r="F56" s="16">
        <v>109181</v>
      </c>
      <c r="G56" s="16">
        <v>1049</v>
      </c>
      <c r="H56" s="16">
        <v>292075</v>
      </c>
      <c r="I56" s="16">
        <v>21056</v>
      </c>
      <c r="J56" s="16">
        <v>7973</v>
      </c>
      <c r="K56" s="16" t="s">
        <v>38</v>
      </c>
      <c r="L56" s="16">
        <v>3485</v>
      </c>
      <c r="M56" s="16">
        <v>9597</v>
      </c>
      <c r="N56" s="16">
        <v>98982</v>
      </c>
      <c r="O56" s="16">
        <v>153167</v>
      </c>
      <c r="P56" s="16">
        <v>173863</v>
      </c>
      <c r="Q56" s="16">
        <v>141378</v>
      </c>
      <c r="R56" s="16">
        <v>11367</v>
      </c>
      <c r="S56" s="16">
        <v>16500</v>
      </c>
      <c r="T56" s="16">
        <v>53882</v>
      </c>
      <c r="U56" s="47">
        <f t="shared" si="0"/>
        <v>0.23785595778823398</v>
      </c>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row>
    <row r="57" spans="1:52" x14ac:dyDescent="0.35">
      <c r="A57" s="27"/>
      <c r="B57" s="35">
        <v>39021</v>
      </c>
      <c r="C57" s="16">
        <v>1119557</v>
      </c>
      <c r="D57" s="16">
        <v>433426</v>
      </c>
      <c r="E57" s="16">
        <v>134228</v>
      </c>
      <c r="F57" s="16">
        <v>113736</v>
      </c>
      <c r="G57" s="16">
        <v>1131</v>
      </c>
      <c r="H57" s="16">
        <v>298066</v>
      </c>
      <c r="I57" s="16">
        <v>21577</v>
      </c>
      <c r="J57" s="16">
        <v>8421</v>
      </c>
      <c r="K57" s="16" t="s">
        <v>38</v>
      </c>
      <c r="L57" s="16">
        <v>3391</v>
      </c>
      <c r="M57" s="16">
        <v>9765</v>
      </c>
      <c r="N57" s="16">
        <v>97699</v>
      </c>
      <c r="O57" s="16">
        <v>176016</v>
      </c>
      <c r="P57" s="16">
        <v>173524</v>
      </c>
      <c r="Q57" s="16">
        <v>142965</v>
      </c>
      <c r="R57" s="16">
        <v>8230</v>
      </c>
      <c r="S57" s="16">
        <v>17418</v>
      </c>
      <c r="T57" s="16">
        <v>48703</v>
      </c>
      <c r="U57" s="47">
        <f t="shared" si="0"/>
        <v>0.22839123503265846</v>
      </c>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row>
    <row r="58" spans="1:52" x14ac:dyDescent="0.35">
      <c r="A58" s="27"/>
      <c r="B58" s="35">
        <v>39051</v>
      </c>
      <c r="C58" s="16">
        <v>1152404</v>
      </c>
      <c r="D58" s="16">
        <v>446272</v>
      </c>
      <c r="E58" s="16">
        <v>140877</v>
      </c>
      <c r="F58" s="16">
        <v>119499</v>
      </c>
      <c r="G58" s="16">
        <v>1067</v>
      </c>
      <c r="H58" s="16">
        <v>304329</v>
      </c>
      <c r="I58" s="16">
        <v>21733</v>
      </c>
      <c r="J58" s="16">
        <v>8832</v>
      </c>
      <c r="K58" s="16" t="s">
        <v>38</v>
      </c>
      <c r="L58" s="16">
        <v>3142</v>
      </c>
      <c r="M58" s="16">
        <v>9759</v>
      </c>
      <c r="N58" s="16">
        <v>101819</v>
      </c>
      <c r="O58" s="16">
        <v>186976</v>
      </c>
      <c r="P58" s="16">
        <v>174450</v>
      </c>
      <c r="Q58" s="16">
        <v>142253</v>
      </c>
      <c r="R58" s="16">
        <v>9125</v>
      </c>
      <c r="S58" s="16">
        <v>19222</v>
      </c>
      <c r="T58" s="16">
        <v>50553</v>
      </c>
      <c r="U58" s="47">
        <f t="shared" si="0"/>
        <v>0.25124891015555861</v>
      </c>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row>
    <row r="59" spans="1:52" x14ac:dyDescent="0.35">
      <c r="A59" s="27">
        <v>39080</v>
      </c>
      <c r="B59" s="35">
        <v>39080</v>
      </c>
      <c r="C59" s="16">
        <v>1178128</v>
      </c>
      <c r="D59" s="16">
        <v>450831</v>
      </c>
      <c r="E59" s="16">
        <v>143168</v>
      </c>
      <c r="F59" s="16">
        <v>122202</v>
      </c>
      <c r="G59" s="16">
        <v>1052</v>
      </c>
      <c r="H59" s="16">
        <v>306611</v>
      </c>
      <c r="I59" s="16">
        <v>22059</v>
      </c>
      <c r="J59" s="16">
        <v>8884</v>
      </c>
      <c r="K59" s="16" t="s">
        <v>38</v>
      </c>
      <c r="L59" s="16">
        <v>3121</v>
      </c>
      <c r="M59" s="16">
        <v>10054</v>
      </c>
      <c r="N59" s="16">
        <v>102550</v>
      </c>
      <c r="O59" s="16">
        <v>195693</v>
      </c>
      <c r="P59" s="16">
        <v>174780</v>
      </c>
      <c r="Q59" s="16">
        <v>145357</v>
      </c>
      <c r="R59" s="16">
        <v>13616</v>
      </c>
      <c r="S59" s="16">
        <v>19533</v>
      </c>
      <c r="T59" s="16">
        <v>53707</v>
      </c>
      <c r="U59" s="47">
        <f t="shared" si="0"/>
        <v>0.2507901523186471</v>
      </c>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row>
    <row r="60" spans="1:52" x14ac:dyDescent="0.35">
      <c r="A60" s="27">
        <v>39113</v>
      </c>
      <c r="B60" s="35">
        <v>39113</v>
      </c>
      <c r="C60" s="16">
        <v>1184568</v>
      </c>
      <c r="D60" s="16">
        <v>446779</v>
      </c>
      <c r="E60" s="16">
        <v>136110</v>
      </c>
      <c r="F60" s="16">
        <v>116861</v>
      </c>
      <c r="G60" s="16">
        <v>1011</v>
      </c>
      <c r="H60" s="16">
        <v>309658</v>
      </c>
      <c r="I60" s="16">
        <v>22308</v>
      </c>
      <c r="J60" s="16">
        <v>9040</v>
      </c>
      <c r="K60" s="16" t="s">
        <v>38</v>
      </c>
      <c r="L60" s="16">
        <v>3008</v>
      </c>
      <c r="M60" s="16">
        <v>10260</v>
      </c>
      <c r="N60" s="16">
        <v>102372</v>
      </c>
      <c r="O60" s="16">
        <v>202351</v>
      </c>
      <c r="P60" s="16">
        <v>173098</v>
      </c>
      <c r="Q60" s="16">
        <v>152479</v>
      </c>
      <c r="R60" s="16">
        <v>10890</v>
      </c>
      <c r="S60" s="16">
        <v>20512</v>
      </c>
      <c r="T60" s="16">
        <v>53778</v>
      </c>
      <c r="U60" s="47">
        <f t="shared" si="0"/>
        <v>0.26763891326401756</v>
      </c>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row>
    <row r="61" spans="1:52" x14ac:dyDescent="0.35">
      <c r="A61" s="27"/>
      <c r="B61" s="35">
        <v>39141</v>
      </c>
      <c r="C61" s="16">
        <v>1185046</v>
      </c>
      <c r="D61" s="16">
        <v>446110</v>
      </c>
      <c r="E61" s="16">
        <v>130918</v>
      </c>
      <c r="F61" s="16">
        <v>113936</v>
      </c>
      <c r="G61" s="16">
        <v>1005</v>
      </c>
      <c r="H61" s="16">
        <v>314187</v>
      </c>
      <c r="I61" s="16">
        <v>22096</v>
      </c>
      <c r="J61" s="16">
        <v>8920</v>
      </c>
      <c r="K61" s="16" t="s">
        <v>38</v>
      </c>
      <c r="L61" s="16">
        <v>2704</v>
      </c>
      <c r="M61" s="16">
        <v>10473</v>
      </c>
      <c r="N61" s="16">
        <v>103695</v>
      </c>
      <c r="O61" s="16">
        <v>197154</v>
      </c>
      <c r="P61" s="16">
        <v>173036</v>
      </c>
      <c r="Q61" s="16">
        <v>158452</v>
      </c>
      <c r="R61" s="16">
        <v>12671</v>
      </c>
      <c r="S61" s="16">
        <v>21555</v>
      </c>
      <c r="T61" s="16">
        <v>50278</v>
      </c>
      <c r="U61" s="47">
        <f t="shared" si="0"/>
        <v>0.21810913628621686</v>
      </c>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row>
    <row r="62" spans="1:52" x14ac:dyDescent="0.35">
      <c r="A62" s="27"/>
      <c r="B62" s="35">
        <v>39171</v>
      </c>
      <c r="C62" s="16">
        <v>1209777</v>
      </c>
      <c r="D62" s="16">
        <v>449589</v>
      </c>
      <c r="E62" s="16">
        <v>132578</v>
      </c>
      <c r="F62" s="16">
        <v>114059</v>
      </c>
      <c r="G62" s="16">
        <v>1030</v>
      </c>
      <c r="H62" s="16">
        <v>315981</v>
      </c>
      <c r="I62" s="16">
        <v>22351</v>
      </c>
      <c r="J62" s="16">
        <v>8641</v>
      </c>
      <c r="K62" s="16" t="s">
        <v>38</v>
      </c>
      <c r="L62" s="16">
        <v>2619</v>
      </c>
      <c r="M62" s="16">
        <v>11092</v>
      </c>
      <c r="N62" s="16">
        <v>105311</v>
      </c>
      <c r="O62" s="16">
        <v>205637</v>
      </c>
      <c r="P62" s="16">
        <v>174201</v>
      </c>
      <c r="Q62" s="16">
        <v>163884</v>
      </c>
      <c r="R62" s="16">
        <v>16488</v>
      </c>
      <c r="S62" s="16">
        <v>20474</v>
      </c>
      <c r="T62" s="16">
        <v>51841</v>
      </c>
      <c r="U62" s="47">
        <f t="shared" si="0"/>
        <v>0.22389214814455105</v>
      </c>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row>
    <row r="63" spans="1:52" x14ac:dyDescent="0.35">
      <c r="A63" s="27"/>
      <c r="B63" s="35">
        <v>39202</v>
      </c>
      <c r="C63" s="16">
        <v>1232537</v>
      </c>
      <c r="D63" s="16">
        <v>453598</v>
      </c>
      <c r="E63" s="16">
        <v>133477</v>
      </c>
      <c r="F63" s="16">
        <v>114269</v>
      </c>
      <c r="G63" s="16">
        <v>1069</v>
      </c>
      <c r="H63" s="16">
        <v>319052</v>
      </c>
      <c r="I63" s="16">
        <v>22464</v>
      </c>
      <c r="J63" s="16">
        <v>8927</v>
      </c>
      <c r="K63" s="16" t="s">
        <v>38</v>
      </c>
      <c r="L63" s="16">
        <v>2379</v>
      </c>
      <c r="M63" s="16">
        <v>11158</v>
      </c>
      <c r="N63" s="16">
        <v>109373</v>
      </c>
      <c r="O63" s="16">
        <v>214018</v>
      </c>
      <c r="P63" s="16">
        <v>174917</v>
      </c>
      <c r="Q63" s="16">
        <v>169431</v>
      </c>
      <c r="R63" s="16">
        <v>12489</v>
      </c>
      <c r="S63" s="16">
        <v>19887</v>
      </c>
      <c r="T63" s="16">
        <v>56359</v>
      </c>
      <c r="U63" s="47">
        <f t="shared" si="0"/>
        <v>0.22138695845625289</v>
      </c>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row>
    <row r="64" spans="1:52" x14ac:dyDescent="0.35">
      <c r="A64" s="27"/>
      <c r="B64" s="35">
        <v>39233</v>
      </c>
      <c r="C64" s="16">
        <v>1261135</v>
      </c>
      <c r="D64" s="16">
        <v>455641</v>
      </c>
      <c r="E64" s="16">
        <v>130531</v>
      </c>
      <c r="F64" s="16">
        <v>112031</v>
      </c>
      <c r="G64" s="16">
        <v>974</v>
      </c>
      <c r="H64" s="16">
        <v>324137</v>
      </c>
      <c r="I64" s="16">
        <v>23367</v>
      </c>
      <c r="J64" s="16">
        <v>9644</v>
      </c>
      <c r="K64" s="16" t="s">
        <v>38</v>
      </c>
      <c r="L64" s="16">
        <v>2171</v>
      </c>
      <c r="M64" s="16">
        <v>11551</v>
      </c>
      <c r="N64" s="16">
        <v>112955</v>
      </c>
      <c r="O64" s="16">
        <v>220184</v>
      </c>
      <c r="P64" s="16">
        <v>176503</v>
      </c>
      <c r="Q64" s="16">
        <v>176599</v>
      </c>
      <c r="R64" s="16">
        <v>13940</v>
      </c>
      <c r="S64" s="16">
        <v>21764</v>
      </c>
      <c r="T64" s="16">
        <v>60182</v>
      </c>
      <c r="U64" s="47">
        <f t="shared" si="0"/>
        <v>0.23456832423087581</v>
      </c>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row>
    <row r="65" spans="1:52" x14ac:dyDescent="0.35">
      <c r="A65" s="27"/>
      <c r="B65" s="35">
        <v>39262</v>
      </c>
      <c r="C65" s="16">
        <v>1285222</v>
      </c>
      <c r="D65" s="16">
        <v>464670</v>
      </c>
      <c r="E65" s="16">
        <v>134565</v>
      </c>
      <c r="F65" s="16">
        <v>117214</v>
      </c>
      <c r="G65" s="16">
        <v>996</v>
      </c>
      <c r="H65" s="16">
        <v>329109</v>
      </c>
      <c r="I65" s="16">
        <v>23331</v>
      </c>
      <c r="J65" s="16">
        <v>9137</v>
      </c>
      <c r="K65" s="16" t="s">
        <v>38</v>
      </c>
      <c r="L65" s="16">
        <v>1977</v>
      </c>
      <c r="M65" s="16">
        <v>12218</v>
      </c>
      <c r="N65" s="16">
        <v>107595</v>
      </c>
      <c r="O65" s="16">
        <v>232906</v>
      </c>
      <c r="P65" s="16">
        <v>174290</v>
      </c>
      <c r="Q65" s="16">
        <v>178461</v>
      </c>
      <c r="R65" s="16">
        <v>15958</v>
      </c>
      <c r="S65" s="16">
        <v>24852</v>
      </c>
      <c r="T65" s="16">
        <v>63158</v>
      </c>
      <c r="U65" s="47">
        <f t="shared" si="0"/>
        <v>0.22289356098377877</v>
      </c>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row>
    <row r="66" spans="1:52" x14ac:dyDescent="0.35">
      <c r="A66" s="27"/>
      <c r="B66" s="35">
        <v>39294</v>
      </c>
      <c r="C66" s="16">
        <v>1272634</v>
      </c>
      <c r="D66" s="16">
        <v>465484</v>
      </c>
      <c r="E66" s="16">
        <v>130778</v>
      </c>
      <c r="F66" s="16">
        <v>112555</v>
      </c>
      <c r="G66" s="16">
        <v>1010</v>
      </c>
      <c r="H66" s="16">
        <v>333696</v>
      </c>
      <c r="I66" s="16">
        <v>23618</v>
      </c>
      <c r="J66" s="16">
        <v>9475</v>
      </c>
      <c r="K66" s="16" t="s">
        <v>38</v>
      </c>
      <c r="L66" s="16">
        <v>1743</v>
      </c>
      <c r="M66" s="16">
        <v>12400</v>
      </c>
      <c r="N66" s="16">
        <v>106215</v>
      </c>
      <c r="O66" s="16">
        <v>228100</v>
      </c>
      <c r="P66" s="16">
        <v>170338</v>
      </c>
      <c r="Q66" s="16">
        <v>182202</v>
      </c>
      <c r="R66" s="16">
        <v>12763</v>
      </c>
      <c r="S66" s="16">
        <v>23945</v>
      </c>
      <c r="T66" s="16">
        <v>59968</v>
      </c>
      <c r="U66" s="47">
        <f t="shared" si="0"/>
        <v>0.20813413481072507</v>
      </c>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row>
    <row r="67" spans="1:52" x14ac:dyDescent="0.35">
      <c r="A67" s="27"/>
      <c r="B67" s="35">
        <v>39325</v>
      </c>
      <c r="C67" s="16">
        <v>1260182</v>
      </c>
      <c r="D67" s="16">
        <v>447692</v>
      </c>
      <c r="E67" s="16">
        <v>109442</v>
      </c>
      <c r="F67" s="16">
        <v>91548</v>
      </c>
      <c r="G67" s="16">
        <v>1001</v>
      </c>
      <c r="H67" s="16">
        <v>337249</v>
      </c>
      <c r="I67" s="16">
        <v>23353</v>
      </c>
      <c r="J67" s="16">
        <v>9096</v>
      </c>
      <c r="K67" s="16" t="s">
        <v>38</v>
      </c>
      <c r="L67" s="16">
        <v>1737</v>
      </c>
      <c r="M67" s="16">
        <v>12519</v>
      </c>
      <c r="N67" s="16">
        <v>109813</v>
      </c>
      <c r="O67" s="16">
        <v>230455</v>
      </c>
      <c r="P67" s="16">
        <v>168726</v>
      </c>
      <c r="Q67" s="16">
        <v>181433</v>
      </c>
      <c r="R67" s="16">
        <v>12111</v>
      </c>
      <c r="S67" s="16">
        <v>25511</v>
      </c>
      <c r="T67" s="16">
        <v>61089</v>
      </c>
      <c r="U67" s="47">
        <f t="shared" si="0"/>
        <v>0.17604865525193203</v>
      </c>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row>
    <row r="68" spans="1:52" x14ac:dyDescent="0.35">
      <c r="A68" s="27"/>
      <c r="B68" s="35">
        <v>39353</v>
      </c>
      <c r="C68" s="16">
        <v>1269767</v>
      </c>
      <c r="D68" s="16">
        <v>456427</v>
      </c>
      <c r="E68" s="16">
        <v>109613</v>
      </c>
      <c r="F68" s="16">
        <v>92532</v>
      </c>
      <c r="G68" s="16">
        <v>984</v>
      </c>
      <c r="H68" s="16">
        <v>345830</v>
      </c>
      <c r="I68" s="16">
        <v>24349</v>
      </c>
      <c r="J68" s="16">
        <v>9822</v>
      </c>
      <c r="K68" s="16" t="s">
        <v>38</v>
      </c>
      <c r="L68" s="16">
        <v>1754</v>
      </c>
      <c r="M68" s="16">
        <v>12773</v>
      </c>
      <c r="N68" s="16">
        <v>112471</v>
      </c>
      <c r="O68" s="16">
        <v>227935</v>
      </c>
      <c r="P68" s="16">
        <v>165616</v>
      </c>
      <c r="Q68" s="16">
        <v>181839</v>
      </c>
      <c r="R68" s="16">
        <v>12196</v>
      </c>
      <c r="S68" s="16">
        <v>24796</v>
      </c>
      <c r="T68" s="16">
        <v>64139</v>
      </c>
      <c r="U68" s="47">
        <f t="shared" si="0"/>
        <v>0.16247731837765289</v>
      </c>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row>
    <row r="69" spans="1:52" x14ac:dyDescent="0.35">
      <c r="A69" s="27"/>
      <c r="B69" s="35">
        <v>39386</v>
      </c>
      <c r="C69" s="16">
        <v>1273656</v>
      </c>
      <c r="D69" s="16">
        <v>463939</v>
      </c>
      <c r="E69" s="16">
        <v>109947</v>
      </c>
      <c r="F69" s="16">
        <v>93324</v>
      </c>
      <c r="G69" s="16">
        <v>1031</v>
      </c>
      <c r="H69" s="16">
        <v>352962</v>
      </c>
      <c r="I69" s="16">
        <v>23021</v>
      </c>
      <c r="J69" s="16">
        <v>10300</v>
      </c>
      <c r="K69" s="16" t="s">
        <v>38</v>
      </c>
      <c r="L69" s="16">
        <v>736</v>
      </c>
      <c r="M69" s="16">
        <v>11986</v>
      </c>
      <c r="N69" s="16">
        <v>116537</v>
      </c>
      <c r="O69" s="16">
        <v>219332</v>
      </c>
      <c r="P69" s="16">
        <v>170373</v>
      </c>
      <c r="Q69" s="16">
        <v>183271</v>
      </c>
      <c r="R69" s="16">
        <v>12595</v>
      </c>
      <c r="S69" s="16">
        <v>25854</v>
      </c>
      <c r="T69" s="16">
        <v>58734</v>
      </c>
      <c r="U69" s="47">
        <f t="shared" si="0"/>
        <v>0.13764283551440437</v>
      </c>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row>
    <row r="70" spans="1:52" x14ac:dyDescent="0.35">
      <c r="A70" s="27"/>
      <c r="B70" s="35">
        <v>39416</v>
      </c>
      <c r="C70" s="16">
        <v>1310064</v>
      </c>
      <c r="D70" s="16">
        <v>477284</v>
      </c>
      <c r="E70" s="16">
        <v>117717</v>
      </c>
      <c r="F70" s="16">
        <v>99837</v>
      </c>
      <c r="G70" s="16">
        <v>1103</v>
      </c>
      <c r="H70" s="16">
        <v>358464</v>
      </c>
      <c r="I70" s="16">
        <v>23000</v>
      </c>
      <c r="J70" s="16">
        <v>10193</v>
      </c>
      <c r="K70" s="16" t="s">
        <v>38</v>
      </c>
      <c r="L70" s="16">
        <v>646</v>
      </c>
      <c r="M70" s="16">
        <v>12162</v>
      </c>
      <c r="N70" s="16">
        <v>116492</v>
      </c>
      <c r="O70" s="16">
        <v>211954</v>
      </c>
      <c r="P70" s="16">
        <v>172025</v>
      </c>
      <c r="Q70" s="16">
        <v>183723</v>
      </c>
      <c r="R70" s="16">
        <v>10955</v>
      </c>
      <c r="S70" s="16">
        <v>66185</v>
      </c>
      <c r="T70" s="16">
        <v>48445</v>
      </c>
      <c r="U70" s="47">
        <f t="shared" si="0"/>
        <v>0.13680966050100496</v>
      </c>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row>
    <row r="71" spans="1:52" x14ac:dyDescent="0.35">
      <c r="A71" s="27">
        <v>39447</v>
      </c>
      <c r="B71" s="35">
        <v>39447</v>
      </c>
      <c r="C71" s="16">
        <v>1337356</v>
      </c>
      <c r="D71" s="16">
        <v>481821</v>
      </c>
      <c r="E71" s="16">
        <v>117034</v>
      </c>
      <c r="F71" s="16">
        <v>101888</v>
      </c>
      <c r="G71" s="16">
        <v>1047</v>
      </c>
      <c r="H71" s="16">
        <v>363740</v>
      </c>
      <c r="I71" s="16">
        <v>23466</v>
      </c>
      <c r="J71" s="16">
        <v>11036</v>
      </c>
      <c r="K71" s="16" t="s">
        <v>38</v>
      </c>
      <c r="L71" s="16">
        <v>638</v>
      </c>
      <c r="M71" s="16">
        <v>11793</v>
      </c>
      <c r="N71" s="16">
        <v>108996</v>
      </c>
      <c r="O71" s="16">
        <v>225910</v>
      </c>
      <c r="P71" s="16">
        <v>167430</v>
      </c>
      <c r="Q71" s="16">
        <v>192995</v>
      </c>
      <c r="R71" s="16">
        <v>22752</v>
      </c>
      <c r="S71" s="16">
        <v>65465</v>
      </c>
      <c r="T71" s="16">
        <v>48521</v>
      </c>
      <c r="U71" s="47">
        <f t="shared" si="0"/>
        <v>0.13515339589586195</v>
      </c>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row>
    <row r="72" spans="1:52" x14ac:dyDescent="0.35">
      <c r="A72" s="27">
        <v>39478</v>
      </c>
      <c r="B72" s="35">
        <v>39478</v>
      </c>
      <c r="C72" s="16">
        <v>1399561</v>
      </c>
      <c r="D72" s="16">
        <v>484733</v>
      </c>
      <c r="E72" s="16">
        <v>118796</v>
      </c>
      <c r="F72" s="16">
        <v>101406</v>
      </c>
      <c r="G72" s="16">
        <v>1293</v>
      </c>
      <c r="H72" s="16">
        <v>364644</v>
      </c>
      <c r="I72" s="16">
        <v>23499</v>
      </c>
      <c r="J72" s="16">
        <v>11110</v>
      </c>
      <c r="K72" s="16" t="s">
        <v>38</v>
      </c>
      <c r="L72" s="16">
        <v>556</v>
      </c>
      <c r="M72" s="16">
        <v>11834</v>
      </c>
      <c r="N72" s="16">
        <v>121954</v>
      </c>
      <c r="O72" s="16">
        <v>247950</v>
      </c>
      <c r="P72" s="16">
        <v>167382</v>
      </c>
      <c r="Q72" s="16">
        <v>194704</v>
      </c>
      <c r="R72" s="16">
        <v>13251</v>
      </c>
      <c r="S72" s="16">
        <v>43346</v>
      </c>
      <c r="T72" s="16">
        <v>102742</v>
      </c>
      <c r="U72" s="47">
        <f t="shared" si="0"/>
        <v>0.1814948571968853</v>
      </c>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row>
    <row r="73" spans="1:52" x14ac:dyDescent="0.35">
      <c r="A73" s="27"/>
      <c r="B73" s="35">
        <v>39507</v>
      </c>
      <c r="C73" s="16">
        <v>1400890</v>
      </c>
      <c r="D73" s="16">
        <v>488306</v>
      </c>
      <c r="E73" s="16">
        <v>121786</v>
      </c>
      <c r="F73" s="16">
        <v>102644</v>
      </c>
      <c r="G73" s="16">
        <v>1229</v>
      </c>
      <c r="H73" s="16">
        <v>365291</v>
      </c>
      <c r="I73" s="16">
        <v>23290</v>
      </c>
      <c r="J73" s="16">
        <v>10997</v>
      </c>
      <c r="K73" s="16" t="s">
        <v>38</v>
      </c>
      <c r="L73" s="16">
        <v>502</v>
      </c>
      <c r="M73" s="16">
        <v>11791</v>
      </c>
      <c r="N73" s="16">
        <v>127511</v>
      </c>
      <c r="O73" s="16">
        <v>236083</v>
      </c>
      <c r="P73" s="16">
        <v>164681</v>
      </c>
      <c r="Q73" s="16">
        <v>190696</v>
      </c>
      <c r="R73" s="16">
        <v>13797</v>
      </c>
      <c r="S73" s="16">
        <v>45798</v>
      </c>
      <c r="T73" s="16">
        <v>110729</v>
      </c>
      <c r="U73" s="47">
        <f t="shared" si="0"/>
        <v>0.1821397650386567</v>
      </c>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row>
    <row r="74" spans="1:52" x14ac:dyDescent="0.35">
      <c r="A74" s="27"/>
      <c r="B74" s="35">
        <v>39538</v>
      </c>
      <c r="C74" s="16">
        <v>1401153</v>
      </c>
      <c r="D74" s="16">
        <v>486558</v>
      </c>
      <c r="E74" s="16">
        <v>118447</v>
      </c>
      <c r="F74" s="16">
        <v>101600</v>
      </c>
      <c r="G74" s="16">
        <v>1094</v>
      </c>
      <c r="H74" s="16">
        <v>367017</v>
      </c>
      <c r="I74" s="16">
        <v>27350</v>
      </c>
      <c r="J74" s="16">
        <v>10713</v>
      </c>
      <c r="K74" s="16" t="s">
        <v>38</v>
      </c>
      <c r="L74" s="16">
        <v>521</v>
      </c>
      <c r="M74" s="16">
        <v>16115</v>
      </c>
      <c r="N74" s="16">
        <v>126381</v>
      </c>
      <c r="O74" s="16">
        <v>244298</v>
      </c>
      <c r="P74" s="16">
        <v>163304</v>
      </c>
      <c r="Q74" s="16">
        <v>181715</v>
      </c>
      <c r="R74" s="16">
        <v>15021</v>
      </c>
      <c r="S74" s="16">
        <v>46075</v>
      </c>
      <c r="T74" s="16">
        <v>110451</v>
      </c>
      <c r="U74" s="47">
        <f t="shared" si="0"/>
        <v>0.15819113770554405</v>
      </c>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row>
    <row r="75" spans="1:52" x14ac:dyDescent="0.35">
      <c r="A75" s="27"/>
      <c r="B75" s="35">
        <v>39568</v>
      </c>
      <c r="C75" s="16">
        <v>1394258</v>
      </c>
      <c r="D75" s="16">
        <v>493338</v>
      </c>
      <c r="E75" s="16">
        <v>123205</v>
      </c>
      <c r="F75" s="16">
        <v>104660</v>
      </c>
      <c r="G75" s="16">
        <v>1137</v>
      </c>
      <c r="H75" s="16">
        <v>368996</v>
      </c>
      <c r="I75" s="16">
        <v>27058</v>
      </c>
      <c r="J75" s="16">
        <v>10414</v>
      </c>
      <c r="K75" s="16" t="s">
        <v>38</v>
      </c>
      <c r="L75" s="16">
        <v>643</v>
      </c>
      <c r="M75" s="16">
        <v>16000</v>
      </c>
      <c r="N75" s="16">
        <v>132496</v>
      </c>
      <c r="O75" s="16">
        <v>244545</v>
      </c>
      <c r="P75" s="16">
        <v>163745</v>
      </c>
      <c r="Q75" s="16">
        <v>185517</v>
      </c>
      <c r="R75" s="16">
        <v>13616</v>
      </c>
      <c r="S75" s="16">
        <v>38163</v>
      </c>
      <c r="T75" s="16">
        <v>95781</v>
      </c>
      <c r="U75" s="47">
        <f t="shared" si="0"/>
        <v>0.13120985414636643</v>
      </c>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row>
    <row r="76" spans="1:52" x14ac:dyDescent="0.35">
      <c r="A76" s="27"/>
      <c r="B76" s="35">
        <v>39598</v>
      </c>
      <c r="C76" s="16">
        <v>1442385</v>
      </c>
      <c r="D76" s="16">
        <v>515791</v>
      </c>
      <c r="E76" s="16">
        <v>142155</v>
      </c>
      <c r="F76" s="16">
        <v>118126</v>
      </c>
      <c r="G76" s="16">
        <v>1378</v>
      </c>
      <c r="H76" s="16">
        <v>372257</v>
      </c>
      <c r="I76" s="16">
        <v>27185</v>
      </c>
      <c r="J76" s="16">
        <v>10473</v>
      </c>
      <c r="K76" s="16" t="s">
        <v>38</v>
      </c>
      <c r="L76" s="16">
        <v>607</v>
      </c>
      <c r="M76" s="16">
        <v>16105</v>
      </c>
      <c r="N76" s="16">
        <v>127331</v>
      </c>
      <c r="O76" s="16">
        <v>246392</v>
      </c>
      <c r="P76" s="16">
        <v>165304</v>
      </c>
      <c r="Q76" s="16">
        <v>186041</v>
      </c>
      <c r="R76" s="16">
        <v>10632</v>
      </c>
      <c r="S76" s="16">
        <v>47554</v>
      </c>
      <c r="T76" s="16">
        <v>116154</v>
      </c>
      <c r="U76" s="47">
        <f t="shared" si="0"/>
        <v>0.14371974451585268</v>
      </c>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row>
    <row r="77" spans="1:52" x14ac:dyDescent="0.35">
      <c r="A77" s="27"/>
      <c r="B77" s="35">
        <v>39629</v>
      </c>
      <c r="C77" s="16">
        <v>1429255</v>
      </c>
      <c r="D77" s="16">
        <v>501083</v>
      </c>
      <c r="E77" s="16">
        <v>131708</v>
      </c>
      <c r="F77" s="16">
        <v>111409</v>
      </c>
      <c r="G77" s="16">
        <v>1175</v>
      </c>
      <c r="H77" s="16">
        <v>368200</v>
      </c>
      <c r="I77" s="16">
        <v>34393</v>
      </c>
      <c r="J77" s="16">
        <v>10315</v>
      </c>
      <c r="K77" s="16" t="s">
        <v>38</v>
      </c>
      <c r="L77" s="16">
        <v>649</v>
      </c>
      <c r="M77" s="16">
        <v>23429</v>
      </c>
      <c r="N77" s="16">
        <v>127757</v>
      </c>
      <c r="O77" s="16">
        <v>235956</v>
      </c>
      <c r="P77" s="16">
        <v>166977</v>
      </c>
      <c r="Q77" s="16">
        <v>189232</v>
      </c>
      <c r="R77" s="16">
        <v>12888</v>
      </c>
      <c r="S77" s="16">
        <v>45996</v>
      </c>
      <c r="T77" s="16">
        <v>114973</v>
      </c>
      <c r="U77" s="47">
        <f t="shared" si="0"/>
        <v>0.11206857647939428</v>
      </c>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row>
    <row r="78" spans="1:52" x14ac:dyDescent="0.35">
      <c r="A78" s="27"/>
      <c r="B78" s="35">
        <v>39660</v>
      </c>
      <c r="C78" s="16">
        <v>1392678</v>
      </c>
      <c r="D78" s="16">
        <v>501280</v>
      </c>
      <c r="E78" s="16">
        <v>128698</v>
      </c>
      <c r="F78" s="16">
        <v>107989</v>
      </c>
      <c r="G78" s="16">
        <v>1805</v>
      </c>
      <c r="H78" s="16">
        <v>370778</v>
      </c>
      <c r="I78" s="16">
        <v>34343</v>
      </c>
      <c r="J78" s="16">
        <v>10377</v>
      </c>
      <c r="K78" s="16" t="s">
        <v>38</v>
      </c>
      <c r="L78" s="16">
        <v>651</v>
      </c>
      <c r="M78" s="16">
        <v>23315</v>
      </c>
      <c r="N78" s="16">
        <v>134283</v>
      </c>
      <c r="O78" s="16">
        <v>235755</v>
      </c>
      <c r="P78" s="16">
        <v>166686</v>
      </c>
      <c r="Q78" s="16">
        <v>188948</v>
      </c>
      <c r="R78" s="16">
        <v>12113</v>
      </c>
      <c r="S78" s="16">
        <v>26490</v>
      </c>
      <c r="T78" s="16">
        <v>92781</v>
      </c>
      <c r="U78" s="47">
        <f t="shared" si="0"/>
        <v>9.4327198550407942E-2</v>
      </c>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row>
    <row r="79" spans="1:52" x14ac:dyDescent="0.35">
      <c r="A79" s="27"/>
      <c r="B79" s="35">
        <v>39689</v>
      </c>
      <c r="C79" s="16">
        <v>1441585</v>
      </c>
      <c r="D79" s="16">
        <v>507487</v>
      </c>
      <c r="E79" s="16">
        <v>131808</v>
      </c>
      <c r="F79" s="16">
        <v>110625</v>
      </c>
      <c r="G79" s="16">
        <v>1508</v>
      </c>
      <c r="H79" s="16">
        <v>374171</v>
      </c>
      <c r="I79" s="16">
        <v>33994</v>
      </c>
      <c r="J79" s="16">
        <v>10446</v>
      </c>
      <c r="K79" s="16" t="s">
        <v>38</v>
      </c>
      <c r="L79" s="16">
        <v>544</v>
      </c>
      <c r="M79" s="16">
        <v>23004</v>
      </c>
      <c r="N79" s="16">
        <v>123853</v>
      </c>
      <c r="O79" s="16">
        <v>235802</v>
      </c>
      <c r="P79" s="16">
        <v>166161</v>
      </c>
      <c r="Q79" s="16">
        <v>196598</v>
      </c>
      <c r="R79" s="16">
        <v>10628</v>
      </c>
      <c r="S79" s="16">
        <v>29067</v>
      </c>
      <c r="T79" s="16">
        <v>137996</v>
      </c>
      <c r="U79" s="47">
        <f t="shared" si="0"/>
        <v>0.14394984216565554</v>
      </c>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row>
    <row r="80" spans="1:52" x14ac:dyDescent="0.35">
      <c r="A80" s="27"/>
      <c r="B80" s="35">
        <v>39721</v>
      </c>
      <c r="C80" s="16">
        <v>1446359</v>
      </c>
      <c r="D80" s="16">
        <v>531290</v>
      </c>
      <c r="E80" s="16">
        <v>155585</v>
      </c>
      <c r="F80" s="16">
        <v>120899</v>
      </c>
      <c r="G80" s="16">
        <v>1243</v>
      </c>
      <c r="H80" s="16">
        <v>374462</v>
      </c>
      <c r="I80" s="16">
        <v>34911</v>
      </c>
      <c r="J80" s="16">
        <v>11166</v>
      </c>
      <c r="K80" s="16" t="s">
        <v>38</v>
      </c>
      <c r="L80" s="16">
        <v>514</v>
      </c>
      <c r="M80" s="16">
        <v>23231</v>
      </c>
      <c r="N80" s="16">
        <v>118190</v>
      </c>
      <c r="O80" s="16">
        <v>244716</v>
      </c>
      <c r="P80" s="16">
        <v>162993</v>
      </c>
      <c r="Q80" s="16">
        <v>195838</v>
      </c>
      <c r="R80" s="16">
        <v>17727</v>
      </c>
      <c r="S80" s="16">
        <v>28974</v>
      </c>
      <c r="T80" s="16">
        <v>111720</v>
      </c>
      <c r="U80" s="47">
        <f t="shared" si="0"/>
        <v>0.13907433411011616</v>
      </c>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row>
    <row r="81" spans="1:52" x14ac:dyDescent="0.35">
      <c r="A81" s="27"/>
      <c r="B81" s="35">
        <v>39752</v>
      </c>
      <c r="C81" s="16">
        <v>1452718</v>
      </c>
      <c r="D81" s="16">
        <v>542954</v>
      </c>
      <c r="E81" s="16">
        <v>166110</v>
      </c>
      <c r="F81" s="16">
        <v>140796</v>
      </c>
      <c r="G81" s="16">
        <v>1413</v>
      </c>
      <c r="H81" s="16">
        <v>375431</v>
      </c>
      <c r="I81" s="16">
        <v>37907</v>
      </c>
      <c r="J81" s="16">
        <v>13569</v>
      </c>
      <c r="K81" s="16" t="s">
        <v>38</v>
      </c>
      <c r="L81" s="16">
        <v>530</v>
      </c>
      <c r="M81" s="16">
        <v>23808</v>
      </c>
      <c r="N81" s="16">
        <v>110829</v>
      </c>
      <c r="O81" s="16">
        <v>270062</v>
      </c>
      <c r="P81" s="16">
        <v>168474</v>
      </c>
      <c r="Q81" s="16">
        <v>217202</v>
      </c>
      <c r="R81" s="16">
        <v>17463</v>
      </c>
      <c r="S81" s="16">
        <v>28419</v>
      </c>
      <c r="T81" s="16">
        <v>59409</v>
      </c>
      <c r="U81" s="47">
        <f t="shared" si="0"/>
        <v>0.14058898164025457</v>
      </c>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row>
    <row r="82" spans="1:52" x14ac:dyDescent="0.35">
      <c r="A82" s="27"/>
      <c r="B82" s="35">
        <v>39780</v>
      </c>
      <c r="C82" s="16">
        <v>1460830</v>
      </c>
      <c r="D82" s="16">
        <v>542704</v>
      </c>
      <c r="E82" s="16">
        <v>173526</v>
      </c>
      <c r="F82" s="16">
        <v>146622</v>
      </c>
      <c r="G82" s="16">
        <v>1388</v>
      </c>
      <c r="H82" s="16">
        <v>367790</v>
      </c>
      <c r="I82" s="16">
        <v>52904</v>
      </c>
      <c r="J82" s="16">
        <v>17080</v>
      </c>
      <c r="K82" s="16" t="s">
        <v>38</v>
      </c>
      <c r="L82" s="16">
        <v>2129</v>
      </c>
      <c r="M82" s="16">
        <v>33694</v>
      </c>
      <c r="N82" s="16">
        <v>116177</v>
      </c>
      <c r="O82" s="16">
        <v>270158</v>
      </c>
      <c r="P82" s="16">
        <v>160864</v>
      </c>
      <c r="Q82" s="16">
        <v>220366</v>
      </c>
      <c r="R82" s="16">
        <v>12181</v>
      </c>
      <c r="S82" s="16">
        <v>28506</v>
      </c>
      <c r="T82" s="16">
        <v>56970</v>
      </c>
      <c r="U82" s="47">
        <f t="shared" si="0"/>
        <v>0.11508292724630254</v>
      </c>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row>
    <row r="83" spans="1:52" x14ac:dyDescent="0.35">
      <c r="A83" s="27">
        <v>39813</v>
      </c>
      <c r="B83" s="35">
        <v>39813</v>
      </c>
      <c r="C83" s="16">
        <v>1412197</v>
      </c>
      <c r="D83" s="16">
        <v>532559</v>
      </c>
      <c r="E83" s="16">
        <v>173134</v>
      </c>
      <c r="F83" s="16">
        <v>149632</v>
      </c>
      <c r="G83" s="16">
        <v>1306</v>
      </c>
      <c r="H83" s="16">
        <v>358119</v>
      </c>
      <c r="I83" s="16">
        <v>60788</v>
      </c>
      <c r="J83" s="16">
        <v>23130</v>
      </c>
      <c r="K83" s="16" t="s">
        <v>38</v>
      </c>
      <c r="L83" s="16">
        <v>2138</v>
      </c>
      <c r="M83" s="16">
        <v>35520</v>
      </c>
      <c r="N83" s="16">
        <v>110998</v>
      </c>
      <c r="O83" s="16">
        <v>251546</v>
      </c>
      <c r="P83" s="16">
        <v>160189</v>
      </c>
      <c r="Q83" s="16">
        <v>192863</v>
      </c>
      <c r="R83" s="16">
        <v>21140</v>
      </c>
      <c r="S83" s="16">
        <v>28329</v>
      </c>
      <c r="T83" s="16">
        <v>53786</v>
      </c>
      <c r="U83" s="47">
        <f t="shared" si="0"/>
        <v>5.5961912908754297E-2</v>
      </c>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row>
    <row r="84" spans="1:52" x14ac:dyDescent="0.35">
      <c r="A84" s="27">
        <v>39843</v>
      </c>
      <c r="B84" s="35">
        <v>39843</v>
      </c>
      <c r="C84" s="16">
        <v>1421325</v>
      </c>
      <c r="D84" s="16">
        <v>548459</v>
      </c>
      <c r="E84" s="16">
        <v>179293</v>
      </c>
      <c r="F84" s="16">
        <v>148931</v>
      </c>
      <c r="G84" s="16">
        <v>1300</v>
      </c>
      <c r="H84" s="16">
        <v>367866</v>
      </c>
      <c r="I84" s="16">
        <v>70920</v>
      </c>
      <c r="J84" s="16">
        <v>27794</v>
      </c>
      <c r="K84" s="16" t="s">
        <v>38</v>
      </c>
      <c r="L84" s="16">
        <v>4039</v>
      </c>
      <c r="M84" s="16">
        <v>39087</v>
      </c>
      <c r="N84" s="16">
        <v>113535</v>
      </c>
      <c r="O84" s="16">
        <v>257267</v>
      </c>
      <c r="P84" s="16">
        <v>163419</v>
      </c>
      <c r="Q84" s="16">
        <v>194865</v>
      </c>
      <c r="R84" s="16">
        <v>14235</v>
      </c>
      <c r="S84" s="16">
        <v>29042</v>
      </c>
      <c r="T84" s="16">
        <v>29584</v>
      </c>
      <c r="U84" s="47">
        <f t="shared" si="0"/>
        <v>1.5550590506594464E-2</v>
      </c>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row>
    <row r="85" spans="1:52" x14ac:dyDescent="0.35">
      <c r="A85" s="27"/>
      <c r="B85" s="35">
        <v>39871</v>
      </c>
      <c r="C85" s="16">
        <v>1415103</v>
      </c>
      <c r="D85" s="16">
        <v>545794</v>
      </c>
      <c r="E85" s="16">
        <v>179234</v>
      </c>
      <c r="F85" s="16">
        <v>150512</v>
      </c>
      <c r="G85" s="16">
        <v>1326</v>
      </c>
      <c r="H85" s="16">
        <v>365234</v>
      </c>
      <c r="I85" s="16">
        <v>76074</v>
      </c>
      <c r="J85" s="16">
        <v>28635</v>
      </c>
      <c r="K85" s="16" t="s">
        <v>38</v>
      </c>
      <c r="L85" s="16">
        <v>5427</v>
      </c>
      <c r="M85" s="16">
        <v>42013</v>
      </c>
      <c r="N85" s="16">
        <v>102827</v>
      </c>
      <c r="O85" s="16">
        <v>260478</v>
      </c>
      <c r="P85" s="16">
        <v>163810</v>
      </c>
      <c r="Q85" s="16">
        <v>194001</v>
      </c>
      <c r="R85" s="16">
        <v>11986</v>
      </c>
      <c r="S85" s="16">
        <v>29399</v>
      </c>
      <c r="T85" s="16">
        <v>30734</v>
      </c>
      <c r="U85" s="47">
        <f t="shared" si="0"/>
        <v>1.0145693095103825E-2</v>
      </c>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row>
    <row r="86" spans="1:52" x14ac:dyDescent="0.35">
      <c r="A86" s="27"/>
      <c r="B86" s="35">
        <v>39903</v>
      </c>
      <c r="C86" s="16">
        <v>1396436</v>
      </c>
      <c r="D86" s="16">
        <v>535586</v>
      </c>
      <c r="E86" s="16">
        <v>175563</v>
      </c>
      <c r="F86" s="16">
        <v>151768</v>
      </c>
      <c r="G86" s="16">
        <v>1389</v>
      </c>
      <c r="H86" s="16">
        <v>358634</v>
      </c>
      <c r="I86" s="16">
        <v>79269</v>
      </c>
      <c r="J86" s="16">
        <v>29968</v>
      </c>
      <c r="K86" s="16" t="s">
        <v>38</v>
      </c>
      <c r="L86" s="16">
        <v>6181</v>
      </c>
      <c r="M86" s="16">
        <v>43121</v>
      </c>
      <c r="N86" s="16">
        <v>102864</v>
      </c>
      <c r="O86" s="16">
        <v>259850</v>
      </c>
      <c r="P86" s="16">
        <v>160757</v>
      </c>
      <c r="Q86" s="16">
        <v>186452</v>
      </c>
      <c r="R86" s="16">
        <v>10499</v>
      </c>
      <c r="S86" s="16">
        <v>28197</v>
      </c>
      <c r="T86" s="16">
        <v>32962</v>
      </c>
      <c r="U86" s="47">
        <f t="shared" si="0"/>
        <v>-3.3665131502412793E-3</v>
      </c>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row>
    <row r="87" spans="1:52" x14ac:dyDescent="0.35">
      <c r="A87" s="27"/>
      <c r="B87" s="35">
        <v>39933</v>
      </c>
      <c r="C87" s="16">
        <v>1406261</v>
      </c>
      <c r="D87" s="16">
        <v>541621</v>
      </c>
      <c r="E87" s="16">
        <v>183916</v>
      </c>
      <c r="F87" s="16">
        <v>158164</v>
      </c>
      <c r="G87" s="16">
        <v>1363</v>
      </c>
      <c r="H87" s="16">
        <v>356341</v>
      </c>
      <c r="I87" s="16">
        <v>80386</v>
      </c>
      <c r="J87" s="16">
        <v>31445</v>
      </c>
      <c r="K87" s="16" t="s">
        <v>38</v>
      </c>
      <c r="L87" s="16">
        <v>6137</v>
      </c>
      <c r="M87" s="16">
        <v>42805</v>
      </c>
      <c r="N87" s="16">
        <v>99605</v>
      </c>
      <c r="O87" s="16">
        <v>267281</v>
      </c>
      <c r="P87" s="16">
        <v>161333</v>
      </c>
      <c r="Q87" s="16">
        <v>186866</v>
      </c>
      <c r="R87" s="16">
        <v>9452</v>
      </c>
      <c r="S87" s="16">
        <v>27358</v>
      </c>
      <c r="T87" s="16">
        <v>32360</v>
      </c>
      <c r="U87" s="47">
        <f t="shared" si="0"/>
        <v>8.608880135527297E-3</v>
      </c>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row>
    <row r="88" spans="1:52" x14ac:dyDescent="0.35">
      <c r="A88" s="27"/>
      <c r="B88" s="35">
        <v>39962</v>
      </c>
      <c r="C88" s="16">
        <v>1405956</v>
      </c>
      <c r="D88" s="16">
        <v>544605</v>
      </c>
      <c r="E88" s="16">
        <v>188364</v>
      </c>
      <c r="F88" s="16">
        <v>160862</v>
      </c>
      <c r="G88" s="16">
        <v>1386</v>
      </c>
      <c r="H88" s="16">
        <v>354856</v>
      </c>
      <c r="I88" s="16">
        <v>81423</v>
      </c>
      <c r="J88" s="16">
        <v>32569</v>
      </c>
      <c r="K88" s="16" t="s">
        <v>38</v>
      </c>
      <c r="L88" s="16">
        <v>6216</v>
      </c>
      <c r="M88" s="16">
        <v>42639</v>
      </c>
      <c r="N88" s="16">
        <v>103874</v>
      </c>
      <c r="O88" s="16">
        <v>267107</v>
      </c>
      <c r="P88" s="16">
        <v>159649</v>
      </c>
      <c r="Q88" s="16">
        <v>182989</v>
      </c>
      <c r="R88" s="16">
        <v>8541</v>
      </c>
      <c r="S88" s="16">
        <v>26309</v>
      </c>
      <c r="T88" s="16">
        <v>31460</v>
      </c>
      <c r="U88" s="47">
        <f t="shared" si="0"/>
        <v>-2.5256086273775735E-2</v>
      </c>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row>
    <row r="89" spans="1:52" x14ac:dyDescent="0.35">
      <c r="A89" s="27"/>
      <c r="B89" s="35">
        <v>39994</v>
      </c>
      <c r="C89" s="16">
        <v>1394400</v>
      </c>
      <c r="D89" s="16">
        <v>535201</v>
      </c>
      <c r="E89" s="16">
        <v>180336</v>
      </c>
      <c r="F89" s="16">
        <v>152067</v>
      </c>
      <c r="G89" s="16">
        <v>1443</v>
      </c>
      <c r="H89" s="16">
        <v>353422</v>
      </c>
      <c r="I89" s="16">
        <v>83386</v>
      </c>
      <c r="J89" s="16">
        <v>32791</v>
      </c>
      <c r="K89" s="16" t="s">
        <v>38</v>
      </c>
      <c r="L89" s="16">
        <v>7571</v>
      </c>
      <c r="M89" s="16">
        <v>43024</v>
      </c>
      <c r="N89" s="16">
        <v>97410</v>
      </c>
      <c r="O89" s="16">
        <v>262710</v>
      </c>
      <c r="P89" s="16">
        <v>159956</v>
      </c>
      <c r="Q89" s="16">
        <v>183227</v>
      </c>
      <c r="R89" s="16">
        <v>10552</v>
      </c>
      <c r="S89" s="16">
        <v>24928</v>
      </c>
      <c r="T89" s="16">
        <v>37030</v>
      </c>
      <c r="U89" s="47">
        <f t="shared" ref="U89:U152" si="1">+C89/C77-1</f>
        <v>-2.4386830901413692E-2</v>
      </c>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row>
    <row r="90" spans="1:52" x14ac:dyDescent="0.35">
      <c r="A90" s="27"/>
      <c r="B90" s="35">
        <v>40025</v>
      </c>
      <c r="C90" s="16">
        <v>1389191</v>
      </c>
      <c r="D90" s="16">
        <v>536759</v>
      </c>
      <c r="E90" s="16">
        <v>185541</v>
      </c>
      <c r="F90" s="16">
        <v>155853</v>
      </c>
      <c r="G90" s="16">
        <v>1427</v>
      </c>
      <c r="H90" s="16">
        <v>349790</v>
      </c>
      <c r="I90" s="16">
        <v>78913</v>
      </c>
      <c r="J90" s="16">
        <v>28413</v>
      </c>
      <c r="K90" s="16" t="s">
        <v>38</v>
      </c>
      <c r="L90" s="16">
        <v>7855</v>
      </c>
      <c r="M90" s="16">
        <v>42645</v>
      </c>
      <c r="N90" s="16">
        <v>98310</v>
      </c>
      <c r="O90" s="16">
        <v>271777</v>
      </c>
      <c r="P90" s="16">
        <v>157288</v>
      </c>
      <c r="Q90" s="16">
        <v>174498</v>
      </c>
      <c r="R90" s="16">
        <v>11202</v>
      </c>
      <c r="S90" s="16">
        <v>26029</v>
      </c>
      <c r="T90" s="16">
        <v>34415</v>
      </c>
      <c r="U90" s="47">
        <f t="shared" si="1"/>
        <v>-2.5038092078714103E-3</v>
      </c>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row>
    <row r="91" spans="1:52" x14ac:dyDescent="0.35">
      <c r="A91" s="27"/>
      <c r="B91" s="35">
        <v>40056</v>
      </c>
      <c r="C91" s="16">
        <v>1377798</v>
      </c>
      <c r="D91" s="16">
        <v>528404</v>
      </c>
      <c r="E91" s="16">
        <v>184097</v>
      </c>
      <c r="F91" s="16">
        <v>159659</v>
      </c>
      <c r="G91" s="16">
        <v>1411</v>
      </c>
      <c r="H91" s="16">
        <v>342896</v>
      </c>
      <c r="I91" s="16">
        <v>84336</v>
      </c>
      <c r="J91" s="16">
        <v>28619</v>
      </c>
      <c r="K91" s="16" t="s">
        <v>38</v>
      </c>
      <c r="L91" s="16">
        <v>7795</v>
      </c>
      <c r="M91" s="16">
        <v>47921</v>
      </c>
      <c r="N91" s="16">
        <v>98469</v>
      </c>
      <c r="O91" s="16">
        <v>266884</v>
      </c>
      <c r="P91" s="16">
        <v>155403</v>
      </c>
      <c r="Q91" s="16">
        <v>173096</v>
      </c>
      <c r="R91" s="16">
        <v>11545</v>
      </c>
      <c r="S91" s="16">
        <v>24474</v>
      </c>
      <c r="T91" s="16">
        <v>35186</v>
      </c>
      <c r="U91" s="47">
        <f t="shared" si="1"/>
        <v>-4.4247824443234385E-2</v>
      </c>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row>
    <row r="92" spans="1:52" x14ac:dyDescent="0.35">
      <c r="A92" s="27"/>
      <c r="B92" s="35">
        <v>40086</v>
      </c>
      <c r="C92" s="16">
        <v>1340049</v>
      </c>
      <c r="D92" s="16">
        <v>514601</v>
      </c>
      <c r="E92" s="16">
        <v>173573</v>
      </c>
      <c r="F92" s="16">
        <v>147792</v>
      </c>
      <c r="G92" s="16">
        <v>1409</v>
      </c>
      <c r="H92" s="16">
        <v>339619</v>
      </c>
      <c r="I92" s="16">
        <v>84505</v>
      </c>
      <c r="J92" s="16">
        <v>28991</v>
      </c>
      <c r="K92" s="16" t="s">
        <v>38</v>
      </c>
      <c r="L92" s="16">
        <v>8164</v>
      </c>
      <c r="M92" s="16">
        <v>47350</v>
      </c>
      <c r="N92" s="16">
        <v>94330</v>
      </c>
      <c r="O92" s="16">
        <v>250532</v>
      </c>
      <c r="P92" s="16">
        <v>154542</v>
      </c>
      <c r="Q92" s="16">
        <v>168238</v>
      </c>
      <c r="R92" s="16">
        <v>10489</v>
      </c>
      <c r="S92" s="16">
        <v>28534</v>
      </c>
      <c r="T92" s="16">
        <v>34278</v>
      </c>
      <c r="U92" s="47">
        <f t="shared" si="1"/>
        <v>-7.3501806951109638E-2</v>
      </c>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row>
    <row r="93" spans="1:52" x14ac:dyDescent="0.35">
      <c r="A93" s="27"/>
      <c r="B93" s="35">
        <v>40116</v>
      </c>
      <c r="C93" s="16">
        <v>1330006</v>
      </c>
      <c r="D93" s="16">
        <v>511675</v>
      </c>
      <c r="E93" s="16">
        <v>173266</v>
      </c>
      <c r="F93" s="16">
        <v>147695</v>
      </c>
      <c r="G93" s="16">
        <v>1432</v>
      </c>
      <c r="H93" s="16">
        <v>336977</v>
      </c>
      <c r="I93" s="16">
        <v>82887</v>
      </c>
      <c r="J93" s="16">
        <v>27613</v>
      </c>
      <c r="K93" s="16" t="s">
        <v>38</v>
      </c>
      <c r="L93" s="16">
        <v>8163</v>
      </c>
      <c r="M93" s="16">
        <v>47112</v>
      </c>
      <c r="N93" s="16">
        <v>95583</v>
      </c>
      <c r="O93" s="16">
        <v>250050</v>
      </c>
      <c r="P93" s="16">
        <v>152574</v>
      </c>
      <c r="Q93" s="16">
        <v>167032</v>
      </c>
      <c r="R93" s="16">
        <v>11919</v>
      </c>
      <c r="S93" s="16">
        <v>26071</v>
      </c>
      <c r="T93" s="16">
        <v>32215</v>
      </c>
      <c r="U93" s="47">
        <f t="shared" si="1"/>
        <v>-8.4470626783725411E-2</v>
      </c>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row>
    <row r="94" spans="1:52" x14ac:dyDescent="0.35">
      <c r="A94" s="27"/>
      <c r="B94" s="35">
        <v>40147</v>
      </c>
      <c r="C94" s="16">
        <v>1317479</v>
      </c>
      <c r="D94" s="16">
        <v>506651</v>
      </c>
      <c r="E94" s="16">
        <v>170611</v>
      </c>
      <c r="F94" s="16">
        <v>146705</v>
      </c>
      <c r="G94" s="16">
        <v>1374</v>
      </c>
      <c r="H94" s="16">
        <v>334667</v>
      </c>
      <c r="I94" s="16">
        <v>82759</v>
      </c>
      <c r="J94" s="16">
        <v>27721</v>
      </c>
      <c r="K94" s="16" t="s">
        <v>38</v>
      </c>
      <c r="L94" s="16">
        <v>8298</v>
      </c>
      <c r="M94" s="16">
        <v>46740</v>
      </c>
      <c r="N94" s="16">
        <v>90255</v>
      </c>
      <c r="O94" s="16">
        <v>252170</v>
      </c>
      <c r="P94" s="16">
        <v>148759</v>
      </c>
      <c r="Q94" s="16">
        <v>162911</v>
      </c>
      <c r="R94" s="16">
        <v>11036</v>
      </c>
      <c r="S94" s="16">
        <v>28915</v>
      </c>
      <c r="T94" s="16">
        <v>34024</v>
      </c>
      <c r="U94" s="47">
        <f t="shared" si="1"/>
        <v>-9.8129830301951659E-2</v>
      </c>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row>
    <row r="95" spans="1:52" x14ac:dyDescent="0.35">
      <c r="A95" s="27">
        <v>40178</v>
      </c>
      <c r="B95" s="35">
        <v>40178</v>
      </c>
      <c r="C95" s="16">
        <v>1323584</v>
      </c>
      <c r="D95" s="16">
        <v>505270</v>
      </c>
      <c r="E95" s="16">
        <v>175356</v>
      </c>
      <c r="F95" s="16">
        <v>149528</v>
      </c>
      <c r="G95" s="16">
        <v>1310</v>
      </c>
      <c r="H95" s="16">
        <v>328605</v>
      </c>
      <c r="I95" s="16">
        <v>82110</v>
      </c>
      <c r="J95" s="16">
        <v>27663</v>
      </c>
      <c r="K95" s="16" t="s">
        <v>38</v>
      </c>
      <c r="L95" s="16">
        <v>8219</v>
      </c>
      <c r="M95" s="16">
        <v>46228</v>
      </c>
      <c r="N95" s="16">
        <v>84734</v>
      </c>
      <c r="O95" s="16">
        <v>254222</v>
      </c>
      <c r="P95" s="16">
        <v>149857</v>
      </c>
      <c r="Q95" s="16">
        <v>163561</v>
      </c>
      <c r="R95" s="16">
        <v>16288</v>
      </c>
      <c r="S95" s="16">
        <v>35435</v>
      </c>
      <c r="T95" s="16">
        <v>32107</v>
      </c>
      <c r="U95" s="47">
        <f t="shared" si="1"/>
        <v>-6.2748327605851029E-2</v>
      </c>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row>
    <row r="96" spans="1:52" x14ac:dyDescent="0.35">
      <c r="A96" s="27">
        <v>40207</v>
      </c>
      <c r="B96" s="35">
        <v>40207</v>
      </c>
      <c r="C96" s="16">
        <v>1337057</v>
      </c>
      <c r="D96" s="16">
        <v>506656</v>
      </c>
      <c r="E96" s="16">
        <v>179296</v>
      </c>
      <c r="F96" s="16">
        <v>151405</v>
      </c>
      <c r="G96" s="16">
        <v>1310</v>
      </c>
      <c r="H96" s="16">
        <v>326050</v>
      </c>
      <c r="I96" s="16">
        <v>81834</v>
      </c>
      <c r="J96" s="16">
        <v>27492</v>
      </c>
      <c r="K96" s="16" t="s">
        <v>38</v>
      </c>
      <c r="L96" s="16">
        <v>8275</v>
      </c>
      <c r="M96" s="16">
        <v>46067</v>
      </c>
      <c r="N96" s="16">
        <v>88299</v>
      </c>
      <c r="O96" s="16">
        <v>255315</v>
      </c>
      <c r="P96" s="16">
        <v>149786</v>
      </c>
      <c r="Q96" s="16">
        <v>164995</v>
      </c>
      <c r="R96" s="16">
        <v>18289</v>
      </c>
      <c r="S96" s="16">
        <v>37157</v>
      </c>
      <c r="T96" s="16">
        <v>34725</v>
      </c>
      <c r="U96" s="47">
        <f t="shared" si="1"/>
        <v>-5.9288340105183579E-2</v>
      </c>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row>
    <row r="97" spans="1:52" x14ac:dyDescent="0.35">
      <c r="A97" s="27"/>
      <c r="B97" s="35">
        <v>40235</v>
      </c>
      <c r="C97" s="16">
        <v>1310404</v>
      </c>
      <c r="D97" s="16">
        <v>487385</v>
      </c>
      <c r="E97" s="16">
        <v>166179</v>
      </c>
      <c r="F97" s="16">
        <v>140613</v>
      </c>
      <c r="G97" s="16">
        <v>1313</v>
      </c>
      <c r="H97" s="16">
        <v>319893</v>
      </c>
      <c r="I97" s="16">
        <v>83457</v>
      </c>
      <c r="J97" s="16">
        <v>27320</v>
      </c>
      <c r="K97" s="16" t="s">
        <v>38</v>
      </c>
      <c r="L97" s="16">
        <v>8117</v>
      </c>
      <c r="M97" s="16">
        <v>48020</v>
      </c>
      <c r="N97" s="16">
        <v>86442</v>
      </c>
      <c r="O97" s="16">
        <v>254549</v>
      </c>
      <c r="P97" s="16">
        <v>146281</v>
      </c>
      <c r="Q97" s="16">
        <v>167742</v>
      </c>
      <c r="R97" s="16">
        <v>12824</v>
      </c>
      <c r="S97" s="16">
        <v>36644</v>
      </c>
      <c r="T97" s="16">
        <v>35080</v>
      </c>
      <c r="U97" s="47">
        <f t="shared" si="1"/>
        <v>-7.398684053386928E-2</v>
      </c>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row>
    <row r="98" spans="1:52" x14ac:dyDescent="0.35">
      <c r="A98" s="27"/>
      <c r="B98" s="35">
        <v>40268</v>
      </c>
      <c r="C98" s="16">
        <v>1316908</v>
      </c>
      <c r="D98" s="16">
        <v>496305</v>
      </c>
      <c r="E98" s="16">
        <v>168629</v>
      </c>
      <c r="F98" s="16">
        <v>144098</v>
      </c>
      <c r="G98" s="16">
        <v>12308</v>
      </c>
      <c r="H98" s="16">
        <v>315367</v>
      </c>
      <c r="I98" s="16">
        <v>83883</v>
      </c>
      <c r="J98" s="16">
        <v>27887</v>
      </c>
      <c r="K98" s="16" t="s">
        <v>38</v>
      </c>
      <c r="L98" s="16">
        <v>7870</v>
      </c>
      <c r="M98" s="16">
        <v>48126</v>
      </c>
      <c r="N98" s="16">
        <v>85746</v>
      </c>
      <c r="O98" s="16">
        <v>258546</v>
      </c>
      <c r="P98" s="16">
        <v>145927</v>
      </c>
      <c r="Q98" s="16">
        <v>166978</v>
      </c>
      <c r="R98" s="16">
        <v>18994</v>
      </c>
      <c r="S98" s="16">
        <v>25979</v>
      </c>
      <c r="T98" s="16">
        <v>34549</v>
      </c>
      <c r="U98" s="47">
        <f t="shared" si="1"/>
        <v>-5.6950694482239106E-2</v>
      </c>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row>
    <row r="99" spans="1:52" x14ac:dyDescent="0.35">
      <c r="A99" s="27"/>
      <c r="B99" s="35">
        <v>40298</v>
      </c>
      <c r="C99" s="16">
        <v>1307198</v>
      </c>
      <c r="D99" s="16">
        <v>488712</v>
      </c>
      <c r="E99" s="16">
        <v>167718</v>
      </c>
      <c r="F99" s="16">
        <v>143004</v>
      </c>
      <c r="G99" s="16">
        <v>12172</v>
      </c>
      <c r="H99" s="16">
        <v>308822</v>
      </c>
      <c r="I99" s="16">
        <v>88638</v>
      </c>
      <c r="J99" s="16">
        <v>28599</v>
      </c>
      <c r="K99" s="16" t="s">
        <v>38</v>
      </c>
      <c r="L99" s="16">
        <v>7965</v>
      </c>
      <c r="M99" s="16">
        <v>52073</v>
      </c>
      <c r="N99" s="16">
        <v>88437</v>
      </c>
      <c r="O99" s="16">
        <v>253421</v>
      </c>
      <c r="P99" s="16">
        <v>144573</v>
      </c>
      <c r="Q99" s="16">
        <v>167122</v>
      </c>
      <c r="R99" s="16">
        <v>13943</v>
      </c>
      <c r="S99" s="16">
        <v>26797</v>
      </c>
      <c r="T99" s="16">
        <v>35556</v>
      </c>
      <c r="U99" s="47">
        <f t="shared" si="1"/>
        <v>-7.0444248969430245E-2</v>
      </c>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row>
    <row r="100" spans="1:52" x14ac:dyDescent="0.35">
      <c r="A100" s="27" t="s">
        <v>17</v>
      </c>
      <c r="B100" s="35">
        <v>40329</v>
      </c>
      <c r="C100" s="16">
        <v>1344794</v>
      </c>
      <c r="D100" s="16">
        <v>493041</v>
      </c>
      <c r="E100" s="16">
        <v>174141</v>
      </c>
      <c r="F100" s="16">
        <v>150336</v>
      </c>
      <c r="G100" s="16">
        <v>15276</v>
      </c>
      <c r="H100" s="16">
        <v>303624</v>
      </c>
      <c r="I100" s="16">
        <v>91771</v>
      </c>
      <c r="J100" s="16">
        <v>28386</v>
      </c>
      <c r="K100" s="16" t="s">
        <v>38</v>
      </c>
      <c r="L100" s="16">
        <v>7844</v>
      </c>
      <c r="M100" s="16">
        <v>55541</v>
      </c>
      <c r="N100" s="16">
        <v>89233</v>
      </c>
      <c r="O100" s="16">
        <v>275860</v>
      </c>
      <c r="P100" s="16">
        <v>141897</v>
      </c>
      <c r="Q100" s="16">
        <v>173051</v>
      </c>
      <c r="R100" s="16">
        <v>13269</v>
      </c>
      <c r="S100" s="16">
        <v>28638</v>
      </c>
      <c r="T100" s="16">
        <v>38033</v>
      </c>
      <c r="U100" s="47">
        <f t="shared" si="1"/>
        <v>-4.3502072611091624E-2</v>
      </c>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row>
    <row r="101" spans="1:52" x14ac:dyDescent="0.35">
      <c r="A101" s="27" t="s">
        <v>17</v>
      </c>
      <c r="B101" s="35">
        <v>40359</v>
      </c>
      <c r="C101" s="36">
        <v>1342980</v>
      </c>
      <c r="D101" s="36">
        <v>486296</v>
      </c>
      <c r="E101" s="36">
        <v>171594</v>
      </c>
      <c r="F101" s="36">
        <v>156446</v>
      </c>
      <c r="G101" s="36">
        <v>14877</v>
      </c>
      <c r="H101" s="37">
        <v>299824</v>
      </c>
      <c r="I101" s="37">
        <v>92082</v>
      </c>
      <c r="J101" s="37">
        <v>28396</v>
      </c>
      <c r="K101" s="37">
        <v>16206</v>
      </c>
      <c r="L101" s="37">
        <v>8189</v>
      </c>
      <c r="M101" s="37">
        <v>55496</v>
      </c>
      <c r="N101" s="37">
        <v>90265</v>
      </c>
      <c r="O101" s="37">
        <v>283665</v>
      </c>
      <c r="P101" s="37">
        <v>138737</v>
      </c>
      <c r="Q101" s="37">
        <v>170699</v>
      </c>
      <c r="R101" s="37">
        <v>10127</v>
      </c>
      <c r="S101" s="37">
        <v>34623</v>
      </c>
      <c r="T101" s="37">
        <v>36486</v>
      </c>
      <c r="U101" s="47">
        <f t="shared" si="1"/>
        <v>-3.6876075731497426E-2</v>
      </c>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row>
    <row r="102" spans="1:52" x14ac:dyDescent="0.35">
      <c r="A102" s="27" t="s">
        <v>17</v>
      </c>
      <c r="B102" s="35">
        <v>40389</v>
      </c>
      <c r="C102" s="36">
        <v>1317279</v>
      </c>
      <c r="D102" s="36">
        <v>479501</v>
      </c>
      <c r="E102" s="36">
        <v>172924</v>
      </c>
      <c r="F102" s="36">
        <v>157217</v>
      </c>
      <c r="G102" s="36">
        <v>14565</v>
      </c>
      <c r="H102" s="37">
        <v>292013</v>
      </c>
      <c r="I102" s="37">
        <v>93884</v>
      </c>
      <c r="J102" s="37">
        <v>27936</v>
      </c>
      <c r="K102" s="37">
        <v>16277</v>
      </c>
      <c r="L102" s="37">
        <v>8576</v>
      </c>
      <c r="M102" s="37">
        <v>57372</v>
      </c>
      <c r="N102" s="37">
        <v>88174</v>
      </c>
      <c r="O102" s="37">
        <v>269019</v>
      </c>
      <c r="P102" s="37">
        <v>136648</v>
      </c>
      <c r="Q102" s="37">
        <v>162980</v>
      </c>
      <c r="R102" s="37">
        <v>17394</v>
      </c>
      <c r="S102" s="37">
        <v>34384</v>
      </c>
      <c r="T102" s="37">
        <v>35295</v>
      </c>
      <c r="U102" s="47">
        <f t="shared" si="1"/>
        <v>-5.1765379994543559E-2</v>
      </c>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row>
    <row r="103" spans="1:52" x14ac:dyDescent="0.35">
      <c r="A103" s="27" t="s">
        <v>17</v>
      </c>
      <c r="B103" s="35">
        <v>40421</v>
      </c>
      <c r="C103" s="36">
        <v>1342229</v>
      </c>
      <c r="D103" s="36">
        <v>486046</v>
      </c>
      <c r="E103" s="36">
        <v>174175</v>
      </c>
      <c r="F103" s="36">
        <v>158642</v>
      </c>
      <c r="G103" s="36">
        <v>23369</v>
      </c>
      <c r="H103" s="37">
        <v>288503</v>
      </c>
      <c r="I103" s="37">
        <v>97687</v>
      </c>
      <c r="J103" s="37">
        <v>29604</v>
      </c>
      <c r="K103" s="37">
        <v>18138</v>
      </c>
      <c r="L103" s="37">
        <v>9454</v>
      </c>
      <c r="M103" s="37">
        <v>58629</v>
      </c>
      <c r="N103" s="37">
        <v>93471</v>
      </c>
      <c r="O103" s="37">
        <v>283596</v>
      </c>
      <c r="P103" s="37">
        <v>137428</v>
      </c>
      <c r="Q103" s="37">
        <v>166672</v>
      </c>
      <c r="R103" s="37">
        <v>9988</v>
      </c>
      <c r="S103" s="37">
        <v>26947</v>
      </c>
      <c r="T103" s="37">
        <v>40393</v>
      </c>
      <c r="U103" s="47">
        <f t="shared" si="1"/>
        <v>-2.5815830767645154E-2</v>
      </c>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row>
    <row r="104" spans="1:52" x14ac:dyDescent="0.35">
      <c r="A104" s="27" t="s">
        <v>17</v>
      </c>
      <c r="B104" s="35">
        <v>40451</v>
      </c>
      <c r="C104" s="36">
        <v>1311672</v>
      </c>
      <c r="D104" s="36">
        <v>488736</v>
      </c>
      <c r="E104" s="36">
        <v>181029</v>
      </c>
      <c r="F104" s="36">
        <v>165794</v>
      </c>
      <c r="G104" s="36">
        <v>23098</v>
      </c>
      <c r="H104" s="37">
        <v>284609</v>
      </c>
      <c r="I104" s="37">
        <v>97089</v>
      </c>
      <c r="J104" s="37">
        <v>27879</v>
      </c>
      <c r="K104" s="37">
        <v>18156</v>
      </c>
      <c r="L104" s="37">
        <v>10804</v>
      </c>
      <c r="M104" s="37">
        <v>58405</v>
      </c>
      <c r="N104" s="37">
        <v>98773</v>
      </c>
      <c r="O104" s="37">
        <v>263195</v>
      </c>
      <c r="P104" s="37">
        <v>133106</v>
      </c>
      <c r="Q104" s="37">
        <v>158121</v>
      </c>
      <c r="R104" s="37">
        <v>11662</v>
      </c>
      <c r="S104" s="37">
        <v>24067</v>
      </c>
      <c r="T104" s="37">
        <v>36924</v>
      </c>
      <c r="U104" s="47">
        <f t="shared" si="1"/>
        <v>-2.1176091322033797E-2</v>
      </c>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row>
    <row r="105" spans="1:52" x14ac:dyDescent="0.35">
      <c r="A105" s="27" t="s">
        <v>17</v>
      </c>
      <c r="B105" s="35">
        <v>40480</v>
      </c>
      <c r="C105" s="36">
        <v>1240482</v>
      </c>
      <c r="D105" s="36">
        <v>472623</v>
      </c>
      <c r="E105" s="36">
        <v>169882</v>
      </c>
      <c r="F105" s="36">
        <v>155974</v>
      </c>
      <c r="G105" s="36">
        <v>22840</v>
      </c>
      <c r="H105" s="37">
        <v>279901</v>
      </c>
      <c r="I105" s="37">
        <v>92991</v>
      </c>
      <c r="J105" s="37">
        <v>21276</v>
      </c>
      <c r="K105" s="37">
        <v>11552</v>
      </c>
      <c r="L105" s="37">
        <v>11079</v>
      </c>
      <c r="M105" s="37">
        <v>60637</v>
      </c>
      <c r="N105" s="37">
        <v>153757</v>
      </c>
      <c r="O105" s="37">
        <v>235598</v>
      </c>
      <c r="P105" s="37">
        <v>104345</v>
      </c>
      <c r="Q105" s="37">
        <v>108923</v>
      </c>
      <c r="R105" s="37">
        <v>15802</v>
      </c>
      <c r="S105" s="37">
        <v>23323</v>
      </c>
      <c r="T105" s="37">
        <v>33119</v>
      </c>
      <c r="U105" s="47">
        <f t="shared" si="1"/>
        <v>-6.7310974536957002E-2</v>
      </c>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row>
    <row r="106" spans="1:52" x14ac:dyDescent="0.35">
      <c r="A106" s="27" t="s">
        <v>17</v>
      </c>
      <c r="B106" s="35">
        <v>40512</v>
      </c>
      <c r="C106" s="36">
        <v>1228246</v>
      </c>
      <c r="D106" s="36">
        <v>457104</v>
      </c>
      <c r="E106" s="36">
        <v>162604</v>
      </c>
      <c r="F106" s="36">
        <v>149267</v>
      </c>
      <c r="G106" s="36">
        <v>22620</v>
      </c>
      <c r="H106" s="37">
        <v>271879</v>
      </c>
      <c r="I106" s="37">
        <v>94354</v>
      </c>
      <c r="J106" s="37">
        <v>16990</v>
      </c>
      <c r="K106" s="37">
        <v>7288</v>
      </c>
      <c r="L106" s="37">
        <v>11318</v>
      </c>
      <c r="M106" s="37">
        <v>66046</v>
      </c>
      <c r="N106" s="37">
        <v>125849</v>
      </c>
      <c r="O106" s="37">
        <v>249412</v>
      </c>
      <c r="P106" s="37">
        <v>119266</v>
      </c>
      <c r="Q106" s="37">
        <v>103181</v>
      </c>
      <c r="R106" s="37">
        <v>11742</v>
      </c>
      <c r="S106" s="37">
        <v>34328</v>
      </c>
      <c r="T106" s="37">
        <v>33011</v>
      </c>
      <c r="U106" s="47">
        <f t="shared" si="1"/>
        <v>-6.7730111827209338E-2</v>
      </c>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row>
    <row r="107" spans="1:52" x14ac:dyDescent="0.35">
      <c r="A107" s="27">
        <v>40543</v>
      </c>
      <c r="B107" s="35">
        <v>40543</v>
      </c>
      <c r="C107" s="36">
        <v>1168008</v>
      </c>
      <c r="D107" s="36">
        <v>467544</v>
      </c>
      <c r="E107" s="36">
        <v>174629</v>
      </c>
      <c r="F107" s="36">
        <v>163979</v>
      </c>
      <c r="G107" s="36">
        <v>31607</v>
      </c>
      <c r="H107" s="37">
        <v>261308</v>
      </c>
      <c r="I107" s="37">
        <v>101700</v>
      </c>
      <c r="J107" s="37">
        <v>16602</v>
      </c>
      <c r="K107" s="37">
        <v>7473</v>
      </c>
      <c r="L107" s="37">
        <v>11808</v>
      </c>
      <c r="M107" s="37">
        <v>73290</v>
      </c>
      <c r="N107" s="37">
        <v>114793</v>
      </c>
      <c r="O107" s="37">
        <v>229328</v>
      </c>
      <c r="P107" s="37">
        <v>85876</v>
      </c>
      <c r="Q107" s="37">
        <v>99489</v>
      </c>
      <c r="R107" s="37">
        <v>12320</v>
      </c>
      <c r="S107" s="37">
        <v>27537</v>
      </c>
      <c r="T107" s="37">
        <v>29421</v>
      </c>
      <c r="U107" s="47">
        <f t="shared" si="1"/>
        <v>-0.11754146317876313</v>
      </c>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row>
    <row r="108" spans="1:52" x14ac:dyDescent="0.35">
      <c r="A108" s="27">
        <v>40574</v>
      </c>
      <c r="B108" s="35">
        <v>40574</v>
      </c>
      <c r="C108" s="36">
        <v>1121751</v>
      </c>
      <c r="D108" s="36">
        <v>449254</v>
      </c>
      <c r="E108" s="36">
        <v>158130</v>
      </c>
      <c r="F108" s="36">
        <v>147497</v>
      </c>
      <c r="G108" s="36">
        <v>31523</v>
      </c>
      <c r="H108" s="37">
        <v>259601</v>
      </c>
      <c r="I108" s="37">
        <v>101330</v>
      </c>
      <c r="J108" s="37">
        <v>16167</v>
      </c>
      <c r="K108" s="37">
        <v>7371</v>
      </c>
      <c r="L108" s="37">
        <v>12074</v>
      </c>
      <c r="M108" s="37">
        <v>73089</v>
      </c>
      <c r="N108" s="37">
        <v>111402</v>
      </c>
      <c r="O108" s="37">
        <v>214568</v>
      </c>
      <c r="P108" s="37">
        <v>82826</v>
      </c>
      <c r="Q108" s="37">
        <v>96455</v>
      </c>
      <c r="R108" s="37">
        <v>9397</v>
      </c>
      <c r="S108" s="37">
        <v>28323</v>
      </c>
      <c r="T108" s="37">
        <v>28197</v>
      </c>
      <c r="U108" s="47">
        <f t="shared" si="1"/>
        <v>-0.16102978407053703</v>
      </c>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row>
    <row r="109" spans="1:52" x14ac:dyDescent="0.35">
      <c r="A109" s="27" t="s">
        <v>17</v>
      </c>
      <c r="B109" s="35">
        <v>40602</v>
      </c>
      <c r="C109" s="36">
        <v>1114576</v>
      </c>
      <c r="D109" s="36">
        <v>453806</v>
      </c>
      <c r="E109" s="36">
        <v>162308</v>
      </c>
      <c r="F109" s="36">
        <v>150963</v>
      </c>
      <c r="G109" s="36">
        <v>31618</v>
      </c>
      <c r="H109" s="37">
        <v>259880</v>
      </c>
      <c r="I109" s="37">
        <v>101518</v>
      </c>
      <c r="J109" s="37">
        <v>18073</v>
      </c>
      <c r="K109" s="37">
        <v>9758</v>
      </c>
      <c r="L109" s="37">
        <v>11031</v>
      </c>
      <c r="M109" s="37">
        <v>72415</v>
      </c>
      <c r="N109" s="37">
        <v>108564</v>
      </c>
      <c r="O109" s="37">
        <v>209430</v>
      </c>
      <c r="P109" s="37">
        <v>80440</v>
      </c>
      <c r="Q109" s="37">
        <v>94935</v>
      </c>
      <c r="R109" s="37">
        <v>9161</v>
      </c>
      <c r="S109" s="37">
        <v>28666</v>
      </c>
      <c r="T109" s="37">
        <v>28055</v>
      </c>
      <c r="U109" s="47">
        <f t="shared" si="1"/>
        <v>-0.1494409357724793</v>
      </c>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row>
    <row r="110" spans="1:52" x14ac:dyDescent="0.35">
      <c r="A110" s="38" t="s">
        <v>17</v>
      </c>
      <c r="B110" s="39">
        <v>40633</v>
      </c>
      <c r="C110" s="37">
        <v>1084828</v>
      </c>
      <c r="D110" s="37">
        <v>436343</v>
      </c>
      <c r="E110" s="37">
        <v>150110</v>
      </c>
      <c r="F110" s="37">
        <v>140259</v>
      </c>
      <c r="G110" s="37">
        <v>28754</v>
      </c>
      <c r="H110" s="37">
        <v>257479</v>
      </c>
      <c r="I110" s="37">
        <v>100373</v>
      </c>
      <c r="J110" s="37">
        <v>16159</v>
      </c>
      <c r="K110" s="37">
        <v>12235</v>
      </c>
      <c r="L110" s="37">
        <v>10996</v>
      </c>
      <c r="M110" s="37">
        <v>73217</v>
      </c>
      <c r="N110" s="37">
        <v>114425</v>
      </c>
      <c r="O110" s="37">
        <v>197484</v>
      </c>
      <c r="P110" s="37">
        <v>78547</v>
      </c>
      <c r="Q110" s="37">
        <v>89303</v>
      </c>
      <c r="R110" s="37">
        <v>10272</v>
      </c>
      <c r="S110" s="37">
        <v>31035</v>
      </c>
      <c r="T110" s="37">
        <v>27047</v>
      </c>
      <c r="U110" s="47">
        <f t="shared" si="1"/>
        <v>-0.17623098956039451</v>
      </c>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row>
    <row r="111" spans="1:52" x14ac:dyDescent="0.35">
      <c r="A111" s="38" t="s">
        <v>17</v>
      </c>
      <c r="B111" s="39">
        <v>40662</v>
      </c>
      <c r="C111" s="37">
        <v>1052086</v>
      </c>
      <c r="D111" s="37">
        <v>418065</v>
      </c>
      <c r="E111" s="37">
        <v>135507</v>
      </c>
      <c r="F111" s="37">
        <v>124632</v>
      </c>
      <c r="G111" s="37">
        <v>28799</v>
      </c>
      <c r="H111" s="37">
        <v>253759</v>
      </c>
      <c r="I111" s="37">
        <v>97840</v>
      </c>
      <c r="J111" s="37">
        <v>16708</v>
      </c>
      <c r="K111" s="37">
        <v>12004</v>
      </c>
      <c r="L111" s="37">
        <v>10191</v>
      </c>
      <c r="M111" s="37">
        <v>70941</v>
      </c>
      <c r="N111" s="37">
        <v>115521</v>
      </c>
      <c r="O111" s="37">
        <v>188947</v>
      </c>
      <c r="P111" s="37">
        <v>76730</v>
      </c>
      <c r="Q111" s="37">
        <v>85841</v>
      </c>
      <c r="R111" s="37">
        <v>9241</v>
      </c>
      <c r="S111" s="37">
        <v>32814</v>
      </c>
      <c r="T111" s="37">
        <v>27086</v>
      </c>
      <c r="U111" s="47">
        <f t="shared" si="1"/>
        <v>-0.19515941731856989</v>
      </c>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row>
    <row r="112" spans="1:52" x14ac:dyDescent="0.35">
      <c r="A112" s="38" t="s">
        <v>17</v>
      </c>
      <c r="B112" s="39">
        <v>40694</v>
      </c>
      <c r="C112" s="37">
        <v>1038964</v>
      </c>
      <c r="D112" s="37">
        <v>401513</v>
      </c>
      <c r="E112" s="37">
        <v>110950</v>
      </c>
      <c r="F112" s="37">
        <v>100357</v>
      </c>
      <c r="G112" s="37">
        <v>28896</v>
      </c>
      <c r="H112" s="37">
        <v>261667</v>
      </c>
      <c r="I112" s="37">
        <v>97105</v>
      </c>
      <c r="J112" s="37">
        <v>16653</v>
      </c>
      <c r="K112" s="37">
        <v>12023</v>
      </c>
      <c r="L112" s="37">
        <v>10195</v>
      </c>
      <c r="M112" s="37">
        <v>70257</v>
      </c>
      <c r="N112" s="37">
        <v>109820</v>
      </c>
      <c r="O112" s="37">
        <v>193037</v>
      </c>
      <c r="P112" s="37">
        <v>77871</v>
      </c>
      <c r="Q112" s="37">
        <v>88184</v>
      </c>
      <c r="R112" s="37">
        <v>9168</v>
      </c>
      <c r="S112" s="37">
        <v>34686</v>
      </c>
      <c r="T112" s="37">
        <v>27583</v>
      </c>
      <c r="U112" s="47">
        <f t="shared" si="1"/>
        <v>-0.22741773089409978</v>
      </c>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row>
    <row r="113" spans="1:52" x14ac:dyDescent="0.35">
      <c r="A113" s="38" t="s">
        <v>17</v>
      </c>
      <c r="B113" s="39">
        <v>40724</v>
      </c>
      <c r="C113" s="37">
        <v>1023188</v>
      </c>
      <c r="D113" s="37">
        <v>403616</v>
      </c>
      <c r="E113" s="37">
        <v>113097</v>
      </c>
      <c r="F113" s="37">
        <v>103944</v>
      </c>
      <c r="G113" s="37">
        <v>28364</v>
      </c>
      <c r="H113" s="37">
        <v>262155</v>
      </c>
      <c r="I113" s="37">
        <v>96826</v>
      </c>
      <c r="J113" s="37">
        <v>16392</v>
      </c>
      <c r="K113" s="37">
        <v>11849</v>
      </c>
      <c r="L113" s="37">
        <v>10299</v>
      </c>
      <c r="M113" s="37">
        <v>70135</v>
      </c>
      <c r="N113" s="37">
        <v>109000</v>
      </c>
      <c r="O113" s="37">
        <v>186843</v>
      </c>
      <c r="P113" s="37">
        <v>74349</v>
      </c>
      <c r="Q113" s="37">
        <v>83229</v>
      </c>
      <c r="R113" s="37">
        <v>7287</v>
      </c>
      <c r="S113" s="37">
        <v>36158</v>
      </c>
      <c r="T113" s="37">
        <v>25879</v>
      </c>
      <c r="U113" s="47">
        <f t="shared" si="1"/>
        <v>-0.23812119316743363</v>
      </c>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row>
    <row r="114" spans="1:52" x14ac:dyDescent="0.35">
      <c r="A114" s="38" t="s">
        <v>17</v>
      </c>
      <c r="B114" s="39">
        <v>40753</v>
      </c>
      <c r="C114" s="37">
        <v>1029197</v>
      </c>
      <c r="D114" s="37">
        <v>405683</v>
      </c>
      <c r="E114" s="37">
        <v>115044</v>
      </c>
      <c r="F114" s="37">
        <v>106020</v>
      </c>
      <c r="G114" s="37">
        <v>29449</v>
      </c>
      <c r="H114" s="37">
        <v>261191</v>
      </c>
      <c r="I114" s="37">
        <v>96544</v>
      </c>
      <c r="J114" s="37">
        <v>16285</v>
      </c>
      <c r="K114" s="37">
        <v>11980</v>
      </c>
      <c r="L114" s="37">
        <v>10462</v>
      </c>
      <c r="M114" s="37">
        <v>69798</v>
      </c>
      <c r="N114" s="37">
        <v>106389</v>
      </c>
      <c r="O114" s="37">
        <v>190622</v>
      </c>
      <c r="P114" s="37">
        <v>73284</v>
      </c>
      <c r="Q114" s="37">
        <v>84022</v>
      </c>
      <c r="R114" s="37">
        <v>8784</v>
      </c>
      <c r="S114" s="37">
        <v>36098</v>
      </c>
      <c r="T114" s="37">
        <v>27770</v>
      </c>
      <c r="U114" s="47">
        <f t="shared" si="1"/>
        <v>-0.21869474879657236</v>
      </c>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row>
    <row r="115" spans="1:52" x14ac:dyDescent="0.35">
      <c r="A115" s="38" t="s">
        <v>17</v>
      </c>
      <c r="B115" s="39">
        <v>40786</v>
      </c>
      <c r="C115" s="37">
        <v>1027999</v>
      </c>
      <c r="D115" s="37">
        <v>406399</v>
      </c>
      <c r="E115" s="37">
        <v>117550</v>
      </c>
      <c r="F115" s="37">
        <v>108399</v>
      </c>
      <c r="G115" s="37">
        <v>29547</v>
      </c>
      <c r="H115" s="37">
        <v>259303</v>
      </c>
      <c r="I115" s="37">
        <v>96893</v>
      </c>
      <c r="J115" s="37">
        <v>17407</v>
      </c>
      <c r="K115" s="37">
        <v>13077</v>
      </c>
      <c r="L115" s="37">
        <v>12074</v>
      </c>
      <c r="M115" s="37">
        <v>67411</v>
      </c>
      <c r="N115" s="37">
        <v>102566</v>
      </c>
      <c r="O115" s="37">
        <v>192689</v>
      </c>
      <c r="P115" s="37">
        <v>71565</v>
      </c>
      <c r="Q115" s="37">
        <v>81344</v>
      </c>
      <c r="R115" s="37">
        <v>11138</v>
      </c>
      <c r="S115" s="37">
        <v>35970</v>
      </c>
      <c r="T115" s="37">
        <v>29434</v>
      </c>
      <c r="U115" s="47">
        <f t="shared" si="1"/>
        <v>-0.23411057278601488</v>
      </c>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row>
    <row r="116" spans="1:52" x14ac:dyDescent="0.35">
      <c r="A116" s="38" t="s">
        <v>17</v>
      </c>
      <c r="B116" s="39">
        <v>40816</v>
      </c>
      <c r="C116" s="37">
        <v>1046213</v>
      </c>
      <c r="D116" s="37">
        <v>408473</v>
      </c>
      <c r="E116" s="37">
        <v>118328</v>
      </c>
      <c r="F116" s="37">
        <v>108975</v>
      </c>
      <c r="G116" s="37">
        <v>29622</v>
      </c>
      <c r="H116" s="37">
        <v>260524</v>
      </c>
      <c r="I116" s="37">
        <v>95537</v>
      </c>
      <c r="J116" s="37">
        <v>17269</v>
      </c>
      <c r="K116" s="37">
        <v>13385</v>
      </c>
      <c r="L116" s="37">
        <v>12772</v>
      </c>
      <c r="M116" s="37">
        <v>65497</v>
      </c>
      <c r="N116" s="37">
        <v>110408</v>
      </c>
      <c r="O116" s="37">
        <v>203536</v>
      </c>
      <c r="P116" s="37">
        <v>70790</v>
      </c>
      <c r="Q116" s="37">
        <v>80829</v>
      </c>
      <c r="R116" s="37">
        <v>7586</v>
      </c>
      <c r="S116" s="37">
        <v>35774</v>
      </c>
      <c r="T116" s="37">
        <v>33281</v>
      </c>
      <c r="U116" s="47">
        <f t="shared" si="1"/>
        <v>-0.20238215041565266</v>
      </c>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row>
    <row r="117" spans="1:52" x14ac:dyDescent="0.35">
      <c r="A117" s="38" t="s">
        <v>17</v>
      </c>
      <c r="B117" s="39">
        <v>40844</v>
      </c>
      <c r="C117" s="37">
        <v>1031458</v>
      </c>
      <c r="D117" s="37">
        <v>389832</v>
      </c>
      <c r="E117" s="37">
        <v>119527</v>
      </c>
      <c r="F117" s="37">
        <v>109943</v>
      </c>
      <c r="G117" s="37">
        <v>29610</v>
      </c>
      <c r="H117" s="37">
        <v>240695</v>
      </c>
      <c r="I117" s="37">
        <v>113581</v>
      </c>
      <c r="J117" s="37">
        <v>17593</v>
      </c>
      <c r="K117" s="37">
        <v>13766</v>
      </c>
      <c r="L117" s="37">
        <v>12958</v>
      </c>
      <c r="M117" s="37">
        <v>83030</v>
      </c>
      <c r="N117" s="37">
        <v>113953</v>
      </c>
      <c r="O117" s="37">
        <v>190729</v>
      </c>
      <c r="P117" s="37">
        <v>69107</v>
      </c>
      <c r="Q117" s="37">
        <v>78657</v>
      </c>
      <c r="R117" s="37">
        <v>8024</v>
      </c>
      <c r="S117" s="37">
        <v>35936</v>
      </c>
      <c r="T117" s="37">
        <v>31640</v>
      </c>
      <c r="U117" s="47">
        <f t="shared" si="1"/>
        <v>-0.1685022434827752</v>
      </c>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row>
    <row r="118" spans="1:52" x14ac:dyDescent="0.35">
      <c r="A118" s="38" t="s">
        <v>17</v>
      </c>
      <c r="B118" s="39">
        <v>40877</v>
      </c>
      <c r="C118" s="37">
        <v>1028538</v>
      </c>
      <c r="D118" s="37">
        <v>390602</v>
      </c>
      <c r="E118" s="37">
        <v>119989</v>
      </c>
      <c r="F118" s="37">
        <v>109266</v>
      </c>
      <c r="G118" s="37">
        <v>29593</v>
      </c>
      <c r="H118" s="37">
        <v>241020</v>
      </c>
      <c r="I118" s="37">
        <v>113931</v>
      </c>
      <c r="J118" s="37">
        <v>18571</v>
      </c>
      <c r="K118" s="37">
        <v>14754</v>
      </c>
      <c r="L118" s="37">
        <v>12279</v>
      </c>
      <c r="M118" s="37">
        <v>83081</v>
      </c>
      <c r="N118" s="37">
        <v>111347</v>
      </c>
      <c r="O118" s="37">
        <v>192918</v>
      </c>
      <c r="P118" s="37">
        <v>68832</v>
      </c>
      <c r="Q118" s="37">
        <v>76391</v>
      </c>
      <c r="R118" s="37">
        <v>6659</v>
      </c>
      <c r="S118" s="37">
        <v>26445</v>
      </c>
      <c r="T118" s="37">
        <v>41412</v>
      </c>
      <c r="U118" s="47">
        <f t="shared" si="1"/>
        <v>-0.16259609231375471</v>
      </c>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row>
    <row r="119" spans="1:52" x14ac:dyDescent="0.35">
      <c r="A119" s="38">
        <v>40907</v>
      </c>
      <c r="B119" s="39">
        <v>40907</v>
      </c>
      <c r="C119" s="37">
        <v>1025896</v>
      </c>
      <c r="D119" s="37">
        <v>383645</v>
      </c>
      <c r="E119" s="37">
        <v>113322</v>
      </c>
      <c r="F119" s="37">
        <v>103048</v>
      </c>
      <c r="G119" s="37">
        <v>29687</v>
      </c>
      <c r="H119" s="37">
        <v>240636</v>
      </c>
      <c r="I119" s="37">
        <v>113613</v>
      </c>
      <c r="J119" s="37">
        <v>17638</v>
      </c>
      <c r="K119" s="37">
        <v>13843</v>
      </c>
      <c r="L119" s="37">
        <v>13029</v>
      </c>
      <c r="M119" s="37">
        <v>82946</v>
      </c>
      <c r="N119" s="37">
        <v>114759</v>
      </c>
      <c r="O119" s="37">
        <v>190513</v>
      </c>
      <c r="P119" s="37">
        <v>69336</v>
      </c>
      <c r="Q119" s="37">
        <v>78010</v>
      </c>
      <c r="R119" s="37">
        <v>6765</v>
      </c>
      <c r="S119" s="37">
        <v>27517</v>
      </c>
      <c r="T119" s="37">
        <v>41739</v>
      </c>
      <c r="U119" s="47">
        <f t="shared" si="1"/>
        <v>-0.12167039951781156</v>
      </c>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row>
    <row r="120" spans="1:52" x14ac:dyDescent="0.35">
      <c r="A120" s="38">
        <v>40939</v>
      </c>
      <c r="B120" s="39">
        <v>40939</v>
      </c>
      <c r="C120" s="37">
        <v>1003946</v>
      </c>
      <c r="D120" s="37">
        <v>379202</v>
      </c>
      <c r="E120" s="37">
        <v>110701</v>
      </c>
      <c r="F120" s="37">
        <v>100403</v>
      </c>
      <c r="G120" s="37">
        <v>29728</v>
      </c>
      <c r="H120" s="37">
        <v>238773</v>
      </c>
      <c r="I120" s="37">
        <v>115197</v>
      </c>
      <c r="J120" s="37">
        <v>18216</v>
      </c>
      <c r="K120" s="37">
        <v>14445</v>
      </c>
      <c r="L120" s="37">
        <v>14346</v>
      </c>
      <c r="M120" s="37">
        <v>82635</v>
      </c>
      <c r="N120" s="37">
        <v>108524</v>
      </c>
      <c r="O120" s="37">
        <v>182769</v>
      </c>
      <c r="P120" s="37">
        <v>68977</v>
      </c>
      <c r="Q120" s="37">
        <v>76767</v>
      </c>
      <c r="R120" s="37">
        <v>6191</v>
      </c>
      <c r="S120" s="37">
        <v>25718</v>
      </c>
      <c r="T120" s="37">
        <v>40601</v>
      </c>
      <c r="U120" s="47">
        <f t="shared" si="1"/>
        <v>-0.10501884999433919</v>
      </c>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row>
    <row r="121" spans="1:52" x14ac:dyDescent="0.35">
      <c r="A121" s="38" t="s">
        <v>17</v>
      </c>
      <c r="B121" s="39">
        <v>40968</v>
      </c>
      <c r="C121" s="37">
        <v>968241</v>
      </c>
      <c r="D121" s="37">
        <v>374145</v>
      </c>
      <c r="E121" s="37">
        <v>106538</v>
      </c>
      <c r="F121" s="37">
        <v>96133</v>
      </c>
      <c r="G121" s="37">
        <v>30102</v>
      </c>
      <c r="H121" s="37">
        <v>237505</v>
      </c>
      <c r="I121" s="37">
        <v>115525</v>
      </c>
      <c r="J121" s="37">
        <v>18387</v>
      </c>
      <c r="K121" s="37">
        <v>14473</v>
      </c>
      <c r="L121" s="37">
        <v>14706</v>
      </c>
      <c r="M121" s="37">
        <v>82432</v>
      </c>
      <c r="N121" s="37">
        <v>86707</v>
      </c>
      <c r="O121" s="37">
        <v>180896</v>
      </c>
      <c r="P121" s="37">
        <v>69747</v>
      </c>
      <c r="Q121" s="37">
        <v>76093</v>
      </c>
      <c r="R121" s="37">
        <v>5038</v>
      </c>
      <c r="S121" s="37">
        <v>22490</v>
      </c>
      <c r="T121" s="37">
        <v>37600</v>
      </c>
      <c r="U121" s="47">
        <f t="shared" si="1"/>
        <v>-0.13129207878152771</v>
      </c>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row>
    <row r="122" spans="1:52" x14ac:dyDescent="0.35">
      <c r="A122" s="38" t="s">
        <v>17</v>
      </c>
      <c r="B122" s="39">
        <v>40998</v>
      </c>
      <c r="C122" s="37">
        <v>948885</v>
      </c>
      <c r="D122" s="37">
        <v>370873</v>
      </c>
      <c r="E122" s="37">
        <v>103643</v>
      </c>
      <c r="F122" s="37">
        <v>93716</v>
      </c>
      <c r="G122" s="37">
        <v>29741</v>
      </c>
      <c r="H122" s="37">
        <v>237490</v>
      </c>
      <c r="I122" s="37">
        <v>114383</v>
      </c>
      <c r="J122" s="37">
        <v>17841</v>
      </c>
      <c r="K122" s="37">
        <v>13857</v>
      </c>
      <c r="L122" s="37">
        <v>14643</v>
      </c>
      <c r="M122" s="37">
        <v>81898</v>
      </c>
      <c r="N122" s="37">
        <v>72209</v>
      </c>
      <c r="O122" s="37">
        <v>178528</v>
      </c>
      <c r="P122" s="37">
        <v>70005</v>
      </c>
      <c r="Q122" s="37">
        <v>77728</v>
      </c>
      <c r="R122" s="37">
        <v>8364</v>
      </c>
      <c r="S122" s="37">
        <v>22662</v>
      </c>
      <c r="T122" s="37">
        <v>34133</v>
      </c>
      <c r="U122" s="47">
        <f t="shared" si="1"/>
        <v>-0.12531295283676303</v>
      </c>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row>
    <row r="123" spans="1:52" x14ac:dyDescent="0.35">
      <c r="A123" s="38"/>
      <c r="B123" s="39">
        <v>41029</v>
      </c>
      <c r="C123" s="37">
        <v>940272</v>
      </c>
      <c r="D123" s="37">
        <v>363040</v>
      </c>
      <c r="E123" s="37">
        <v>98277</v>
      </c>
      <c r="F123" s="37">
        <v>87778</v>
      </c>
      <c r="G123" s="37">
        <v>28321</v>
      </c>
      <c r="H123" s="37">
        <v>236443</v>
      </c>
      <c r="I123" s="37">
        <v>116524</v>
      </c>
      <c r="J123" s="37">
        <v>18500</v>
      </c>
      <c r="K123" s="37">
        <v>14690</v>
      </c>
      <c r="L123" s="37">
        <v>17605</v>
      </c>
      <c r="M123" s="37">
        <v>80419</v>
      </c>
      <c r="N123" s="37">
        <v>73825</v>
      </c>
      <c r="O123" s="37">
        <v>181066</v>
      </c>
      <c r="P123" s="37">
        <v>69796</v>
      </c>
      <c r="Q123" s="37">
        <v>75182</v>
      </c>
      <c r="R123" s="37">
        <v>7799</v>
      </c>
      <c r="S123" s="37">
        <v>18569</v>
      </c>
      <c r="T123" s="37">
        <v>34470</v>
      </c>
      <c r="U123" s="47">
        <f t="shared" si="1"/>
        <v>-0.10627838408647206</v>
      </c>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row>
    <row r="124" spans="1:52" x14ac:dyDescent="0.35">
      <c r="A124" s="38" t="s">
        <v>17</v>
      </c>
      <c r="B124" s="39">
        <v>41060</v>
      </c>
      <c r="C124" s="37">
        <v>954021</v>
      </c>
      <c r="D124" s="37">
        <v>363543</v>
      </c>
      <c r="E124" s="37">
        <v>98764</v>
      </c>
      <c r="F124" s="37">
        <v>88171</v>
      </c>
      <c r="G124" s="37">
        <v>28048</v>
      </c>
      <c r="H124" s="37">
        <v>236731</v>
      </c>
      <c r="I124" s="37">
        <v>116052</v>
      </c>
      <c r="J124" s="37">
        <v>18630</v>
      </c>
      <c r="K124" s="37">
        <v>14689</v>
      </c>
      <c r="L124" s="37">
        <v>17134</v>
      </c>
      <c r="M124" s="37">
        <v>80288</v>
      </c>
      <c r="N124" s="37">
        <v>74360</v>
      </c>
      <c r="O124" s="37">
        <v>184466</v>
      </c>
      <c r="P124" s="37">
        <v>70315</v>
      </c>
      <c r="Q124" s="37">
        <v>76982</v>
      </c>
      <c r="R124" s="37">
        <v>7840</v>
      </c>
      <c r="S124" s="37">
        <v>21155</v>
      </c>
      <c r="T124" s="37">
        <v>39309</v>
      </c>
      <c r="U124" s="47">
        <f t="shared" si="1"/>
        <v>-8.1757404491397234E-2</v>
      </c>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row>
    <row r="125" spans="1:52" x14ac:dyDescent="0.35">
      <c r="A125" s="38" t="s">
        <v>17</v>
      </c>
      <c r="B125" s="39">
        <v>41089</v>
      </c>
      <c r="C125" s="37">
        <v>953296</v>
      </c>
      <c r="D125" s="37">
        <v>362653</v>
      </c>
      <c r="E125" s="37">
        <v>99397</v>
      </c>
      <c r="F125" s="37">
        <v>86367</v>
      </c>
      <c r="G125" s="37">
        <v>28031</v>
      </c>
      <c r="H125" s="37">
        <v>235224</v>
      </c>
      <c r="I125" s="37">
        <v>114101</v>
      </c>
      <c r="J125" s="37">
        <v>19023</v>
      </c>
      <c r="K125" s="37">
        <v>14965</v>
      </c>
      <c r="L125" s="37">
        <v>17540</v>
      </c>
      <c r="M125" s="37">
        <v>77538</v>
      </c>
      <c r="N125" s="37">
        <v>82292</v>
      </c>
      <c r="O125" s="37">
        <v>184682</v>
      </c>
      <c r="P125" s="37">
        <v>69976</v>
      </c>
      <c r="Q125" s="37">
        <v>74359</v>
      </c>
      <c r="R125" s="37">
        <v>8039</v>
      </c>
      <c r="S125" s="37">
        <v>21635</v>
      </c>
      <c r="T125" s="37">
        <v>35560</v>
      </c>
      <c r="U125" s="47">
        <f t="shared" si="1"/>
        <v>-6.8308072416799259E-2</v>
      </c>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row>
    <row r="126" spans="1:52" x14ac:dyDescent="0.35">
      <c r="A126" s="38" t="s">
        <v>17</v>
      </c>
      <c r="B126" s="39">
        <v>41121</v>
      </c>
      <c r="C126" s="37">
        <v>929724</v>
      </c>
      <c r="D126" s="37">
        <v>335501</v>
      </c>
      <c r="E126" s="37">
        <v>72716</v>
      </c>
      <c r="F126" s="37">
        <v>60516</v>
      </c>
      <c r="G126" s="37">
        <v>28012</v>
      </c>
      <c r="H126" s="37">
        <v>234773</v>
      </c>
      <c r="I126" s="37">
        <v>114687</v>
      </c>
      <c r="J126" s="37">
        <v>19622</v>
      </c>
      <c r="K126" s="37">
        <v>15368</v>
      </c>
      <c r="L126" s="37">
        <v>17810</v>
      </c>
      <c r="M126" s="37">
        <v>77255</v>
      </c>
      <c r="N126" s="37">
        <v>78686</v>
      </c>
      <c r="O126" s="37">
        <v>187752</v>
      </c>
      <c r="P126" s="37">
        <v>70840</v>
      </c>
      <c r="Q126" s="37">
        <v>75236</v>
      </c>
      <c r="R126" s="37">
        <v>7589</v>
      </c>
      <c r="S126" s="37">
        <v>23098</v>
      </c>
      <c r="T126" s="37">
        <v>36335</v>
      </c>
      <c r="U126" s="47">
        <f t="shared" si="1"/>
        <v>-9.6651078462140827E-2</v>
      </c>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row>
    <row r="127" spans="1:52" x14ac:dyDescent="0.35">
      <c r="A127" s="38" t="s">
        <v>17</v>
      </c>
      <c r="B127" s="39">
        <v>41152</v>
      </c>
      <c r="C127" s="37">
        <v>915320</v>
      </c>
      <c r="D127" s="37">
        <v>335044</v>
      </c>
      <c r="E127" s="37">
        <v>72958</v>
      </c>
      <c r="F127" s="37">
        <v>60496</v>
      </c>
      <c r="G127" s="37">
        <v>28022</v>
      </c>
      <c r="H127" s="37">
        <v>234064</v>
      </c>
      <c r="I127" s="37">
        <v>114844</v>
      </c>
      <c r="J127" s="37">
        <v>19467</v>
      </c>
      <c r="K127" s="37">
        <v>15174</v>
      </c>
      <c r="L127" s="37">
        <v>18613</v>
      </c>
      <c r="M127" s="37">
        <v>76763</v>
      </c>
      <c r="N127" s="37">
        <v>75960</v>
      </c>
      <c r="O127" s="37">
        <v>181524</v>
      </c>
      <c r="P127" s="37">
        <v>70045</v>
      </c>
      <c r="Q127" s="37">
        <v>73304</v>
      </c>
      <c r="R127" s="37">
        <v>6357</v>
      </c>
      <c r="S127" s="37">
        <v>23342</v>
      </c>
      <c r="T127" s="37">
        <v>34900</v>
      </c>
      <c r="U127" s="47">
        <f t="shared" si="1"/>
        <v>-0.10961002880352999</v>
      </c>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row>
    <row r="128" spans="1:52" x14ac:dyDescent="0.35">
      <c r="A128" s="38" t="s">
        <v>17</v>
      </c>
      <c r="B128" s="39">
        <v>41180</v>
      </c>
      <c r="C128" s="37">
        <v>912098</v>
      </c>
      <c r="D128" s="37">
        <v>333043</v>
      </c>
      <c r="E128" s="37">
        <v>72313</v>
      </c>
      <c r="F128" s="37">
        <v>59765</v>
      </c>
      <c r="G128" s="37">
        <v>27998</v>
      </c>
      <c r="H128" s="37">
        <v>232732</v>
      </c>
      <c r="I128" s="37">
        <v>114442</v>
      </c>
      <c r="J128" s="37">
        <v>19433</v>
      </c>
      <c r="K128" s="37">
        <v>15026</v>
      </c>
      <c r="L128" s="37">
        <v>18851</v>
      </c>
      <c r="M128" s="37">
        <v>76158</v>
      </c>
      <c r="N128" s="37">
        <v>81588</v>
      </c>
      <c r="O128" s="37">
        <v>175117</v>
      </c>
      <c r="P128" s="37">
        <v>69306</v>
      </c>
      <c r="Q128" s="37">
        <v>74129</v>
      </c>
      <c r="R128" s="37">
        <v>8864</v>
      </c>
      <c r="S128" s="37">
        <v>21500</v>
      </c>
      <c r="T128" s="37">
        <v>34108</v>
      </c>
      <c r="U128" s="47">
        <f t="shared" si="1"/>
        <v>-0.12819091332262167</v>
      </c>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row>
    <row r="129" spans="1:52" x14ac:dyDescent="0.35">
      <c r="A129" s="38" t="s">
        <v>17</v>
      </c>
      <c r="B129" s="39">
        <v>41213</v>
      </c>
      <c r="C129" s="37">
        <v>910247</v>
      </c>
      <c r="D129" s="37">
        <v>330698</v>
      </c>
      <c r="E129" s="37">
        <v>71683</v>
      </c>
      <c r="F129" s="37">
        <v>59061</v>
      </c>
      <c r="G129" s="37">
        <v>28046</v>
      </c>
      <c r="H129" s="37">
        <v>230970</v>
      </c>
      <c r="I129" s="37">
        <v>115309</v>
      </c>
      <c r="J129" s="37">
        <v>19734</v>
      </c>
      <c r="K129" s="37">
        <v>15026</v>
      </c>
      <c r="L129" s="37">
        <v>19154</v>
      </c>
      <c r="M129" s="37">
        <v>76421</v>
      </c>
      <c r="N129" s="37">
        <v>81636</v>
      </c>
      <c r="O129" s="37">
        <v>171932</v>
      </c>
      <c r="P129" s="37">
        <v>69557</v>
      </c>
      <c r="Q129" s="37">
        <v>72252</v>
      </c>
      <c r="R129" s="37">
        <v>11903</v>
      </c>
      <c r="S129" s="37">
        <v>22699</v>
      </c>
      <c r="T129" s="37">
        <v>34261</v>
      </c>
      <c r="U129" s="47">
        <f t="shared" si="1"/>
        <v>-0.11751423712841436</v>
      </c>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row>
    <row r="130" spans="1:52" x14ac:dyDescent="0.35">
      <c r="A130" s="38" t="s">
        <v>17</v>
      </c>
      <c r="B130" s="39">
        <v>41243</v>
      </c>
      <c r="C130" s="37">
        <v>899528</v>
      </c>
      <c r="D130" s="37">
        <v>331361</v>
      </c>
      <c r="E130" s="37">
        <v>73407</v>
      </c>
      <c r="F130" s="37">
        <v>61226</v>
      </c>
      <c r="G130" s="37">
        <v>28007</v>
      </c>
      <c r="H130" s="37">
        <v>229947</v>
      </c>
      <c r="I130" s="37">
        <v>114735</v>
      </c>
      <c r="J130" s="37">
        <v>18967</v>
      </c>
      <c r="K130" s="37">
        <v>13947</v>
      </c>
      <c r="L130" s="37">
        <v>19620</v>
      </c>
      <c r="M130" s="37">
        <v>76148</v>
      </c>
      <c r="N130" s="37">
        <v>73134</v>
      </c>
      <c r="O130" s="37">
        <v>172245</v>
      </c>
      <c r="P130" s="37">
        <v>70089</v>
      </c>
      <c r="Q130" s="37">
        <v>72249</v>
      </c>
      <c r="R130" s="37">
        <v>7807</v>
      </c>
      <c r="S130" s="37">
        <v>23059</v>
      </c>
      <c r="T130" s="37">
        <v>34849</v>
      </c>
      <c r="U130" s="47">
        <f t="shared" si="1"/>
        <v>-0.1254304653790137</v>
      </c>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row>
    <row r="131" spans="1:52" x14ac:dyDescent="0.35">
      <c r="A131" s="38">
        <v>41274</v>
      </c>
      <c r="B131" s="39">
        <v>41274</v>
      </c>
      <c r="C131" s="37">
        <v>872679</v>
      </c>
      <c r="D131" s="37">
        <v>331404</v>
      </c>
      <c r="E131" s="37">
        <v>69253</v>
      </c>
      <c r="F131" s="37">
        <v>57166</v>
      </c>
      <c r="G131" s="37">
        <v>27965</v>
      </c>
      <c r="H131" s="37">
        <v>234186</v>
      </c>
      <c r="I131" s="37">
        <v>107323</v>
      </c>
      <c r="J131" s="37">
        <v>19757</v>
      </c>
      <c r="K131" s="37">
        <v>14928</v>
      </c>
      <c r="L131" s="37">
        <v>19589</v>
      </c>
      <c r="M131" s="37">
        <v>67977</v>
      </c>
      <c r="N131" s="37">
        <v>71125</v>
      </c>
      <c r="O131" s="37">
        <v>162381</v>
      </c>
      <c r="P131" s="37">
        <v>70645</v>
      </c>
      <c r="Q131" s="37">
        <v>68698</v>
      </c>
      <c r="R131" s="37">
        <v>3899</v>
      </c>
      <c r="S131" s="37">
        <v>25196</v>
      </c>
      <c r="T131" s="37">
        <v>32009</v>
      </c>
      <c r="U131" s="47">
        <f t="shared" si="1"/>
        <v>-0.14934944672754358</v>
      </c>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row>
    <row r="132" spans="1:52" x14ac:dyDescent="0.35">
      <c r="A132" s="38">
        <v>41305</v>
      </c>
      <c r="B132" s="39">
        <v>41305</v>
      </c>
      <c r="C132" s="37">
        <v>858988</v>
      </c>
      <c r="D132" s="37">
        <v>327055</v>
      </c>
      <c r="E132" s="37">
        <v>67740</v>
      </c>
      <c r="F132" s="37">
        <v>55538</v>
      </c>
      <c r="G132" s="37">
        <v>27972</v>
      </c>
      <c r="H132" s="37">
        <v>231344</v>
      </c>
      <c r="I132" s="37">
        <v>107092</v>
      </c>
      <c r="J132" s="37">
        <v>19679</v>
      </c>
      <c r="K132" s="37">
        <v>14903</v>
      </c>
      <c r="L132" s="37">
        <v>20788</v>
      </c>
      <c r="M132" s="37">
        <v>66625</v>
      </c>
      <c r="N132" s="37">
        <v>74402</v>
      </c>
      <c r="O132" s="37">
        <v>153951</v>
      </c>
      <c r="P132" s="37">
        <v>70570</v>
      </c>
      <c r="Q132" s="37">
        <v>66120</v>
      </c>
      <c r="R132" s="37">
        <v>4041</v>
      </c>
      <c r="S132" s="37">
        <v>25240</v>
      </c>
      <c r="T132" s="37">
        <v>30516</v>
      </c>
      <c r="U132" s="47">
        <f t="shared" si="1"/>
        <v>-0.14438824398921857</v>
      </c>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row>
    <row r="133" spans="1:52" x14ac:dyDescent="0.35">
      <c r="A133" s="38" t="s">
        <v>17</v>
      </c>
      <c r="B133" s="39">
        <v>41333</v>
      </c>
      <c r="C133" s="37">
        <v>821285</v>
      </c>
      <c r="D133" s="37">
        <v>296945</v>
      </c>
      <c r="E133" s="37">
        <v>64733</v>
      </c>
      <c r="F133" s="37">
        <v>55428</v>
      </c>
      <c r="G133" s="37">
        <v>850</v>
      </c>
      <c r="H133" s="37">
        <v>231363</v>
      </c>
      <c r="I133" s="37">
        <v>100691</v>
      </c>
      <c r="J133" s="37">
        <v>18193</v>
      </c>
      <c r="K133" s="37">
        <v>14007</v>
      </c>
      <c r="L133" s="37">
        <v>17330</v>
      </c>
      <c r="M133" s="37">
        <v>65168</v>
      </c>
      <c r="N133" s="37">
        <v>78381</v>
      </c>
      <c r="O133" s="37">
        <v>151238</v>
      </c>
      <c r="P133" s="37">
        <v>70490</v>
      </c>
      <c r="Q133" s="37">
        <v>63930</v>
      </c>
      <c r="R133" s="37">
        <v>5738</v>
      </c>
      <c r="S133" s="37">
        <v>23648</v>
      </c>
      <c r="T133" s="37">
        <v>30224</v>
      </c>
      <c r="U133" s="47">
        <f t="shared" si="1"/>
        <v>-0.15177626231485752</v>
      </c>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row>
    <row r="134" spans="1:52" x14ac:dyDescent="0.35">
      <c r="A134" s="38" t="s">
        <v>17</v>
      </c>
      <c r="B134" s="39">
        <v>41361</v>
      </c>
      <c r="C134" s="37">
        <v>804148</v>
      </c>
      <c r="D134" s="37">
        <v>297805</v>
      </c>
      <c r="E134" s="37">
        <v>65349</v>
      </c>
      <c r="F134" s="37">
        <v>55923</v>
      </c>
      <c r="G134" s="37">
        <v>896</v>
      </c>
      <c r="H134" s="37">
        <v>231560</v>
      </c>
      <c r="I134" s="37">
        <v>101159</v>
      </c>
      <c r="J134" s="37">
        <v>17746</v>
      </c>
      <c r="K134" s="37">
        <v>13100</v>
      </c>
      <c r="L134" s="37">
        <v>18156</v>
      </c>
      <c r="M134" s="37">
        <v>65256</v>
      </c>
      <c r="N134" s="37">
        <v>69100</v>
      </c>
      <c r="O134" s="37">
        <v>149673</v>
      </c>
      <c r="P134" s="37">
        <v>69916</v>
      </c>
      <c r="Q134" s="37">
        <v>63186</v>
      </c>
      <c r="R134" s="37">
        <v>4337</v>
      </c>
      <c r="S134" s="37">
        <v>21923</v>
      </c>
      <c r="T134" s="37">
        <v>27049</v>
      </c>
      <c r="U134" s="47">
        <f t="shared" si="1"/>
        <v>-0.15253376331167634</v>
      </c>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row>
    <row r="135" spans="1:52" x14ac:dyDescent="0.35">
      <c r="A135" s="38" t="s">
        <v>17</v>
      </c>
      <c r="B135" s="39">
        <v>41394</v>
      </c>
      <c r="C135" s="37">
        <v>796266</v>
      </c>
      <c r="D135" s="37">
        <v>295893</v>
      </c>
      <c r="E135" s="37">
        <v>65579</v>
      </c>
      <c r="F135" s="37">
        <v>56034</v>
      </c>
      <c r="G135" s="37">
        <v>900</v>
      </c>
      <c r="H135" s="37">
        <v>229414</v>
      </c>
      <c r="I135" s="37">
        <v>100291</v>
      </c>
      <c r="J135" s="37">
        <v>16420</v>
      </c>
      <c r="K135" s="37">
        <v>12471</v>
      </c>
      <c r="L135" s="37">
        <v>18600</v>
      </c>
      <c r="M135" s="37">
        <v>65271</v>
      </c>
      <c r="N135" s="37">
        <v>66821</v>
      </c>
      <c r="O135" s="37">
        <v>148177</v>
      </c>
      <c r="P135" s="37">
        <v>67842</v>
      </c>
      <c r="Q135" s="37">
        <v>62157</v>
      </c>
      <c r="R135" s="37">
        <v>4089</v>
      </c>
      <c r="S135" s="37">
        <v>22976</v>
      </c>
      <c r="T135" s="37">
        <v>28019</v>
      </c>
      <c r="U135" s="47">
        <f t="shared" si="1"/>
        <v>-0.1531535555668998</v>
      </c>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row>
    <row r="136" spans="1:52" x14ac:dyDescent="0.35">
      <c r="A136" s="38" t="s">
        <v>17</v>
      </c>
      <c r="B136" s="39">
        <v>41425</v>
      </c>
      <c r="C136" s="37">
        <v>800098</v>
      </c>
      <c r="D136" s="37">
        <v>295752</v>
      </c>
      <c r="E136" s="37">
        <v>66818</v>
      </c>
      <c r="F136" s="37">
        <v>58149</v>
      </c>
      <c r="G136" s="37">
        <v>837</v>
      </c>
      <c r="H136" s="37">
        <v>228097</v>
      </c>
      <c r="I136" s="37">
        <v>100258</v>
      </c>
      <c r="J136" s="37">
        <v>16300</v>
      </c>
      <c r="K136" s="37">
        <v>12476</v>
      </c>
      <c r="L136" s="37">
        <v>18995</v>
      </c>
      <c r="M136" s="37">
        <v>64963</v>
      </c>
      <c r="N136" s="37">
        <v>70153</v>
      </c>
      <c r="O136" s="37">
        <v>149368</v>
      </c>
      <c r="P136" s="37">
        <v>67462</v>
      </c>
      <c r="Q136" s="37">
        <v>61504</v>
      </c>
      <c r="R136" s="37">
        <v>4306</v>
      </c>
      <c r="S136" s="37">
        <v>25080</v>
      </c>
      <c r="T136" s="37">
        <v>26215</v>
      </c>
      <c r="U136" s="47">
        <f t="shared" si="1"/>
        <v>-0.16134131219333747</v>
      </c>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row>
    <row r="137" spans="1:52" x14ac:dyDescent="0.35">
      <c r="A137" s="38" t="s">
        <v>17</v>
      </c>
      <c r="B137" s="39">
        <v>41453</v>
      </c>
      <c r="C137" s="37">
        <v>785824</v>
      </c>
      <c r="D137" s="37">
        <v>295856</v>
      </c>
      <c r="E137" s="37">
        <v>67895</v>
      </c>
      <c r="F137" s="37">
        <v>58899</v>
      </c>
      <c r="G137" s="37">
        <v>828</v>
      </c>
      <c r="H137" s="37">
        <v>227133</v>
      </c>
      <c r="I137" s="37">
        <v>100447</v>
      </c>
      <c r="J137" s="37">
        <v>16473</v>
      </c>
      <c r="K137" s="37">
        <v>12668</v>
      </c>
      <c r="L137" s="37">
        <v>19395</v>
      </c>
      <c r="M137" s="37">
        <v>64579</v>
      </c>
      <c r="N137" s="37">
        <v>65176</v>
      </c>
      <c r="O137" s="37">
        <v>147934</v>
      </c>
      <c r="P137" s="37">
        <v>65049</v>
      </c>
      <c r="Q137" s="37">
        <v>60192</v>
      </c>
      <c r="R137" s="37">
        <v>5814</v>
      </c>
      <c r="S137" s="37">
        <v>21896</v>
      </c>
      <c r="T137" s="37">
        <v>23460</v>
      </c>
      <c r="U137" s="47">
        <f t="shared" si="1"/>
        <v>-0.17567680972121991</v>
      </c>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row>
    <row r="138" spans="1:52" x14ac:dyDescent="0.35">
      <c r="A138" s="38" t="s">
        <v>17</v>
      </c>
      <c r="B138" s="39">
        <v>41486</v>
      </c>
      <c r="C138" s="37">
        <v>769871</v>
      </c>
      <c r="D138" s="37">
        <v>291137</v>
      </c>
      <c r="E138" s="37">
        <v>66604</v>
      </c>
      <c r="F138" s="37">
        <v>57387</v>
      </c>
      <c r="G138" s="37">
        <v>830</v>
      </c>
      <c r="H138" s="37">
        <v>223703</v>
      </c>
      <c r="I138" s="37">
        <v>99528</v>
      </c>
      <c r="J138" s="37">
        <v>16346</v>
      </c>
      <c r="K138" s="37">
        <v>12673</v>
      </c>
      <c r="L138" s="37">
        <v>19416</v>
      </c>
      <c r="M138" s="37">
        <v>63766</v>
      </c>
      <c r="N138" s="37">
        <v>64078</v>
      </c>
      <c r="O138" s="37">
        <v>141044</v>
      </c>
      <c r="P138" s="37">
        <v>64435</v>
      </c>
      <c r="Q138" s="37">
        <v>57642</v>
      </c>
      <c r="R138" s="37">
        <v>4718</v>
      </c>
      <c r="S138" s="37">
        <v>24015</v>
      </c>
      <c r="T138" s="37">
        <v>23274</v>
      </c>
      <c r="U138" s="47">
        <f t="shared" si="1"/>
        <v>-0.17193597239610892</v>
      </c>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row>
    <row r="139" spans="1:52" x14ac:dyDescent="0.35">
      <c r="A139" s="38" t="s">
        <v>17</v>
      </c>
      <c r="B139" s="39">
        <v>41516</v>
      </c>
      <c r="C139" s="37">
        <v>764018</v>
      </c>
      <c r="D139" s="37">
        <v>288364</v>
      </c>
      <c r="E139" s="37">
        <v>65159</v>
      </c>
      <c r="F139" s="37">
        <v>55761</v>
      </c>
      <c r="G139" s="37">
        <v>834</v>
      </c>
      <c r="H139" s="37">
        <v>222371</v>
      </c>
      <c r="I139" s="37">
        <v>99363</v>
      </c>
      <c r="J139" s="37">
        <v>16374</v>
      </c>
      <c r="K139" s="37">
        <v>12728</v>
      </c>
      <c r="L139" s="37">
        <v>19321</v>
      </c>
      <c r="M139" s="37">
        <v>63668</v>
      </c>
      <c r="N139" s="37">
        <v>65830</v>
      </c>
      <c r="O139" s="37">
        <v>138958</v>
      </c>
      <c r="P139" s="37">
        <v>63736</v>
      </c>
      <c r="Q139" s="37">
        <v>57095</v>
      </c>
      <c r="R139" s="37">
        <v>4563</v>
      </c>
      <c r="S139" s="37">
        <v>24021</v>
      </c>
      <c r="T139" s="37">
        <v>22088</v>
      </c>
      <c r="U139" s="47">
        <f t="shared" si="1"/>
        <v>-0.16529956736441898</v>
      </c>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row>
    <row r="140" spans="1:52" x14ac:dyDescent="0.35">
      <c r="A140" s="38" t="s">
        <v>17</v>
      </c>
      <c r="B140" s="39">
        <v>41547</v>
      </c>
      <c r="C140" s="37">
        <v>764059</v>
      </c>
      <c r="D140" s="37">
        <v>291473</v>
      </c>
      <c r="E140" s="37">
        <v>66512</v>
      </c>
      <c r="F140" s="37">
        <v>56905</v>
      </c>
      <c r="G140" s="37">
        <v>803</v>
      </c>
      <c r="H140" s="37">
        <v>224158</v>
      </c>
      <c r="I140" s="37">
        <v>96599</v>
      </c>
      <c r="J140" s="37">
        <v>15357</v>
      </c>
      <c r="K140" s="37">
        <v>11733</v>
      </c>
      <c r="L140" s="37">
        <v>19689</v>
      </c>
      <c r="M140" s="37">
        <v>61552</v>
      </c>
      <c r="N140" s="37">
        <v>62446</v>
      </c>
      <c r="O140" s="37">
        <v>143457</v>
      </c>
      <c r="P140" s="37">
        <v>63336</v>
      </c>
      <c r="Q140" s="37">
        <v>56555</v>
      </c>
      <c r="R140" s="37">
        <v>3070</v>
      </c>
      <c r="S140" s="37">
        <v>24624</v>
      </c>
      <c r="T140" s="37">
        <v>22500</v>
      </c>
      <c r="U140" s="47">
        <f t="shared" si="1"/>
        <v>-0.16230602413337158</v>
      </c>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row>
    <row r="141" spans="1:52" x14ac:dyDescent="0.35">
      <c r="A141" s="38" t="s">
        <v>17</v>
      </c>
      <c r="B141" s="39">
        <v>41578</v>
      </c>
      <c r="C141" s="37">
        <v>750517</v>
      </c>
      <c r="D141" s="37">
        <v>286113</v>
      </c>
      <c r="E141" s="37">
        <v>62715</v>
      </c>
      <c r="F141" s="37">
        <v>53297</v>
      </c>
      <c r="G141" s="37">
        <v>760</v>
      </c>
      <c r="H141" s="37">
        <v>222638</v>
      </c>
      <c r="I141" s="37">
        <v>95827</v>
      </c>
      <c r="J141" s="37">
        <v>15171</v>
      </c>
      <c r="K141" s="37">
        <v>11320</v>
      </c>
      <c r="L141" s="37">
        <v>20116</v>
      </c>
      <c r="M141" s="37">
        <v>60540</v>
      </c>
      <c r="N141" s="37">
        <v>63235</v>
      </c>
      <c r="O141" s="37">
        <v>138517</v>
      </c>
      <c r="P141" s="37">
        <v>63712</v>
      </c>
      <c r="Q141" s="37">
        <v>55978</v>
      </c>
      <c r="R141" s="37">
        <v>3418</v>
      </c>
      <c r="S141" s="37">
        <v>20062</v>
      </c>
      <c r="T141" s="37">
        <v>23656</v>
      </c>
      <c r="U141" s="47">
        <f t="shared" si="1"/>
        <v>-0.1754798422845667</v>
      </c>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row>
    <row r="142" spans="1:52" x14ac:dyDescent="0.35">
      <c r="A142" s="38" t="s">
        <v>17</v>
      </c>
      <c r="B142" s="39">
        <v>41607</v>
      </c>
      <c r="C142" s="37">
        <v>754546</v>
      </c>
      <c r="D142" s="37">
        <v>285946</v>
      </c>
      <c r="E142" s="37">
        <v>64144</v>
      </c>
      <c r="F142" s="37">
        <v>54921</v>
      </c>
      <c r="G142" s="37">
        <v>772</v>
      </c>
      <c r="H142" s="37">
        <v>221029</v>
      </c>
      <c r="I142" s="37">
        <v>96708</v>
      </c>
      <c r="J142" s="37">
        <v>15387</v>
      </c>
      <c r="K142" s="37">
        <v>11515</v>
      </c>
      <c r="L142" s="37">
        <v>20163</v>
      </c>
      <c r="M142" s="37">
        <v>61158</v>
      </c>
      <c r="N142" s="37">
        <v>67728</v>
      </c>
      <c r="O142" s="37">
        <v>137586</v>
      </c>
      <c r="P142" s="37">
        <v>63441</v>
      </c>
      <c r="Q142" s="37">
        <v>55599</v>
      </c>
      <c r="R142" s="37">
        <v>2626</v>
      </c>
      <c r="S142" s="37">
        <v>20050</v>
      </c>
      <c r="T142" s="37">
        <v>24861</v>
      </c>
      <c r="U142" s="47">
        <f t="shared" si="1"/>
        <v>-0.16117563877944874</v>
      </c>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row>
    <row r="143" spans="1:52" x14ac:dyDescent="0.35">
      <c r="A143" s="38">
        <v>41639</v>
      </c>
      <c r="B143" s="39">
        <v>41639</v>
      </c>
      <c r="C143" s="37">
        <v>740621</v>
      </c>
      <c r="D143" s="37">
        <v>281944</v>
      </c>
      <c r="E143" s="37">
        <v>63283</v>
      </c>
      <c r="F143" s="37">
        <v>53985</v>
      </c>
      <c r="G143" s="37">
        <v>736</v>
      </c>
      <c r="H143" s="37">
        <v>217925</v>
      </c>
      <c r="I143" s="37">
        <v>96008</v>
      </c>
      <c r="J143" s="37">
        <v>15742</v>
      </c>
      <c r="K143" s="37">
        <v>12118</v>
      </c>
      <c r="L143" s="37">
        <v>19924</v>
      </c>
      <c r="M143" s="37">
        <v>60341</v>
      </c>
      <c r="N143" s="37">
        <v>60480</v>
      </c>
      <c r="O143" s="37">
        <v>138005</v>
      </c>
      <c r="P143" s="37">
        <v>63283</v>
      </c>
      <c r="Q143" s="37">
        <v>54993</v>
      </c>
      <c r="R143" s="37">
        <v>3621</v>
      </c>
      <c r="S143" s="37">
        <v>19680</v>
      </c>
      <c r="T143" s="37">
        <v>22606</v>
      </c>
      <c r="U143" s="47">
        <f t="shared" si="1"/>
        <v>-0.15132482848790907</v>
      </c>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row>
    <row r="144" spans="1:52" x14ac:dyDescent="0.35">
      <c r="A144" s="38">
        <v>41670</v>
      </c>
      <c r="B144" s="39">
        <v>41670</v>
      </c>
      <c r="C144" s="37">
        <v>727905</v>
      </c>
      <c r="D144" s="37">
        <v>282010</v>
      </c>
      <c r="E144" s="37">
        <v>64757</v>
      </c>
      <c r="F144" s="37">
        <v>55324</v>
      </c>
      <c r="G144" s="37">
        <v>847</v>
      </c>
      <c r="H144" s="37">
        <v>216406</v>
      </c>
      <c r="I144" s="37">
        <v>95371</v>
      </c>
      <c r="J144" s="37">
        <v>15890</v>
      </c>
      <c r="K144" s="37">
        <v>12130</v>
      </c>
      <c r="L144" s="37">
        <v>19402</v>
      </c>
      <c r="M144" s="37">
        <v>60079</v>
      </c>
      <c r="N144" s="37">
        <v>60159</v>
      </c>
      <c r="O144" s="37">
        <v>130967</v>
      </c>
      <c r="P144" s="37">
        <v>64655</v>
      </c>
      <c r="Q144" s="37">
        <v>54724</v>
      </c>
      <c r="R144" s="37">
        <v>3173</v>
      </c>
      <c r="S144" s="37">
        <v>19154</v>
      </c>
      <c r="T144" s="37">
        <v>17691</v>
      </c>
      <c r="U144" s="47">
        <f t="shared" si="1"/>
        <v>-0.15260166614667492</v>
      </c>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row>
    <row r="145" spans="1:52" x14ac:dyDescent="0.35">
      <c r="A145" s="38" t="s">
        <v>17</v>
      </c>
      <c r="B145" s="39">
        <v>41698</v>
      </c>
      <c r="C145" s="37">
        <v>734799</v>
      </c>
      <c r="D145" s="37">
        <v>279287</v>
      </c>
      <c r="E145" s="37">
        <v>62939</v>
      </c>
      <c r="F145" s="37">
        <v>53317</v>
      </c>
      <c r="G145" s="37">
        <v>802</v>
      </c>
      <c r="H145" s="37">
        <v>215546</v>
      </c>
      <c r="I145" s="37">
        <v>95282</v>
      </c>
      <c r="J145" s="37">
        <v>15771</v>
      </c>
      <c r="K145" s="37">
        <v>11969</v>
      </c>
      <c r="L145" s="37">
        <v>19567</v>
      </c>
      <c r="M145" s="37">
        <v>59944</v>
      </c>
      <c r="N145" s="37">
        <v>69321</v>
      </c>
      <c r="O145" s="37">
        <v>128910</v>
      </c>
      <c r="P145" s="37">
        <v>64645</v>
      </c>
      <c r="Q145" s="37">
        <v>54334</v>
      </c>
      <c r="R145" s="37">
        <v>3859</v>
      </c>
      <c r="S145" s="37">
        <v>19547</v>
      </c>
      <c r="T145" s="37">
        <v>19613</v>
      </c>
      <c r="U145" s="47">
        <f t="shared" si="1"/>
        <v>-0.10530570995452249</v>
      </c>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row>
    <row r="146" spans="1:52" x14ac:dyDescent="0.35">
      <c r="A146" s="38" t="s">
        <v>17</v>
      </c>
      <c r="B146" s="39">
        <v>41729</v>
      </c>
      <c r="C146" s="37">
        <v>722575</v>
      </c>
      <c r="D146" s="37">
        <v>278115</v>
      </c>
      <c r="E146" s="37">
        <v>63038</v>
      </c>
      <c r="F146" s="37">
        <v>53673</v>
      </c>
      <c r="G146" s="37">
        <v>781</v>
      </c>
      <c r="H146" s="37">
        <v>214296</v>
      </c>
      <c r="I146" s="37">
        <v>91612</v>
      </c>
      <c r="J146" s="37">
        <v>15600</v>
      </c>
      <c r="K146" s="37">
        <v>11723</v>
      </c>
      <c r="L146" s="37">
        <v>19202</v>
      </c>
      <c r="M146" s="37">
        <v>56810</v>
      </c>
      <c r="N146" s="37">
        <v>63560</v>
      </c>
      <c r="O146" s="37">
        <v>130683</v>
      </c>
      <c r="P146" s="37">
        <v>64719</v>
      </c>
      <c r="Q146" s="37">
        <v>51512</v>
      </c>
      <c r="R146" s="37">
        <v>3794</v>
      </c>
      <c r="S146" s="37">
        <v>19569</v>
      </c>
      <c r="T146" s="37">
        <v>19011</v>
      </c>
      <c r="U146" s="47">
        <f t="shared" si="1"/>
        <v>-0.10144028213711909</v>
      </c>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row>
    <row r="147" spans="1:52" x14ac:dyDescent="0.35">
      <c r="A147" s="38" t="s">
        <v>17</v>
      </c>
      <c r="B147" s="39">
        <v>41759</v>
      </c>
      <c r="C147" s="37">
        <v>720736</v>
      </c>
      <c r="D147" s="37">
        <v>275381</v>
      </c>
      <c r="E147" s="37">
        <v>62359</v>
      </c>
      <c r="F147" s="37">
        <v>52953</v>
      </c>
      <c r="G147" s="37">
        <v>770</v>
      </c>
      <c r="H147" s="37">
        <v>212251</v>
      </c>
      <c r="I147" s="37">
        <v>91377</v>
      </c>
      <c r="J147" s="37">
        <v>15432</v>
      </c>
      <c r="K147" s="37">
        <v>11714</v>
      </c>
      <c r="L147" s="37">
        <v>19365</v>
      </c>
      <c r="M147" s="37">
        <v>56581</v>
      </c>
      <c r="N147" s="37">
        <v>62174</v>
      </c>
      <c r="O147" s="37">
        <v>131455</v>
      </c>
      <c r="P147" s="37">
        <v>63984</v>
      </c>
      <c r="Q147" s="37">
        <v>50565</v>
      </c>
      <c r="R147" s="37">
        <v>6641</v>
      </c>
      <c r="S147" s="37">
        <v>19551</v>
      </c>
      <c r="T147" s="37">
        <v>19608</v>
      </c>
      <c r="U147" s="47">
        <f t="shared" si="1"/>
        <v>-9.4855236817847355E-2</v>
      </c>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row>
    <row r="148" spans="1:52" x14ac:dyDescent="0.35">
      <c r="A148" s="38" t="s">
        <v>17</v>
      </c>
      <c r="B148" s="39">
        <v>41789</v>
      </c>
      <c r="C148" s="37">
        <v>718147</v>
      </c>
      <c r="D148" s="37">
        <v>270486</v>
      </c>
      <c r="E148" s="37">
        <v>61348</v>
      </c>
      <c r="F148" s="37">
        <v>51504</v>
      </c>
      <c r="G148" s="37">
        <v>817</v>
      </c>
      <c r="H148" s="37">
        <v>208321</v>
      </c>
      <c r="I148" s="37">
        <v>91656</v>
      </c>
      <c r="J148" s="37">
        <v>15228</v>
      </c>
      <c r="K148" s="37">
        <v>11737</v>
      </c>
      <c r="L148" s="37">
        <v>20187</v>
      </c>
      <c r="M148" s="37">
        <v>56241</v>
      </c>
      <c r="N148" s="37">
        <v>67734</v>
      </c>
      <c r="O148" s="37">
        <v>128296</v>
      </c>
      <c r="P148" s="37">
        <v>63607</v>
      </c>
      <c r="Q148" s="37">
        <v>50699</v>
      </c>
      <c r="R148" s="37">
        <v>5928</v>
      </c>
      <c r="S148" s="37">
        <v>18866</v>
      </c>
      <c r="T148" s="37">
        <v>20876</v>
      </c>
      <c r="U148" s="47">
        <f t="shared" si="1"/>
        <v>-0.10242620279015824</v>
      </c>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row>
    <row r="149" spans="1:52" x14ac:dyDescent="0.35">
      <c r="A149" s="38" t="s">
        <v>17</v>
      </c>
      <c r="B149" s="39">
        <v>41820</v>
      </c>
      <c r="C149" s="37">
        <v>725018</v>
      </c>
      <c r="D149" s="37">
        <v>262460</v>
      </c>
      <c r="E149" s="37">
        <v>59180</v>
      </c>
      <c r="F149" s="37">
        <v>49791</v>
      </c>
      <c r="G149" s="37">
        <v>801</v>
      </c>
      <c r="H149" s="37">
        <v>202479</v>
      </c>
      <c r="I149" s="37">
        <v>88487</v>
      </c>
      <c r="J149" s="37">
        <v>14866</v>
      </c>
      <c r="K149" s="37">
        <v>12294</v>
      </c>
      <c r="L149" s="37">
        <v>20098</v>
      </c>
      <c r="M149" s="37">
        <v>53522</v>
      </c>
      <c r="N149" s="37">
        <v>67600</v>
      </c>
      <c r="O149" s="37">
        <v>131313</v>
      </c>
      <c r="P149" s="37">
        <v>64673</v>
      </c>
      <c r="Q149" s="37">
        <v>50497</v>
      </c>
      <c r="R149" s="37">
        <v>5462</v>
      </c>
      <c r="S149" s="37">
        <v>25196</v>
      </c>
      <c r="T149" s="37">
        <v>29330</v>
      </c>
      <c r="U149" s="47">
        <f t="shared" si="1"/>
        <v>-7.7378649672191213E-2</v>
      </c>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row>
    <row r="150" spans="1:52" x14ac:dyDescent="0.35">
      <c r="A150" s="38" t="s">
        <v>17</v>
      </c>
      <c r="B150" s="39">
        <v>41851</v>
      </c>
      <c r="C150" s="37">
        <v>706902</v>
      </c>
      <c r="D150" s="37">
        <v>255762</v>
      </c>
      <c r="E150" s="37">
        <v>61678</v>
      </c>
      <c r="F150" s="37">
        <v>52584</v>
      </c>
      <c r="G150" s="37">
        <v>684</v>
      </c>
      <c r="H150" s="37">
        <v>193400</v>
      </c>
      <c r="I150" s="37">
        <v>87305</v>
      </c>
      <c r="J150" s="37">
        <v>15077</v>
      </c>
      <c r="K150" s="37">
        <v>12299</v>
      </c>
      <c r="L150" s="37">
        <v>19969</v>
      </c>
      <c r="M150" s="37">
        <v>52259</v>
      </c>
      <c r="N150" s="37">
        <v>58871</v>
      </c>
      <c r="O150" s="37">
        <v>134941</v>
      </c>
      <c r="P150" s="37">
        <v>64536</v>
      </c>
      <c r="Q150" s="37">
        <v>49324</v>
      </c>
      <c r="R150" s="37">
        <v>3411</v>
      </c>
      <c r="S150" s="37">
        <v>24540</v>
      </c>
      <c r="T150" s="37">
        <v>28212</v>
      </c>
      <c r="U150" s="47">
        <f t="shared" si="1"/>
        <v>-8.1791624830653498E-2</v>
      </c>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row>
    <row r="151" spans="1:52" x14ac:dyDescent="0.35">
      <c r="A151" s="38" t="s">
        <v>17</v>
      </c>
      <c r="B151" s="39">
        <v>41880</v>
      </c>
      <c r="C151" s="37">
        <v>708968</v>
      </c>
      <c r="D151" s="37">
        <v>256613</v>
      </c>
      <c r="E151" s="37">
        <v>61470</v>
      </c>
      <c r="F151" s="37">
        <v>52053</v>
      </c>
      <c r="G151" s="37">
        <v>672</v>
      </c>
      <c r="H151" s="37">
        <v>194471</v>
      </c>
      <c r="I151" s="37">
        <v>85678</v>
      </c>
      <c r="J151" s="37">
        <v>15210</v>
      </c>
      <c r="K151" s="37">
        <v>12208</v>
      </c>
      <c r="L151" s="37">
        <v>20346</v>
      </c>
      <c r="M151" s="37">
        <v>50121</v>
      </c>
      <c r="N151" s="37">
        <v>62117</v>
      </c>
      <c r="O151" s="37">
        <v>130505</v>
      </c>
      <c r="P151" s="37">
        <v>65535</v>
      </c>
      <c r="Q151" s="37">
        <v>49711</v>
      </c>
      <c r="R151" s="37">
        <v>2430</v>
      </c>
      <c r="S151" s="37">
        <v>24840</v>
      </c>
      <c r="T151" s="37">
        <v>31540</v>
      </c>
      <c r="U151" s="47">
        <f t="shared" si="1"/>
        <v>-7.2053276231711871E-2</v>
      </c>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row>
    <row r="152" spans="1:52" x14ac:dyDescent="0.35">
      <c r="A152" s="38" t="s">
        <v>17</v>
      </c>
      <c r="B152" s="39">
        <v>41912</v>
      </c>
      <c r="C152" s="37">
        <v>706694</v>
      </c>
      <c r="D152" s="37">
        <v>251196</v>
      </c>
      <c r="E152" s="37">
        <v>58281</v>
      </c>
      <c r="F152" s="37">
        <v>48737</v>
      </c>
      <c r="G152" s="37">
        <v>653</v>
      </c>
      <c r="H152" s="37">
        <v>192262</v>
      </c>
      <c r="I152" s="37">
        <v>86359</v>
      </c>
      <c r="J152" s="37">
        <v>16639</v>
      </c>
      <c r="K152" s="37">
        <v>13571</v>
      </c>
      <c r="L152" s="37">
        <v>20467</v>
      </c>
      <c r="M152" s="37">
        <v>49253</v>
      </c>
      <c r="N152" s="37">
        <v>60336</v>
      </c>
      <c r="O152" s="37">
        <v>132760</v>
      </c>
      <c r="P152" s="37">
        <v>66718</v>
      </c>
      <c r="Q152" s="37">
        <v>49825</v>
      </c>
      <c r="R152" s="37">
        <v>2556</v>
      </c>
      <c r="S152" s="37">
        <v>24428</v>
      </c>
      <c r="T152" s="37">
        <v>32515</v>
      </c>
      <c r="U152" s="47">
        <f t="shared" si="1"/>
        <v>-7.5079280526765602E-2</v>
      </c>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row>
    <row r="153" spans="1:52" x14ac:dyDescent="0.35">
      <c r="A153" s="38" t="s">
        <v>17</v>
      </c>
      <c r="B153" s="39">
        <v>41943</v>
      </c>
      <c r="C153" s="37">
        <v>710068</v>
      </c>
      <c r="D153" s="37">
        <v>250357</v>
      </c>
      <c r="E153" s="37">
        <v>58488</v>
      </c>
      <c r="F153" s="37">
        <v>48777</v>
      </c>
      <c r="G153" s="37">
        <v>652</v>
      </c>
      <c r="H153" s="37">
        <v>191217</v>
      </c>
      <c r="I153" s="37">
        <v>85310</v>
      </c>
      <c r="J153" s="37">
        <v>16605</v>
      </c>
      <c r="K153" s="37">
        <v>13516</v>
      </c>
      <c r="L153" s="37">
        <v>20232</v>
      </c>
      <c r="M153" s="37">
        <v>48473</v>
      </c>
      <c r="N153" s="37">
        <v>62197</v>
      </c>
      <c r="O153" s="37">
        <v>134409</v>
      </c>
      <c r="P153" s="37">
        <v>66124</v>
      </c>
      <c r="Q153" s="37">
        <v>49193</v>
      </c>
      <c r="R153" s="37">
        <v>4864</v>
      </c>
      <c r="S153" s="37">
        <v>25156</v>
      </c>
      <c r="T153" s="37">
        <v>32458</v>
      </c>
      <c r="U153" s="47">
        <f t="shared" ref="U153:U216" si="2">+C153/C141-1</f>
        <v>-5.3894848484444702E-2</v>
      </c>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row>
    <row r="154" spans="1:52" x14ac:dyDescent="0.35">
      <c r="A154" s="38" t="s">
        <v>17</v>
      </c>
      <c r="B154" s="39">
        <v>41971</v>
      </c>
      <c r="C154" s="37">
        <v>698703</v>
      </c>
      <c r="D154" s="37">
        <v>247219</v>
      </c>
      <c r="E154" s="37">
        <v>58172</v>
      </c>
      <c r="F154" s="37">
        <v>48703</v>
      </c>
      <c r="G154" s="37">
        <v>642</v>
      </c>
      <c r="H154" s="37">
        <v>188404</v>
      </c>
      <c r="I154" s="37">
        <v>86535</v>
      </c>
      <c r="J154" s="37">
        <v>16065</v>
      </c>
      <c r="K154" s="37">
        <v>12991</v>
      </c>
      <c r="L154" s="37">
        <v>20143</v>
      </c>
      <c r="M154" s="37">
        <v>50327</v>
      </c>
      <c r="N154" s="37">
        <v>58696</v>
      </c>
      <c r="O154" s="37">
        <v>130531</v>
      </c>
      <c r="P154" s="37">
        <v>66160</v>
      </c>
      <c r="Q154" s="37">
        <v>49089</v>
      </c>
      <c r="R154" s="37">
        <v>2923</v>
      </c>
      <c r="S154" s="37">
        <v>24990</v>
      </c>
      <c r="T154" s="37">
        <v>32561</v>
      </c>
      <c r="U154" s="47">
        <f t="shared" si="2"/>
        <v>-7.4008741680427703E-2</v>
      </c>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row>
    <row r="155" spans="1:52" x14ac:dyDescent="0.35">
      <c r="A155" s="38">
        <v>42004</v>
      </c>
      <c r="B155" s="39">
        <v>42004</v>
      </c>
      <c r="C155" s="37">
        <v>685473</v>
      </c>
      <c r="D155" s="37">
        <v>238538</v>
      </c>
      <c r="E155" s="37">
        <v>59865</v>
      </c>
      <c r="F155" s="37">
        <v>50590</v>
      </c>
      <c r="G155" s="37">
        <v>549</v>
      </c>
      <c r="H155" s="37">
        <v>178124</v>
      </c>
      <c r="I155" s="37">
        <v>84895</v>
      </c>
      <c r="J155" s="37">
        <v>16057</v>
      </c>
      <c r="K155" s="37">
        <v>12994</v>
      </c>
      <c r="L155" s="37">
        <v>20247</v>
      </c>
      <c r="M155" s="37">
        <v>48591</v>
      </c>
      <c r="N155" s="37">
        <v>61061</v>
      </c>
      <c r="O155" s="37">
        <v>120103</v>
      </c>
      <c r="P155" s="37">
        <v>67060</v>
      </c>
      <c r="Q155" s="37">
        <v>47902</v>
      </c>
      <c r="R155" s="37">
        <v>4442</v>
      </c>
      <c r="S155" s="37">
        <v>26799</v>
      </c>
      <c r="T155" s="37">
        <v>34675</v>
      </c>
      <c r="U155" s="47">
        <f t="shared" si="2"/>
        <v>-7.4461836755911559E-2</v>
      </c>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row>
    <row r="156" spans="1:52" x14ac:dyDescent="0.35">
      <c r="A156" s="38">
        <v>42034</v>
      </c>
      <c r="B156" s="39">
        <v>42034</v>
      </c>
      <c r="C156" s="37">
        <v>692511</v>
      </c>
      <c r="D156" s="37">
        <v>235359</v>
      </c>
      <c r="E156" s="37">
        <v>56718</v>
      </c>
      <c r="F156" s="37">
        <v>47170</v>
      </c>
      <c r="G156" s="37">
        <v>565</v>
      </c>
      <c r="H156" s="37">
        <v>178077</v>
      </c>
      <c r="I156" s="37">
        <v>85510</v>
      </c>
      <c r="J156" s="37">
        <v>15981</v>
      </c>
      <c r="K156" s="37">
        <v>12952</v>
      </c>
      <c r="L156" s="37">
        <v>21041</v>
      </c>
      <c r="M156" s="37">
        <v>48488</v>
      </c>
      <c r="N156" s="37">
        <v>59015</v>
      </c>
      <c r="O156" s="37">
        <v>127928</v>
      </c>
      <c r="P156" s="37">
        <v>66626</v>
      </c>
      <c r="Q156" s="37">
        <v>49315</v>
      </c>
      <c r="R156" s="37">
        <v>3148</v>
      </c>
      <c r="S156" s="37">
        <v>27223</v>
      </c>
      <c r="T156" s="37">
        <v>38386</v>
      </c>
      <c r="U156" s="47">
        <f t="shared" si="2"/>
        <v>-4.8624477095225327E-2</v>
      </c>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row>
    <row r="157" spans="1:52" x14ac:dyDescent="0.35">
      <c r="A157" s="38"/>
      <c r="B157" s="39">
        <v>42062</v>
      </c>
      <c r="C157" s="37">
        <v>681048</v>
      </c>
      <c r="D157" s="37">
        <v>232448</v>
      </c>
      <c r="E157" s="37">
        <v>57680</v>
      </c>
      <c r="F157" s="37">
        <v>47553</v>
      </c>
      <c r="G157" s="37">
        <v>588</v>
      </c>
      <c r="H157" s="37">
        <v>174180</v>
      </c>
      <c r="I157" s="37">
        <v>84015</v>
      </c>
      <c r="J157" s="37">
        <v>15998</v>
      </c>
      <c r="K157" s="37">
        <v>12955</v>
      </c>
      <c r="L157" s="37">
        <v>19723</v>
      </c>
      <c r="M157" s="37">
        <v>48295</v>
      </c>
      <c r="N157" s="37">
        <v>60857</v>
      </c>
      <c r="O157" s="37">
        <v>128224</v>
      </c>
      <c r="P157" s="37">
        <v>64085</v>
      </c>
      <c r="Q157" s="37">
        <v>45262</v>
      </c>
      <c r="R157" s="37">
        <v>2819</v>
      </c>
      <c r="S157" s="37">
        <v>25658</v>
      </c>
      <c r="T157" s="37">
        <v>37680</v>
      </c>
      <c r="U157" s="47">
        <f t="shared" si="2"/>
        <v>-7.3150616699260596E-2</v>
      </c>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row>
    <row r="158" spans="1:52" x14ac:dyDescent="0.35">
      <c r="A158" s="38"/>
      <c r="B158" s="39">
        <v>42094</v>
      </c>
      <c r="C158" s="37">
        <v>680690</v>
      </c>
      <c r="D158" s="37">
        <v>228923</v>
      </c>
      <c r="E158" s="37">
        <v>57191</v>
      </c>
      <c r="F158" s="37">
        <v>47501</v>
      </c>
      <c r="G158" s="37">
        <v>566</v>
      </c>
      <c r="H158" s="37">
        <v>171165</v>
      </c>
      <c r="I158" s="37">
        <v>82166</v>
      </c>
      <c r="J158" s="37">
        <v>15225</v>
      </c>
      <c r="K158" s="37">
        <v>12829</v>
      </c>
      <c r="L158" s="37">
        <v>19759</v>
      </c>
      <c r="M158" s="37">
        <v>47182</v>
      </c>
      <c r="N158" s="37">
        <v>61927</v>
      </c>
      <c r="O158" s="37">
        <v>128713</v>
      </c>
      <c r="P158" s="37">
        <v>63448</v>
      </c>
      <c r="Q158" s="37">
        <v>45374</v>
      </c>
      <c r="R158" s="37">
        <v>5595</v>
      </c>
      <c r="S158" s="37">
        <v>28816</v>
      </c>
      <c r="T158" s="37">
        <v>35729</v>
      </c>
      <c r="U158" s="47">
        <f t="shared" si="2"/>
        <v>-5.7966301076012861E-2</v>
      </c>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row>
    <row r="159" spans="1:52" x14ac:dyDescent="0.35">
      <c r="A159" s="38"/>
      <c r="B159" s="39">
        <v>42124</v>
      </c>
      <c r="C159" s="37">
        <v>660146</v>
      </c>
      <c r="D159" s="37">
        <v>227632</v>
      </c>
      <c r="E159" s="37">
        <v>57717</v>
      </c>
      <c r="F159" s="37">
        <v>47753</v>
      </c>
      <c r="G159" s="37">
        <v>557</v>
      </c>
      <c r="H159" s="37">
        <v>169358</v>
      </c>
      <c r="I159" s="37">
        <v>81826</v>
      </c>
      <c r="J159" s="37">
        <v>15226</v>
      </c>
      <c r="K159" s="37">
        <v>12920</v>
      </c>
      <c r="L159" s="37">
        <v>19577</v>
      </c>
      <c r="M159" s="37">
        <v>47023</v>
      </c>
      <c r="N159" s="37">
        <v>58788</v>
      </c>
      <c r="O159" s="37">
        <v>121272</v>
      </c>
      <c r="P159" s="37">
        <v>62462</v>
      </c>
      <c r="Q159" s="37">
        <v>44253</v>
      </c>
      <c r="R159" s="37">
        <v>4873</v>
      </c>
      <c r="S159" s="37">
        <v>25875</v>
      </c>
      <c r="T159" s="37">
        <v>33166</v>
      </c>
      <c r="U159" s="47">
        <f t="shared" si="2"/>
        <v>-8.4066842782932971E-2</v>
      </c>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row>
    <row r="160" spans="1:52" x14ac:dyDescent="0.35">
      <c r="A160" s="38"/>
      <c r="B160" s="39">
        <v>42153</v>
      </c>
      <c r="C160" s="37">
        <v>662928</v>
      </c>
      <c r="D160" s="37">
        <v>226958</v>
      </c>
      <c r="E160" s="37">
        <v>57598</v>
      </c>
      <c r="F160" s="37">
        <v>47176</v>
      </c>
      <c r="G160" s="37">
        <v>545</v>
      </c>
      <c r="H160" s="37">
        <v>168816</v>
      </c>
      <c r="I160" s="37">
        <v>81430</v>
      </c>
      <c r="J160" s="37">
        <v>15271</v>
      </c>
      <c r="K160" s="37">
        <v>12927</v>
      </c>
      <c r="L160" s="37">
        <v>19159</v>
      </c>
      <c r="M160" s="37">
        <v>47000</v>
      </c>
      <c r="N160" s="37">
        <v>62016</v>
      </c>
      <c r="O160" s="37">
        <v>124639</v>
      </c>
      <c r="P160" s="37">
        <v>60444</v>
      </c>
      <c r="Q160" s="37">
        <v>43628</v>
      </c>
      <c r="R160" s="37">
        <v>5907</v>
      </c>
      <c r="S160" s="37">
        <v>25129</v>
      </c>
      <c r="T160" s="37">
        <v>32777</v>
      </c>
      <c r="U160" s="47">
        <f t="shared" si="2"/>
        <v>-7.6890942940651463E-2</v>
      </c>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row>
    <row r="161" spans="1:52" x14ac:dyDescent="0.35">
      <c r="A161" s="38"/>
      <c r="B161" s="39">
        <v>42185</v>
      </c>
      <c r="C161" s="37">
        <v>652979</v>
      </c>
      <c r="D161" s="37">
        <v>226040</v>
      </c>
      <c r="E161" s="37">
        <v>58174</v>
      </c>
      <c r="F161" s="37">
        <v>47632</v>
      </c>
      <c r="G161" s="37">
        <v>619</v>
      </c>
      <c r="H161" s="37">
        <v>167247</v>
      </c>
      <c r="I161" s="37">
        <v>80259</v>
      </c>
      <c r="J161" s="37">
        <v>15615</v>
      </c>
      <c r="K161" s="37">
        <v>13414</v>
      </c>
      <c r="L161" s="37">
        <v>18400</v>
      </c>
      <c r="M161" s="37">
        <v>46244</v>
      </c>
      <c r="N161" s="37">
        <v>63393</v>
      </c>
      <c r="O161" s="37">
        <v>125300</v>
      </c>
      <c r="P161" s="37">
        <v>60692</v>
      </c>
      <c r="Q161" s="37">
        <v>42342</v>
      </c>
      <c r="R161" s="37">
        <v>4885</v>
      </c>
      <c r="S161" s="37">
        <v>22072</v>
      </c>
      <c r="T161" s="37">
        <v>27996</v>
      </c>
      <c r="U161" s="47">
        <f t="shared" si="2"/>
        <v>-9.9361671020581577E-2</v>
      </c>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row>
    <row r="162" spans="1:52" x14ac:dyDescent="0.35">
      <c r="A162" s="38"/>
      <c r="B162" s="39">
        <v>42216</v>
      </c>
      <c r="C162" s="37">
        <v>644249</v>
      </c>
      <c r="D162" s="37">
        <v>225088</v>
      </c>
      <c r="E162" s="37">
        <v>58027</v>
      </c>
      <c r="F162" s="37">
        <v>47040</v>
      </c>
      <c r="G162" s="37">
        <v>621</v>
      </c>
      <c r="H162" s="37">
        <v>166440</v>
      </c>
      <c r="I162" s="37">
        <v>80269</v>
      </c>
      <c r="J162" s="37">
        <v>15543</v>
      </c>
      <c r="K162" s="37">
        <v>13132</v>
      </c>
      <c r="L162" s="37">
        <v>18617</v>
      </c>
      <c r="M162" s="37">
        <v>46109</v>
      </c>
      <c r="N162" s="37">
        <v>65846</v>
      </c>
      <c r="O162" s="37">
        <v>115104</v>
      </c>
      <c r="P162" s="37">
        <v>59797</v>
      </c>
      <c r="Q162" s="37">
        <v>37489</v>
      </c>
      <c r="R162" s="37">
        <v>8388</v>
      </c>
      <c r="S162" s="37">
        <v>23333</v>
      </c>
      <c r="T162" s="37">
        <v>28934</v>
      </c>
      <c r="U162" s="47">
        <f t="shared" si="2"/>
        <v>-8.8630390068213161E-2</v>
      </c>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row>
    <row r="163" spans="1:52" x14ac:dyDescent="0.35">
      <c r="A163" s="38"/>
      <c r="B163" s="39">
        <v>42247</v>
      </c>
      <c r="C163" s="37">
        <v>634958</v>
      </c>
      <c r="D163" s="37">
        <v>223521</v>
      </c>
      <c r="E163" s="37">
        <v>57226</v>
      </c>
      <c r="F163" s="37">
        <v>46672</v>
      </c>
      <c r="G163" s="37">
        <v>609</v>
      </c>
      <c r="H163" s="37">
        <v>165685</v>
      </c>
      <c r="I163" s="37">
        <v>80149</v>
      </c>
      <c r="J163" s="37">
        <v>15918</v>
      </c>
      <c r="K163" s="37">
        <v>13327</v>
      </c>
      <c r="L163" s="37">
        <v>18367</v>
      </c>
      <c r="M163" s="37">
        <v>45864</v>
      </c>
      <c r="N163" s="37">
        <v>66332</v>
      </c>
      <c r="O163" s="37">
        <v>110157</v>
      </c>
      <c r="P163" s="37">
        <v>58756</v>
      </c>
      <c r="Q163" s="37">
        <v>36566</v>
      </c>
      <c r="R163" s="37">
        <v>7242</v>
      </c>
      <c r="S163" s="37">
        <v>23145</v>
      </c>
      <c r="T163" s="37">
        <v>29090</v>
      </c>
      <c r="U163" s="47">
        <f t="shared" si="2"/>
        <v>-0.10439117139278498</v>
      </c>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row>
    <row r="164" spans="1:52" x14ac:dyDescent="0.35">
      <c r="A164" s="38"/>
      <c r="B164" s="39">
        <v>42277</v>
      </c>
      <c r="C164" s="37">
        <v>624022</v>
      </c>
      <c r="D164" s="37">
        <v>219244</v>
      </c>
      <c r="E164" s="37">
        <v>55872</v>
      </c>
      <c r="F164" s="37">
        <v>45426</v>
      </c>
      <c r="G164" s="37">
        <v>615</v>
      </c>
      <c r="H164" s="37">
        <v>162757</v>
      </c>
      <c r="I164" s="37">
        <v>78594</v>
      </c>
      <c r="J164" s="37">
        <v>15822</v>
      </c>
      <c r="K164" s="37">
        <v>13314</v>
      </c>
      <c r="L164" s="37">
        <v>18843</v>
      </c>
      <c r="M164" s="37">
        <v>43929</v>
      </c>
      <c r="N164" s="37">
        <v>66901</v>
      </c>
      <c r="O164" s="37">
        <v>104807</v>
      </c>
      <c r="P164" s="37">
        <v>58509</v>
      </c>
      <c r="Q164" s="37">
        <v>35942</v>
      </c>
      <c r="R164" s="37">
        <v>9572</v>
      </c>
      <c r="S164" s="37">
        <v>23711</v>
      </c>
      <c r="T164" s="37">
        <v>26741</v>
      </c>
      <c r="U164" s="47">
        <f t="shared" si="2"/>
        <v>-0.11698415438648124</v>
      </c>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row>
    <row r="165" spans="1:52" x14ac:dyDescent="0.35">
      <c r="A165" s="38"/>
      <c r="B165" s="39">
        <v>42307</v>
      </c>
      <c r="C165" s="37">
        <v>631671</v>
      </c>
      <c r="D165" s="37">
        <v>219209</v>
      </c>
      <c r="E165" s="37">
        <v>55864</v>
      </c>
      <c r="F165" s="37">
        <v>45627</v>
      </c>
      <c r="G165" s="37">
        <v>613</v>
      </c>
      <c r="H165" s="37">
        <v>162732</v>
      </c>
      <c r="I165" s="37">
        <v>77379</v>
      </c>
      <c r="J165" s="37">
        <v>16193</v>
      </c>
      <c r="K165" s="37">
        <v>13332</v>
      </c>
      <c r="L165" s="37">
        <v>18944</v>
      </c>
      <c r="M165" s="37">
        <v>42242</v>
      </c>
      <c r="N165" s="37">
        <v>70598</v>
      </c>
      <c r="O165" s="37">
        <v>108546</v>
      </c>
      <c r="P165" s="37">
        <v>57373</v>
      </c>
      <c r="Q165" s="37">
        <v>34929</v>
      </c>
      <c r="R165" s="37">
        <v>11888</v>
      </c>
      <c r="S165" s="37">
        <v>23787</v>
      </c>
      <c r="T165" s="37">
        <v>27963</v>
      </c>
      <c r="U165" s="47">
        <f t="shared" si="2"/>
        <v>-0.11040773559715411</v>
      </c>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row>
    <row r="166" spans="1:52" x14ac:dyDescent="0.35">
      <c r="A166" s="38"/>
      <c r="B166" s="39">
        <v>42338</v>
      </c>
      <c r="C166" s="37">
        <v>633366</v>
      </c>
      <c r="D166" s="37">
        <v>217667</v>
      </c>
      <c r="E166" s="37">
        <v>54663</v>
      </c>
      <c r="F166" s="37">
        <v>44516</v>
      </c>
      <c r="G166" s="37">
        <v>635</v>
      </c>
      <c r="H166" s="37">
        <v>162369</v>
      </c>
      <c r="I166" s="37">
        <v>77159</v>
      </c>
      <c r="J166" s="37">
        <v>16168</v>
      </c>
      <c r="K166" s="37">
        <v>13344</v>
      </c>
      <c r="L166" s="37">
        <v>18909</v>
      </c>
      <c r="M166" s="37">
        <v>42082</v>
      </c>
      <c r="N166" s="37">
        <v>70409</v>
      </c>
      <c r="O166" s="37">
        <v>114724</v>
      </c>
      <c r="P166" s="37">
        <v>57098</v>
      </c>
      <c r="Q166" s="37">
        <v>36269</v>
      </c>
      <c r="R166" s="37">
        <v>8100</v>
      </c>
      <c r="S166" s="37">
        <v>23805</v>
      </c>
      <c r="T166" s="37">
        <v>28135</v>
      </c>
      <c r="U166" s="47">
        <f t="shared" si="2"/>
        <v>-9.3511835500921014E-2</v>
      </c>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row>
    <row r="167" spans="1:52" x14ac:dyDescent="0.35">
      <c r="A167" s="38">
        <v>42369</v>
      </c>
      <c r="B167" s="39">
        <v>42369</v>
      </c>
      <c r="C167" s="37">
        <v>613191</v>
      </c>
      <c r="D167" s="37">
        <v>212456</v>
      </c>
      <c r="E167" s="37">
        <v>54730</v>
      </c>
      <c r="F167" s="37">
        <v>44799</v>
      </c>
      <c r="G167" s="37">
        <v>438</v>
      </c>
      <c r="H167" s="37">
        <v>157288</v>
      </c>
      <c r="I167" s="37">
        <v>76049</v>
      </c>
      <c r="J167" s="37">
        <v>14547</v>
      </c>
      <c r="K167" s="37">
        <v>11764</v>
      </c>
      <c r="L167" s="37">
        <v>18914</v>
      </c>
      <c r="M167" s="37">
        <v>42589</v>
      </c>
      <c r="N167" s="37">
        <v>65199</v>
      </c>
      <c r="O167" s="37">
        <v>108869</v>
      </c>
      <c r="P167" s="37">
        <v>56036</v>
      </c>
      <c r="Q167" s="37">
        <v>35495</v>
      </c>
      <c r="R167" s="37">
        <v>10749</v>
      </c>
      <c r="S167" s="37">
        <v>23118</v>
      </c>
      <c r="T167" s="37">
        <v>25220</v>
      </c>
      <c r="U167" s="47">
        <f t="shared" si="2"/>
        <v>-0.10544835463978885</v>
      </c>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row>
    <row r="168" spans="1:52" x14ac:dyDescent="0.35">
      <c r="A168" s="38">
        <v>42398</v>
      </c>
      <c r="B168" s="39">
        <v>42398</v>
      </c>
      <c r="C168" s="37">
        <v>610597</v>
      </c>
      <c r="D168" s="37">
        <v>210536</v>
      </c>
      <c r="E168" s="37">
        <v>54063</v>
      </c>
      <c r="F168" s="37">
        <v>44021</v>
      </c>
      <c r="G168" s="37">
        <v>502</v>
      </c>
      <c r="H168" s="37">
        <v>155971</v>
      </c>
      <c r="I168" s="37">
        <v>76824</v>
      </c>
      <c r="J168" s="37">
        <v>14976</v>
      </c>
      <c r="K168" s="37">
        <v>11944</v>
      </c>
      <c r="L168" s="37">
        <v>18830</v>
      </c>
      <c r="M168" s="37">
        <v>43017</v>
      </c>
      <c r="N168" s="37">
        <v>63930</v>
      </c>
      <c r="O168" s="37">
        <v>105916</v>
      </c>
      <c r="P168" s="37">
        <v>55063</v>
      </c>
      <c r="Q168" s="37">
        <v>35336</v>
      </c>
      <c r="R168" s="37">
        <v>10027</v>
      </c>
      <c r="S168" s="37">
        <v>22962</v>
      </c>
      <c r="T168" s="37">
        <v>30002</v>
      </c>
      <c r="U168" s="47">
        <f t="shared" si="2"/>
        <v>-0.11828548571791642</v>
      </c>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row>
    <row r="169" spans="1:52" x14ac:dyDescent="0.35">
      <c r="A169" s="38" t="s">
        <v>17</v>
      </c>
      <c r="B169" s="39">
        <v>42429</v>
      </c>
      <c r="C169" s="37">
        <v>621527</v>
      </c>
      <c r="D169" s="37">
        <v>210489</v>
      </c>
      <c r="E169" s="37">
        <v>55084</v>
      </c>
      <c r="F169" s="37">
        <v>44651</v>
      </c>
      <c r="G169" s="37">
        <v>432</v>
      </c>
      <c r="H169" s="37">
        <v>154973</v>
      </c>
      <c r="I169" s="37">
        <v>74961</v>
      </c>
      <c r="J169" s="37">
        <v>14239</v>
      </c>
      <c r="K169" s="37">
        <v>11130</v>
      </c>
      <c r="L169" s="37">
        <v>18341</v>
      </c>
      <c r="M169" s="37">
        <v>42382</v>
      </c>
      <c r="N169" s="37">
        <v>67622</v>
      </c>
      <c r="O169" s="37">
        <v>112003</v>
      </c>
      <c r="P169" s="37">
        <v>56829</v>
      </c>
      <c r="Q169" s="37">
        <v>35036</v>
      </c>
      <c r="R169" s="37">
        <v>10769</v>
      </c>
      <c r="S169" s="37">
        <v>25382</v>
      </c>
      <c r="T169" s="37">
        <v>28435</v>
      </c>
      <c r="U169" s="47">
        <f t="shared" si="2"/>
        <v>-8.7396189402215385E-2</v>
      </c>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row>
    <row r="170" spans="1:52" x14ac:dyDescent="0.35">
      <c r="A170" s="38" t="s">
        <v>17</v>
      </c>
      <c r="B170" s="39">
        <v>42460</v>
      </c>
      <c r="C170" s="37">
        <v>603775</v>
      </c>
      <c r="D170" s="37">
        <v>206844</v>
      </c>
      <c r="E170" s="37">
        <v>53928</v>
      </c>
      <c r="F170" s="37">
        <v>43660</v>
      </c>
      <c r="G170" s="37">
        <v>745</v>
      </c>
      <c r="H170" s="37">
        <v>152171</v>
      </c>
      <c r="I170" s="37">
        <v>74135</v>
      </c>
      <c r="J170" s="37">
        <v>14253</v>
      </c>
      <c r="K170" s="37">
        <v>11118</v>
      </c>
      <c r="L170" s="37">
        <v>18223</v>
      </c>
      <c r="M170" s="37">
        <v>41658</v>
      </c>
      <c r="N170" s="37">
        <v>64460</v>
      </c>
      <c r="O170" s="37">
        <v>109422</v>
      </c>
      <c r="P170" s="37">
        <v>52906</v>
      </c>
      <c r="Q170" s="37">
        <v>34440</v>
      </c>
      <c r="R170" s="37">
        <v>10479</v>
      </c>
      <c r="S170" s="37">
        <v>23561</v>
      </c>
      <c r="T170" s="37">
        <v>27527</v>
      </c>
      <c r="U170" s="47">
        <f t="shared" si="2"/>
        <v>-0.11299563678032587</v>
      </c>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row>
    <row r="171" spans="1:52" x14ac:dyDescent="0.35">
      <c r="A171" s="38" t="s">
        <v>17</v>
      </c>
      <c r="B171" s="39">
        <v>42489</v>
      </c>
      <c r="C171" s="37">
        <v>603572</v>
      </c>
      <c r="D171" s="37">
        <v>204700</v>
      </c>
      <c r="E171" s="37">
        <v>52148</v>
      </c>
      <c r="F171" s="37">
        <v>42229</v>
      </c>
      <c r="G171" s="37">
        <v>446</v>
      </c>
      <c r="H171" s="37">
        <v>152106</v>
      </c>
      <c r="I171" s="37">
        <v>75433</v>
      </c>
      <c r="J171" s="37">
        <v>15652</v>
      </c>
      <c r="K171" s="37">
        <v>12313</v>
      </c>
      <c r="L171" s="37">
        <v>17258</v>
      </c>
      <c r="M171" s="37">
        <v>42524</v>
      </c>
      <c r="N171" s="37">
        <v>62963</v>
      </c>
      <c r="O171" s="37">
        <v>110028</v>
      </c>
      <c r="P171" s="37">
        <v>52853</v>
      </c>
      <c r="Q171" s="37">
        <v>34889</v>
      </c>
      <c r="R171" s="37">
        <v>11041</v>
      </c>
      <c r="S171" s="37">
        <v>23940</v>
      </c>
      <c r="T171" s="37">
        <v>27724</v>
      </c>
      <c r="U171" s="47">
        <f t="shared" si="2"/>
        <v>-8.5699224111030037E-2</v>
      </c>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row>
    <row r="172" spans="1:52" x14ac:dyDescent="0.35">
      <c r="A172" s="38" t="s">
        <v>17</v>
      </c>
      <c r="B172" s="39">
        <v>42521</v>
      </c>
      <c r="C172" s="37">
        <v>604816</v>
      </c>
      <c r="D172" s="37">
        <v>204155</v>
      </c>
      <c r="E172" s="37">
        <v>51588</v>
      </c>
      <c r="F172" s="37">
        <v>42094</v>
      </c>
      <c r="G172" s="37">
        <v>443</v>
      </c>
      <c r="H172" s="37">
        <v>152124</v>
      </c>
      <c r="I172" s="37">
        <v>74954</v>
      </c>
      <c r="J172" s="37">
        <v>15435</v>
      </c>
      <c r="K172" s="37">
        <v>12089</v>
      </c>
      <c r="L172" s="37">
        <v>17309</v>
      </c>
      <c r="M172" s="37">
        <v>42210</v>
      </c>
      <c r="N172" s="37">
        <v>64455</v>
      </c>
      <c r="O172" s="37">
        <v>109899</v>
      </c>
      <c r="P172" s="37">
        <v>52858</v>
      </c>
      <c r="Q172" s="37">
        <v>36605</v>
      </c>
      <c r="R172" s="37">
        <v>13058</v>
      </c>
      <c r="S172" s="37">
        <v>22728</v>
      </c>
      <c r="T172" s="37">
        <v>26104</v>
      </c>
      <c r="U172" s="47">
        <f t="shared" si="2"/>
        <v>-8.7659595008809377E-2</v>
      </c>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row>
    <row r="173" spans="1:52" x14ac:dyDescent="0.35">
      <c r="A173" s="38" t="s">
        <v>17</v>
      </c>
      <c r="B173" s="39">
        <v>42551</v>
      </c>
      <c r="C173" s="37">
        <v>599189</v>
      </c>
      <c r="D173" s="37">
        <v>200261</v>
      </c>
      <c r="E173" s="37">
        <v>47377</v>
      </c>
      <c r="F173" s="37">
        <v>37998</v>
      </c>
      <c r="G173" s="37">
        <v>499</v>
      </c>
      <c r="H173" s="37">
        <v>152385</v>
      </c>
      <c r="I173" s="37">
        <v>74950</v>
      </c>
      <c r="J173" s="37">
        <v>16916</v>
      </c>
      <c r="K173" s="37">
        <v>13567</v>
      </c>
      <c r="L173" s="37">
        <v>17305</v>
      </c>
      <c r="M173" s="37">
        <v>40729</v>
      </c>
      <c r="N173" s="37">
        <v>62813</v>
      </c>
      <c r="O173" s="37">
        <v>100679</v>
      </c>
      <c r="P173" s="37">
        <v>52511</v>
      </c>
      <c r="Q173" s="37">
        <v>35957</v>
      </c>
      <c r="R173" s="37">
        <v>17192</v>
      </c>
      <c r="S173" s="37">
        <v>25013</v>
      </c>
      <c r="T173" s="37">
        <v>29812</v>
      </c>
      <c r="U173" s="47">
        <f t="shared" si="2"/>
        <v>-8.2376309192179198E-2</v>
      </c>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row>
    <row r="174" spans="1:52" x14ac:dyDescent="0.35">
      <c r="A174" s="38" t="s">
        <v>17</v>
      </c>
      <c r="B174" s="39">
        <v>42580</v>
      </c>
      <c r="C174" s="37">
        <v>600608</v>
      </c>
      <c r="D174" s="37">
        <v>199551</v>
      </c>
      <c r="E174" s="37">
        <v>47230</v>
      </c>
      <c r="F174" s="37">
        <v>37624</v>
      </c>
      <c r="G174" s="37">
        <v>502</v>
      </c>
      <c r="H174" s="37">
        <v>151819</v>
      </c>
      <c r="I174" s="37">
        <v>74773</v>
      </c>
      <c r="J174" s="37">
        <v>17264</v>
      </c>
      <c r="K174" s="37">
        <v>13824</v>
      </c>
      <c r="L174" s="37">
        <v>17035</v>
      </c>
      <c r="M174" s="37">
        <v>40474</v>
      </c>
      <c r="N174" s="37">
        <v>64582</v>
      </c>
      <c r="O174" s="37">
        <v>105613</v>
      </c>
      <c r="P174" s="37">
        <v>51412</v>
      </c>
      <c r="Q174" s="37">
        <v>35132</v>
      </c>
      <c r="R174" s="37">
        <v>13074</v>
      </c>
      <c r="S174" s="37">
        <v>25684</v>
      </c>
      <c r="T174" s="37">
        <v>30786</v>
      </c>
      <c r="U174" s="47">
        <f t="shared" si="2"/>
        <v>-6.7739336809215067E-2</v>
      </c>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row>
    <row r="175" spans="1:52" x14ac:dyDescent="0.35">
      <c r="A175" s="38" t="s">
        <v>17</v>
      </c>
      <c r="B175" s="39">
        <v>42613</v>
      </c>
      <c r="C175" s="37">
        <v>600612</v>
      </c>
      <c r="D175" s="37">
        <v>198698</v>
      </c>
      <c r="E175" s="37">
        <v>47198</v>
      </c>
      <c r="F175" s="37">
        <v>37673</v>
      </c>
      <c r="G175" s="37">
        <v>500</v>
      </c>
      <c r="H175" s="37">
        <v>151000</v>
      </c>
      <c r="I175" s="37">
        <v>74565</v>
      </c>
      <c r="J175" s="37">
        <v>17234</v>
      </c>
      <c r="K175" s="37">
        <v>13838</v>
      </c>
      <c r="L175" s="37">
        <v>17024</v>
      </c>
      <c r="M175" s="37">
        <v>40307</v>
      </c>
      <c r="N175" s="37">
        <v>65602</v>
      </c>
      <c r="O175" s="37">
        <v>102270</v>
      </c>
      <c r="P175" s="37">
        <v>51385</v>
      </c>
      <c r="Q175" s="37">
        <v>35287</v>
      </c>
      <c r="R175" s="37">
        <v>17444</v>
      </c>
      <c r="S175" s="37">
        <v>25338</v>
      </c>
      <c r="T175" s="37">
        <v>30024</v>
      </c>
      <c r="U175" s="47">
        <f t="shared" si="2"/>
        <v>-5.4091766699529753E-2</v>
      </c>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row>
    <row r="176" spans="1:52" x14ac:dyDescent="0.35">
      <c r="A176" s="38" t="s">
        <v>17</v>
      </c>
      <c r="B176" s="39">
        <v>42643</v>
      </c>
      <c r="C176" s="37">
        <v>596448</v>
      </c>
      <c r="D176" s="37">
        <v>199384</v>
      </c>
      <c r="E176" s="37">
        <v>46829</v>
      </c>
      <c r="F176" s="37">
        <v>37530</v>
      </c>
      <c r="G176" s="37">
        <v>572</v>
      </c>
      <c r="H176" s="37">
        <v>151983</v>
      </c>
      <c r="I176" s="37">
        <v>73580</v>
      </c>
      <c r="J176" s="37">
        <v>17253</v>
      </c>
      <c r="K176" s="37">
        <v>13852</v>
      </c>
      <c r="L176" s="37">
        <v>17181</v>
      </c>
      <c r="M176" s="37">
        <v>39146</v>
      </c>
      <c r="N176" s="37">
        <v>63261</v>
      </c>
      <c r="O176" s="37">
        <v>99786</v>
      </c>
      <c r="P176" s="37">
        <v>49428</v>
      </c>
      <c r="Q176" s="37">
        <v>35154</v>
      </c>
      <c r="R176" s="37">
        <v>20708</v>
      </c>
      <c r="S176" s="37">
        <v>25436</v>
      </c>
      <c r="T176" s="37">
        <v>29712</v>
      </c>
      <c r="U176" s="47">
        <f t="shared" si="2"/>
        <v>-4.4187544669899492E-2</v>
      </c>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row>
    <row r="177" spans="1:52" x14ac:dyDescent="0.35">
      <c r="A177" s="38" t="s">
        <v>17</v>
      </c>
      <c r="B177" s="39">
        <v>42671</v>
      </c>
      <c r="C177" s="37">
        <v>594395</v>
      </c>
      <c r="D177" s="37">
        <v>197960</v>
      </c>
      <c r="E177" s="37">
        <v>46724</v>
      </c>
      <c r="F177" s="37">
        <v>37411</v>
      </c>
      <c r="G177" s="37">
        <v>647</v>
      </c>
      <c r="H177" s="37">
        <v>150589</v>
      </c>
      <c r="I177" s="37">
        <v>73562</v>
      </c>
      <c r="J177" s="37">
        <v>17324</v>
      </c>
      <c r="K177" s="37">
        <v>13827</v>
      </c>
      <c r="L177" s="37">
        <v>17133</v>
      </c>
      <c r="M177" s="37">
        <v>39105</v>
      </c>
      <c r="N177" s="37">
        <v>64668</v>
      </c>
      <c r="O177" s="37">
        <v>98095</v>
      </c>
      <c r="P177" s="37">
        <v>49663</v>
      </c>
      <c r="Q177" s="37">
        <v>34819</v>
      </c>
      <c r="R177" s="37">
        <v>18681</v>
      </c>
      <c r="S177" s="37">
        <v>25846</v>
      </c>
      <c r="T177" s="37">
        <v>31099</v>
      </c>
      <c r="U177" s="47">
        <f t="shared" si="2"/>
        <v>-5.9011732373339898E-2</v>
      </c>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row>
    <row r="178" spans="1:52" x14ac:dyDescent="0.35">
      <c r="A178" s="38" t="s">
        <v>17</v>
      </c>
      <c r="B178" s="39">
        <v>42704</v>
      </c>
      <c r="C178" s="37">
        <v>591775</v>
      </c>
      <c r="D178" s="37">
        <v>199680</v>
      </c>
      <c r="E178" s="37">
        <v>48360</v>
      </c>
      <c r="F178" s="37">
        <v>38928</v>
      </c>
      <c r="G178" s="37">
        <v>676</v>
      </c>
      <c r="H178" s="37">
        <v>150643</v>
      </c>
      <c r="I178" s="37">
        <v>73385</v>
      </c>
      <c r="J178" s="37">
        <v>16735</v>
      </c>
      <c r="K178" s="37">
        <v>13358</v>
      </c>
      <c r="L178" s="37">
        <v>17676</v>
      </c>
      <c r="M178" s="37">
        <v>38974</v>
      </c>
      <c r="N178" s="37">
        <v>66782</v>
      </c>
      <c r="O178" s="37">
        <v>106308</v>
      </c>
      <c r="P178" s="37">
        <v>49781</v>
      </c>
      <c r="Q178" s="37">
        <v>30241</v>
      </c>
      <c r="R178" s="37">
        <v>16304</v>
      </c>
      <c r="S178" s="37">
        <v>21102</v>
      </c>
      <c r="T178" s="37">
        <v>28193</v>
      </c>
      <c r="U178" s="47">
        <f t="shared" si="2"/>
        <v>-6.5666612985225026E-2</v>
      </c>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row>
    <row r="179" spans="1:52" x14ac:dyDescent="0.35">
      <c r="A179" s="38">
        <v>42734</v>
      </c>
      <c r="B179" s="39">
        <v>42734</v>
      </c>
      <c r="C179" s="37">
        <v>590337</v>
      </c>
      <c r="D179" s="37">
        <v>197523</v>
      </c>
      <c r="E179" s="37">
        <v>49402</v>
      </c>
      <c r="F179" s="37">
        <v>39998</v>
      </c>
      <c r="G179" s="37">
        <v>605</v>
      </c>
      <c r="H179" s="37">
        <v>147516</v>
      </c>
      <c r="I179" s="37">
        <v>72621</v>
      </c>
      <c r="J179" s="37">
        <v>16646</v>
      </c>
      <c r="K179" s="37">
        <v>12882</v>
      </c>
      <c r="L179" s="37">
        <v>17721</v>
      </c>
      <c r="M179" s="37">
        <v>38254</v>
      </c>
      <c r="N179" s="37">
        <v>67790</v>
      </c>
      <c r="O179" s="37">
        <v>100825</v>
      </c>
      <c r="P179" s="37">
        <v>48596</v>
      </c>
      <c r="Q179" s="37">
        <v>29984</v>
      </c>
      <c r="R179" s="37">
        <v>19473</v>
      </c>
      <c r="S179" s="37">
        <v>22693</v>
      </c>
      <c r="T179" s="37">
        <v>30831</v>
      </c>
      <c r="U179" s="47">
        <f t="shared" si="2"/>
        <v>-3.7270605732960815E-2</v>
      </c>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row>
    <row r="180" spans="1:52" x14ac:dyDescent="0.35">
      <c r="A180" s="38">
        <v>42766</v>
      </c>
      <c r="B180" s="39">
        <v>42766</v>
      </c>
      <c r="C180" s="37">
        <v>590532</v>
      </c>
      <c r="D180" s="37">
        <v>196634</v>
      </c>
      <c r="E180" s="37">
        <v>49563</v>
      </c>
      <c r="F180" s="37">
        <v>39996</v>
      </c>
      <c r="G180" s="37">
        <v>552</v>
      </c>
      <c r="H180" s="37">
        <v>146519</v>
      </c>
      <c r="I180" s="37">
        <v>72756</v>
      </c>
      <c r="J180" s="37">
        <v>16628</v>
      </c>
      <c r="K180" s="37">
        <v>12921</v>
      </c>
      <c r="L180" s="37">
        <v>17740</v>
      </c>
      <c r="M180" s="37">
        <v>38388</v>
      </c>
      <c r="N180" s="37">
        <v>72384</v>
      </c>
      <c r="O180" s="37">
        <v>106695</v>
      </c>
      <c r="P180" s="37">
        <v>47965</v>
      </c>
      <c r="Q180" s="37">
        <v>29484</v>
      </c>
      <c r="R180" s="37">
        <v>12085</v>
      </c>
      <c r="S180" s="37">
        <v>22133</v>
      </c>
      <c r="T180" s="37">
        <v>30397</v>
      </c>
      <c r="U180" s="47">
        <f t="shared" si="2"/>
        <v>-3.2861281663683295E-2</v>
      </c>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row>
    <row r="181" spans="1:52" x14ac:dyDescent="0.35">
      <c r="A181" s="38" t="s">
        <v>17</v>
      </c>
      <c r="B181" s="39">
        <v>42794</v>
      </c>
      <c r="C181" s="37">
        <v>588545</v>
      </c>
      <c r="D181" s="37">
        <v>195629</v>
      </c>
      <c r="E181" s="37">
        <v>49434</v>
      </c>
      <c r="F181" s="37">
        <v>39901</v>
      </c>
      <c r="G181" s="37">
        <v>570</v>
      </c>
      <c r="H181" s="37">
        <v>145624</v>
      </c>
      <c r="I181" s="37">
        <v>73212</v>
      </c>
      <c r="J181" s="37">
        <v>18124</v>
      </c>
      <c r="K181" s="37">
        <v>14466</v>
      </c>
      <c r="L181" s="37">
        <v>17993</v>
      </c>
      <c r="M181" s="37">
        <v>37094</v>
      </c>
      <c r="N181" s="37">
        <v>72774</v>
      </c>
      <c r="O181" s="37">
        <v>103988</v>
      </c>
      <c r="P181" s="37">
        <v>47440</v>
      </c>
      <c r="Q181" s="37">
        <v>29626</v>
      </c>
      <c r="R181" s="37">
        <v>17430</v>
      </c>
      <c r="S181" s="37">
        <v>20319</v>
      </c>
      <c r="T181" s="37">
        <v>28128</v>
      </c>
      <c r="U181" s="47">
        <f t="shared" si="2"/>
        <v>-5.3066077579896009E-2</v>
      </c>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row>
    <row r="182" spans="1:52" x14ac:dyDescent="0.35">
      <c r="A182" s="38" t="s">
        <v>17</v>
      </c>
      <c r="B182" s="39">
        <v>42825</v>
      </c>
      <c r="C182" s="37">
        <v>581630</v>
      </c>
      <c r="D182" s="37">
        <v>196692</v>
      </c>
      <c r="E182" s="37">
        <v>49492</v>
      </c>
      <c r="F182" s="37">
        <v>39970</v>
      </c>
      <c r="G182" s="37">
        <v>545</v>
      </c>
      <c r="H182" s="37">
        <v>146654</v>
      </c>
      <c r="I182" s="37">
        <v>72300</v>
      </c>
      <c r="J182" s="37">
        <v>17881</v>
      </c>
      <c r="K182" s="37">
        <v>14426</v>
      </c>
      <c r="L182" s="37">
        <v>18167</v>
      </c>
      <c r="M182" s="37">
        <v>36253</v>
      </c>
      <c r="N182" s="37">
        <v>72525</v>
      </c>
      <c r="O182" s="37">
        <v>98929</v>
      </c>
      <c r="P182" s="37">
        <v>46669</v>
      </c>
      <c r="Q182" s="37">
        <v>29556</v>
      </c>
      <c r="R182" s="37">
        <v>20258</v>
      </c>
      <c r="S182" s="37">
        <v>18998</v>
      </c>
      <c r="T182" s="37">
        <v>25702</v>
      </c>
      <c r="U182" s="47">
        <f t="shared" si="2"/>
        <v>-3.6677570286944627E-2</v>
      </c>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row>
    <row r="183" spans="1:52" x14ac:dyDescent="0.35">
      <c r="A183" s="38" t="s">
        <v>17</v>
      </c>
      <c r="B183" s="39">
        <v>42853</v>
      </c>
      <c r="C183" s="37">
        <v>582550</v>
      </c>
      <c r="D183" s="37">
        <v>198807</v>
      </c>
      <c r="E183" s="37">
        <v>51008</v>
      </c>
      <c r="F183" s="37">
        <v>41326</v>
      </c>
      <c r="G183" s="37">
        <v>600</v>
      </c>
      <c r="H183" s="37">
        <v>147199</v>
      </c>
      <c r="I183" s="37">
        <v>70926</v>
      </c>
      <c r="J183" s="37">
        <v>17721</v>
      </c>
      <c r="K183" s="37">
        <v>14263</v>
      </c>
      <c r="L183" s="37">
        <v>18554</v>
      </c>
      <c r="M183" s="37">
        <v>34651</v>
      </c>
      <c r="N183" s="37">
        <v>72159</v>
      </c>
      <c r="O183" s="37">
        <v>103481</v>
      </c>
      <c r="P183" s="37">
        <v>44876</v>
      </c>
      <c r="Q183" s="37">
        <v>28475</v>
      </c>
      <c r="R183" s="37">
        <v>16690</v>
      </c>
      <c r="S183" s="37">
        <v>19162</v>
      </c>
      <c r="T183" s="37">
        <v>27974</v>
      </c>
      <c r="U183" s="47">
        <f t="shared" si="2"/>
        <v>-3.4829316137925503E-2</v>
      </c>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row>
    <row r="184" spans="1:52" x14ac:dyDescent="0.35">
      <c r="A184" s="38" t="s">
        <v>17</v>
      </c>
      <c r="B184" s="39">
        <v>42886</v>
      </c>
      <c r="C184" s="37">
        <v>575399</v>
      </c>
      <c r="D184" s="37">
        <v>199531</v>
      </c>
      <c r="E184" s="37">
        <v>51517</v>
      </c>
      <c r="F184" s="37">
        <v>41885</v>
      </c>
      <c r="G184" s="37">
        <v>630</v>
      </c>
      <c r="H184" s="37">
        <v>147384</v>
      </c>
      <c r="I184" s="37">
        <v>69967</v>
      </c>
      <c r="J184" s="37">
        <v>17698</v>
      </c>
      <c r="K184" s="37">
        <v>14288</v>
      </c>
      <c r="L184" s="37">
        <v>18259</v>
      </c>
      <c r="M184" s="37">
        <v>34010</v>
      </c>
      <c r="N184" s="37">
        <v>69825</v>
      </c>
      <c r="O184" s="37">
        <v>100008</v>
      </c>
      <c r="P184" s="37">
        <v>44697</v>
      </c>
      <c r="Q184" s="37">
        <v>27954</v>
      </c>
      <c r="R184" s="37">
        <v>18474</v>
      </c>
      <c r="S184" s="37">
        <v>19067</v>
      </c>
      <c r="T184" s="37">
        <v>25875</v>
      </c>
      <c r="U184" s="47">
        <f t="shared" si="2"/>
        <v>-4.8637932858919042E-2</v>
      </c>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row>
    <row r="185" spans="1:52" x14ac:dyDescent="0.35">
      <c r="A185" s="38" t="s">
        <v>17</v>
      </c>
      <c r="B185" s="39">
        <v>42916</v>
      </c>
      <c r="C185" s="37">
        <v>572546</v>
      </c>
      <c r="D185" s="37">
        <v>201642</v>
      </c>
      <c r="E185" s="37">
        <v>51639</v>
      </c>
      <c r="F185" s="37">
        <v>41885</v>
      </c>
      <c r="G185" s="37">
        <v>629</v>
      </c>
      <c r="H185" s="37">
        <v>149374</v>
      </c>
      <c r="I185" s="37">
        <v>68740</v>
      </c>
      <c r="J185" s="37">
        <v>17576</v>
      </c>
      <c r="K185" s="37">
        <v>14284</v>
      </c>
      <c r="L185" s="37">
        <v>18360</v>
      </c>
      <c r="M185" s="37">
        <v>32804</v>
      </c>
      <c r="N185" s="37">
        <v>70565</v>
      </c>
      <c r="O185" s="37">
        <v>97523</v>
      </c>
      <c r="P185" s="37">
        <v>43444</v>
      </c>
      <c r="Q185" s="37">
        <v>27914</v>
      </c>
      <c r="R185" s="37">
        <v>19857</v>
      </c>
      <c r="S185" s="37">
        <v>18095</v>
      </c>
      <c r="T185" s="37">
        <v>24765</v>
      </c>
      <c r="U185" s="47">
        <f t="shared" si="2"/>
        <v>-4.4465101996198242E-2</v>
      </c>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row>
    <row r="186" spans="1:52" x14ac:dyDescent="0.35">
      <c r="A186" s="38" t="s">
        <v>17</v>
      </c>
      <c r="B186" s="39">
        <v>42947</v>
      </c>
      <c r="C186" s="37">
        <v>568580</v>
      </c>
      <c r="D186" s="37">
        <v>198714</v>
      </c>
      <c r="E186" s="37">
        <v>50112</v>
      </c>
      <c r="F186" s="37">
        <v>40342</v>
      </c>
      <c r="G186" s="37">
        <v>586</v>
      </c>
      <c r="H186" s="37">
        <v>148016</v>
      </c>
      <c r="I186" s="37">
        <v>69716</v>
      </c>
      <c r="J186" s="37">
        <v>18832</v>
      </c>
      <c r="K186" s="37">
        <v>15509</v>
      </c>
      <c r="L186" s="37">
        <v>18276</v>
      </c>
      <c r="M186" s="37">
        <v>32608</v>
      </c>
      <c r="N186" s="37">
        <v>69448</v>
      </c>
      <c r="O186" s="37">
        <v>97984</v>
      </c>
      <c r="P186" s="37">
        <v>43422</v>
      </c>
      <c r="Q186" s="37">
        <v>27281</v>
      </c>
      <c r="R186" s="37">
        <v>19686</v>
      </c>
      <c r="S186" s="37">
        <v>18205</v>
      </c>
      <c r="T186" s="37">
        <v>24126</v>
      </c>
      <c r="U186" s="47">
        <f t="shared" si="2"/>
        <v>-5.3325963024135503E-2</v>
      </c>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row>
    <row r="187" spans="1:52" x14ac:dyDescent="0.35">
      <c r="A187" s="38" t="s">
        <v>17</v>
      </c>
      <c r="B187" s="39">
        <v>42978</v>
      </c>
      <c r="C187" s="37">
        <v>567937</v>
      </c>
      <c r="D187" s="37">
        <v>199754</v>
      </c>
      <c r="E187" s="37">
        <v>51286</v>
      </c>
      <c r="F187" s="37">
        <v>41449</v>
      </c>
      <c r="G187" s="37">
        <v>537</v>
      </c>
      <c r="H187" s="37">
        <v>147930</v>
      </c>
      <c r="I187" s="37">
        <v>68449</v>
      </c>
      <c r="J187" s="37">
        <v>17665</v>
      </c>
      <c r="K187" s="37">
        <v>14339</v>
      </c>
      <c r="L187" s="37">
        <v>18296</v>
      </c>
      <c r="M187" s="37">
        <v>32488</v>
      </c>
      <c r="N187" s="37">
        <v>68836</v>
      </c>
      <c r="O187" s="37">
        <v>98823</v>
      </c>
      <c r="P187" s="37">
        <v>44236</v>
      </c>
      <c r="Q187" s="37">
        <v>26670</v>
      </c>
      <c r="R187" s="37">
        <v>19691</v>
      </c>
      <c r="S187" s="37">
        <v>17421</v>
      </c>
      <c r="T187" s="37">
        <v>24056</v>
      </c>
      <c r="U187" s="47">
        <f t="shared" si="2"/>
        <v>-5.440284243405058E-2</v>
      </c>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row>
    <row r="188" spans="1:52" x14ac:dyDescent="0.35">
      <c r="A188" s="38" t="s">
        <v>17</v>
      </c>
      <c r="B188" s="39">
        <v>43007</v>
      </c>
      <c r="C188" s="37">
        <v>568360</v>
      </c>
      <c r="D188" s="37">
        <v>200812</v>
      </c>
      <c r="E188" s="37">
        <v>50755</v>
      </c>
      <c r="F188" s="37">
        <v>40907</v>
      </c>
      <c r="G188" s="37">
        <v>534</v>
      </c>
      <c r="H188" s="37">
        <v>149524</v>
      </c>
      <c r="I188" s="37">
        <v>67815</v>
      </c>
      <c r="J188" s="37">
        <v>17719</v>
      </c>
      <c r="K188" s="37">
        <v>14344</v>
      </c>
      <c r="L188" s="37">
        <v>18372</v>
      </c>
      <c r="M188" s="37">
        <v>31723</v>
      </c>
      <c r="N188" s="37">
        <v>68625</v>
      </c>
      <c r="O188" s="37">
        <v>101754</v>
      </c>
      <c r="P188" s="37">
        <v>43514</v>
      </c>
      <c r="Q188" s="37">
        <v>26606</v>
      </c>
      <c r="R188" s="37">
        <v>17727</v>
      </c>
      <c r="S188" s="37">
        <v>17944</v>
      </c>
      <c r="T188" s="37">
        <v>23564</v>
      </c>
      <c r="U188" s="47">
        <f t="shared" si="2"/>
        <v>-4.7092118675894579E-2</v>
      </c>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row>
    <row r="189" spans="1:52" x14ac:dyDescent="0.35">
      <c r="A189" s="38" t="s">
        <v>17</v>
      </c>
      <c r="B189" s="39">
        <v>43039</v>
      </c>
      <c r="C189" s="37">
        <v>569043</v>
      </c>
      <c r="D189" s="37">
        <v>200829</v>
      </c>
      <c r="E189" s="37">
        <v>50973</v>
      </c>
      <c r="F189" s="37">
        <v>40857</v>
      </c>
      <c r="G189" s="37">
        <v>504</v>
      </c>
      <c r="H189" s="37">
        <v>149352</v>
      </c>
      <c r="I189" s="37">
        <v>65726</v>
      </c>
      <c r="J189" s="37">
        <v>17997</v>
      </c>
      <c r="K189" s="37">
        <v>14561</v>
      </c>
      <c r="L189" s="37">
        <v>16655</v>
      </c>
      <c r="M189" s="37">
        <v>31074</v>
      </c>
      <c r="N189" s="37">
        <v>67809</v>
      </c>
      <c r="O189" s="37">
        <v>99646</v>
      </c>
      <c r="P189" s="37">
        <v>43385</v>
      </c>
      <c r="Q189" s="37">
        <v>27092</v>
      </c>
      <c r="R189" s="37">
        <v>21324</v>
      </c>
      <c r="S189" s="37">
        <v>17735</v>
      </c>
      <c r="T189" s="37">
        <v>25497</v>
      </c>
      <c r="U189" s="47">
        <f t="shared" si="2"/>
        <v>-4.2651771969818064E-2</v>
      </c>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row>
    <row r="190" spans="1:52" x14ac:dyDescent="0.35">
      <c r="A190" s="38" t="s">
        <v>17</v>
      </c>
      <c r="B190" s="39">
        <v>43069</v>
      </c>
      <c r="C190" s="37">
        <v>556679</v>
      </c>
      <c r="D190" s="37">
        <v>196537</v>
      </c>
      <c r="E190" s="37">
        <v>45877</v>
      </c>
      <c r="F190" s="37">
        <v>36031</v>
      </c>
      <c r="G190" s="37">
        <v>561</v>
      </c>
      <c r="H190" s="37">
        <v>150099</v>
      </c>
      <c r="I190" s="37">
        <v>65930</v>
      </c>
      <c r="J190" s="37">
        <v>18446</v>
      </c>
      <c r="K190" s="37">
        <v>15088</v>
      </c>
      <c r="L190" s="37">
        <v>16546</v>
      </c>
      <c r="M190" s="37">
        <v>30937</v>
      </c>
      <c r="N190" s="37">
        <v>64047</v>
      </c>
      <c r="O190" s="37">
        <v>101416</v>
      </c>
      <c r="P190" s="37">
        <v>42318</v>
      </c>
      <c r="Q190" s="37">
        <v>26933</v>
      </c>
      <c r="R190" s="37">
        <v>19026</v>
      </c>
      <c r="S190" s="37">
        <v>15699</v>
      </c>
      <c r="T190" s="37">
        <v>24773</v>
      </c>
      <c r="U190" s="47">
        <f t="shared" si="2"/>
        <v>-5.9306324194161597E-2</v>
      </c>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row>
    <row r="191" spans="1:52" x14ac:dyDescent="0.35">
      <c r="A191" s="38">
        <v>43098</v>
      </c>
      <c r="B191" s="39">
        <v>43098</v>
      </c>
      <c r="C191" s="37">
        <v>552080</v>
      </c>
      <c r="D191" s="37">
        <v>194335</v>
      </c>
      <c r="E191" s="37">
        <v>45502</v>
      </c>
      <c r="F191" s="37">
        <v>35782</v>
      </c>
      <c r="G191" s="37">
        <v>427</v>
      </c>
      <c r="H191" s="37">
        <v>148406</v>
      </c>
      <c r="I191" s="37">
        <v>65506</v>
      </c>
      <c r="J191" s="37">
        <v>18309</v>
      </c>
      <c r="K191" s="37">
        <v>15059</v>
      </c>
      <c r="L191" s="37">
        <v>16459</v>
      </c>
      <c r="M191" s="37">
        <v>30738</v>
      </c>
      <c r="N191" s="37">
        <v>64623</v>
      </c>
      <c r="O191" s="37">
        <v>97737</v>
      </c>
      <c r="P191" s="37">
        <v>41271</v>
      </c>
      <c r="Q191" s="37">
        <v>25936</v>
      </c>
      <c r="R191" s="37">
        <v>23356</v>
      </c>
      <c r="S191" s="37">
        <v>15912</v>
      </c>
      <c r="T191" s="37">
        <v>23404</v>
      </c>
      <c r="U191" s="47">
        <f t="shared" si="2"/>
        <v>-6.4805356940188408E-2</v>
      </c>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row>
    <row r="192" spans="1:52" x14ac:dyDescent="0.35">
      <c r="A192" s="38">
        <v>43131</v>
      </c>
      <c r="B192" s="39">
        <v>43131</v>
      </c>
      <c r="C192" s="37">
        <v>546301</v>
      </c>
      <c r="D192" s="37">
        <v>193710</v>
      </c>
      <c r="E192" s="37">
        <v>45227</v>
      </c>
      <c r="F192" s="37">
        <v>35153</v>
      </c>
      <c r="G192" s="37">
        <v>534</v>
      </c>
      <c r="H192" s="37">
        <v>147948</v>
      </c>
      <c r="I192" s="37">
        <v>66020</v>
      </c>
      <c r="J192" s="37">
        <v>18427</v>
      </c>
      <c r="K192" s="37">
        <v>15118</v>
      </c>
      <c r="L192" s="37">
        <v>16820</v>
      </c>
      <c r="M192" s="37">
        <v>30774</v>
      </c>
      <c r="N192" s="37">
        <v>67051</v>
      </c>
      <c r="O192" s="37">
        <v>95167</v>
      </c>
      <c r="P192" s="37">
        <v>39687</v>
      </c>
      <c r="Q192" s="37">
        <v>25264</v>
      </c>
      <c r="R192" s="37">
        <v>18339</v>
      </c>
      <c r="S192" s="37">
        <v>16627</v>
      </c>
      <c r="T192" s="37">
        <v>24436</v>
      </c>
      <c r="U192" s="47">
        <f t="shared" si="2"/>
        <v>-7.4900259427092886E-2</v>
      </c>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row>
    <row r="193" spans="1:52" x14ac:dyDescent="0.35">
      <c r="A193" s="38" t="s">
        <v>17</v>
      </c>
      <c r="B193" s="39">
        <v>43159</v>
      </c>
      <c r="C193" s="37">
        <v>551745</v>
      </c>
      <c r="D193" s="37">
        <v>193863</v>
      </c>
      <c r="E193" s="37">
        <v>46548</v>
      </c>
      <c r="F193" s="37">
        <v>36345</v>
      </c>
      <c r="G193" s="37">
        <v>566</v>
      </c>
      <c r="H193" s="37">
        <v>146749</v>
      </c>
      <c r="I193" s="37">
        <v>66531</v>
      </c>
      <c r="J193" s="37">
        <v>19359</v>
      </c>
      <c r="K193" s="37">
        <v>16142</v>
      </c>
      <c r="L193" s="37">
        <v>16748</v>
      </c>
      <c r="M193" s="37">
        <v>30424</v>
      </c>
      <c r="N193" s="37">
        <v>68861</v>
      </c>
      <c r="O193" s="37">
        <v>98322</v>
      </c>
      <c r="P193" s="37">
        <v>42692</v>
      </c>
      <c r="Q193" s="37">
        <v>23424</v>
      </c>
      <c r="R193" s="37">
        <v>17854</v>
      </c>
      <c r="S193" s="37">
        <v>16643</v>
      </c>
      <c r="T193" s="37">
        <v>23557</v>
      </c>
      <c r="U193" s="47">
        <f t="shared" si="2"/>
        <v>-6.2527079492647131E-2</v>
      </c>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row>
    <row r="194" spans="1:52" x14ac:dyDescent="0.35">
      <c r="A194" s="38" t="s">
        <v>17</v>
      </c>
      <c r="B194" s="39">
        <v>43188</v>
      </c>
      <c r="C194" s="37">
        <v>557799</v>
      </c>
      <c r="D194" s="37">
        <v>192867</v>
      </c>
      <c r="E194" s="37">
        <v>44642</v>
      </c>
      <c r="F194" s="37">
        <v>34424</v>
      </c>
      <c r="G194" s="37">
        <v>622</v>
      </c>
      <c r="H194" s="37">
        <v>147603</v>
      </c>
      <c r="I194" s="37">
        <v>66105</v>
      </c>
      <c r="J194" s="37">
        <v>19338</v>
      </c>
      <c r="K194" s="37">
        <v>16106</v>
      </c>
      <c r="L194" s="37">
        <v>16632</v>
      </c>
      <c r="M194" s="37">
        <v>30136</v>
      </c>
      <c r="N194" s="37">
        <v>65421</v>
      </c>
      <c r="O194" s="37">
        <v>99773</v>
      </c>
      <c r="P194" s="37">
        <v>43061</v>
      </c>
      <c r="Q194" s="37">
        <v>24035</v>
      </c>
      <c r="R194" s="37">
        <v>25325</v>
      </c>
      <c r="S194" s="37">
        <v>17939</v>
      </c>
      <c r="T194" s="37">
        <v>23273</v>
      </c>
      <c r="U194" s="47">
        <f t="shared" si="2"/>
        <v>-4.0972783384625955E-2</v>
      </c>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row>
    <row r="195" spans="1:52" x14ac:dyDescent="0.35">
      <c r="A195" s="38"/>
      <c r="B195" s="39">
        <v>43220</v>
      </c>
      <c r="C195" s="37">
        <v>553037</v>
      </c>
      <c r="D195" s="37">
        <v>191421</v>
      </c>
      <c r="E195" s="37">
        <v>45026</v>
      </c>
      <c r="F195" s="37">
        <v>34869</v>
      </c>
      <c r="G195" s="37">
        <v>619</v>
      </c>
      <c r="H195" s="37">
        <v>145776</v>
      </c>
      <c r="I195" s="37">
        <v>64856</v>
      </c>
      <c r="J195" s="37">
        <v>19140</v>
      </c>
      <c r="K195" s="37">
        <v>16085</v>
      </c>
      <c r="L195" s="37">
        <v>16714</v>
      </c>
      <c r="M195" s="37">
        <v>29002</v>
      </c>
      <c r="N195" s="37">
        <v>65610</v>
      </c>
      <c r="O195" s="37">
        <v>97378</v>
      </c>
      <c r="P195" s="37">
        <v>42721</v>
      </c>
      <c r="Q195" s="37">
        <v>23878</v>
      </c>
      <c r="R195" s="37">
        <v>24640</v>
      </c>
      <c r="S195" s="37">
        <v>18882</v>
      </c>
      <c r="T195" s="37">
        <v>23652</v>
      </c>
      <c r="U195" s="47">
        <f t="shared" si="2"/>
        <v>-5.0661745772895062E-2</v>
      </c>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row>
    <row r="196" spans="1:52" x14ac:dyDescent="0.35">
      <c r="A196" s="38"/>
      <c r="B196" s="39">
        <v>43251</v>
      </c>
      <c r="C196" s="37">
        <v>564220</v>
      </c>
      <c r="D196" s="37">
        <v>191146</v>
      </c>
      <c r="E196" s="37">
        <v>46111</v>
      </c>
      <c r="F196" s="37">
        <v>35730</v>
      </c>
      <c r="G196" s="37">
        <v>586</v>
      </c>
      <c r="H196" s="37">
        <v>144449</v>
      </c>
      <c r="I196" s="37">
        <v>65239</v>
      </c>
      <c r="J196" s="37">
        <v>19119</v>
      </c>
      <c r="K196" s="37">
        <v>16078</v>
      </c>
      <c r="L196" s="37">
        <v>17431</v>
      </c>
      <c r="M196" s="37">
        <v>28689</v>
      </c>
      <c r="N196" s="37">
        <v>68275</v>
      </c>
      <c r="O196" s="37">
        <v>102921</v>
      </c>
      <c r="P196" s="37">
        <v>42571</v>
      </c>
      <c r="Q196" s="37">
        <v>24094</v>
      </c>
      <c r="R196" s="37">
        <v>24965</v>
      </c>
      <c r="S196" s="37">
        <v>19581</v>
      </c>
      <c r="T196" s="37">
        <v>25428</v>
      </c>
      <c r="U196" s="47">
        <f t="shared" si="2"/>
        <v>-1.9428257609067745E-2</v>
      </c>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row>
    <row r="197" spans="1:52" x14ac:dyDescent="0.35">
      <c r="A197" s="38"/>
      <c r="B197" s="39">
        <v>43280</v>
      </c>
      <c r="C197" s="37">
        <v>559915</v>
      </c>
      <c r="D197" s="37">
        <v>193339</v>
      </c>
      <c r="E197" s="37">
        <v>45605</v>
      </c>
      <c r="F197" s="37">
        <v>35529</v>
      </c>
      <c r="G197" s="37">
        <v>506</v>
      </c>
      <c r="H197" s="37">
        <v>147228</v>
      </c>
      <c r="I197" s="37">
        <v>63476</v>
      </c>
      <c r="J197" s="37">
        <v>19131</v>
      </c>
      <c r="K197" s="37">
        <v>16085</v>
      </c>
      <c r="L197" s="37">
        <v>17350</v>
      </c>
      <c r="M197" s="37">
        <v>26995</v>
      </c>
      <c r="N197" s="37">
        <v>68743</v>
      </c>
      <c r="O197" s="37">
        <v>96692</v>
      </c>
      <c r="P197" s="37">
        <v>43081</v>
      </c>
      <c r="Q197" s="37">
        <v>24937</v>
      </c>
      <c r="R197" s="37">
        <v>26549</v>
      </c>
      <c r="S197" s="37">
        <v>18429</v>
      </c>
      <c r="T197" s="37">
        <v>24668</v>
      </c>
      <c r="U197" s="47">
        <f t="shared" si="2"/>
        <v>-2.2061109500371989E-2</v>
      </c>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row>
    <row r="198" spans="1:52" x14ac:dyDescent="0.35">
      <c r="A198" s="38"/>
      <c r="B198" s="39">
        <v>43312</v>
      </c>
      <c r="C198" s="37">
        <v>559638</v>
      </c>
      <c r="D198" s="37">
        <v>194111</v>
      </c>
      <c r="E198" s="37">
        <v>45947</v>
      </c>
      <c r="F198" s="37">
        <v>35816</v>
      </c>
      <c r="G198" s="37">
        <v>539</v>
      </c>
      <c r="H198" s="37">
        <v>147624</v>
      </c>
      <c r="I198" s="37">
        <v>63092</v>
      </c>
      <c r="J198" s="37">
        <v>18803</v>
      </c>
      <c r="K198" s="37">
        <v>16095</v>
      </c>
      <c r="L198" s="37">
        <v>17407</v>
      </c>
      <c r="M198" s="37">
        <v>26882</v>
      </c>
      <c r="N198" s="37">
        <v>66452</v>
      </c>
      <c r="O198" s="37">
        <v>102701</v>
      </c>
      <c r="P198" s="37">
        <v>42543</v>
      </c>
      <c r="Q198" s="37">
        <v>25565</v>
      </c>
      <c r="R198" s="37">
        <v>22298</v>
      </c>
      <c r="S198" s="37">
        <v>18846</v>
      </c>
      <c r="T198" s="37">
        <v>24030</v>
      </c>
      <c r="U198" s="47">
        <f t="shared" si="2"/>
        <v>-1.5726898589468519E-2</v>
      </c>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row>
    <row r="199" spans="1:52" x14ac:dyDescent="0.35">
      <c r="A199" s="38"/>
      <c r="B199" s="39">
        <v>43343</v>
      </c>
      <c r="C199" s="37">
        <v>559099</v>
      </c>
      <c r="D199" s="37">
        <v>195202</v>
      </c>
      <c r="E199" s="37">
        <v>46194</v>
      </c>
      <c r="F199" s="37">
        <v>35929</v>
      </c>
      <c r="G199" s="37">
        <v>552</v>
      </c>
      <c r="H199" s="37">
        <v>148456</v>
      </c>
      <c r="I199" s="37">
        <v>63130</v>
      </c>
      <c r="J199" s="37">
        <v>18815</v>
      </c>
      <c r="K199" s="37">
        <v>16094</v>
      </c>
      <c r="L199" s="37">
        <v>17749</v>
      </c>
      <c r="M199" s="37">
        <v>26566</v>
      </c>
      <c r="N199" s="37">
        <v>65534</v>
      </c>
      <c r="O199" s="37">
        <v>100898</v>
      </c>
      <c r="P199" s="37">
        <v>42597</v>
      </c>
      <c r="Q199" s="37">
        <v>26798</v>
      </c>
      <c r="R199" s="37">
        <v>23847</v>
      </c>
      <c r="S199" s="37">
        <v>18176</v>
      </c>
      <c r="T199" s="37">
        <v>22918</v>
      </c>
      <c r="U199" s="47">
        <f t="shared" si="2"/>
        <v>-1.5561585175820514E-2</v>
      </c>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row>
    <row r="200" spans="1:52" x14ac:dyDescent="0.35">
      <c r="A200" s="38"/>
      <c r="B200" s="39">
        <v>43371</v>
      </c>
      <c r="C200" s="37">
        <v>556669</v>
      </c>
      <c r="D200" s="37">
        <v>196577</v>
      </c>
      <c r="E200" s="37">
        <v>45922</v>
      </c>
      <c r="F200" s="37">
        <v>35662</v>
      </c>
      <c r="G200" s="37">
        <v>570</v>
      </c>
      <c r="H200" s="37">
        <v>150084</v>
      </c>
      <c r="I200" s="37">
        <v>62517</v>
      </c>
      <c r="J200" s="37">
        <v>18739</v>
      </c>
      <c r="K200" s="37">
        <v>16029</v>
      </c>
      <c r="L200" s="37">
        <v>17532</v>
      </c>
      <c r="M200" s="37">
        <v>26246</v>
      </c>
      <c r="N200" s="37">
        <v>65481</v>
      </c>
      <c r="O200" s="37">
        <v>98362</v>
      </c>
      <c r="P200" s="37">
        <v>43581</v>
      </c>
      <c r="Q200" s="37">
        <v>25450</v>
      </c>
      <c r="R200" s="37">
        <v>22799</v>
      </c>
      <c r="S200" s="37">
        <v>18664</v>
      </c>
      <c r="T200" s="37">
        <v>23236</v>
      </c>
      <c r="U200" s="47">
        <f t="shared" si="2"/>
        <v>-2.0569709339151254E-2</v>
      </c>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row>
    <row r="201" spans="1:52" x14ac:dyDescent="0.35">
      <c r="A201" s="38"/>
      <c r="B201" s="39">
        <v>43404</v>
      </c>
      <c r="C201" s="37">
        <v>556034</v>
      </c>
      <c r="D201" s="37">
        <v>194411</v>
      </c>
      <c r="E201" s="37">
        <v>43581</v>
      </c>
      <c r="F201" s="37">
        <v>33433</v>
      </c>
      <c r="G201" s="37">
        <v>550</v>
      </c>
      <c r="H201" s="37">
        <v>150281</v>
      </c>
      <c r="I201" s="37">
        <v>62546</v>
      </c>
      <c r="J201" s="37">
        <v>18771</v>
      </c>
      <c r="K201" s="37">
        <v>16052</v>
      </c>
      <c r="L201" s="37">
        <v>16381</v>
      </c>
      <c r="M201" s="37">
        <v>27394</v>
      </c>
      <c r="N201" s="37">
        <v>65202</v>
      </c>
      <c r="O201" s="37">
        <v>97189</v>
      </c>
      <c r="P201" s="37">
        <v>42685</v>
      </c>
      <c r="Q201" s="37">
        <v>25527</v>
      </c>
      <c r="R201" s="37">
        <v>24729</v>
      </c>
      <c r="S201" s="37">
        <v>19217</v>
      </c>
      <c r="T201" s="37">
        <v>24529</v>
      </c>
      <c r="U201" s="47">
        <f t="shared" si="2"/>
        <v>-2.2861189751916866E-2</v>
      </c>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row>
    <row r="202" spans="1:52" x14ac:dyDescent="0.35">
      <c r="A202" s="38"/>
      <c r="B202" s="39">
        <v>43434</v>
      </c>
      <c r="C202" s="37">
        <v>557384</v>
      </c>
      <c r="D202" s="37">
        <v>189249</v>
      </c>
      <c r="E202" s="37">
        <v>39857</v>
      </c>
      <c r="F202" s="37">
        <v>29708</v>
      </c>
      <c r="G202" s="37">
        <v>541</v>
      </c>
      <c r="H202" s="37">
        <v>148852</v>
      </c>
      <c r="I202" s="37">
        <v>63935</v>
      </c>
      <c r="J202" s="37">
        <v>21670</v>
      </c>
      <c r="K202" s="37">
        <v>18965</v>
      </c>
      <c r="L202" s="37">
        <v>16622</v>
      </c>
      <c r="M202" s="37">
        <v>25643</v>
      </c>
      <c r="N202" s="37">
        <v>69227</v>
      </c>
      <c r="O202" s="37">
        <v>103398</v>
      </c>
      <c r="P202" s="37">
        <v>43608</v>
      </c>
      <c r="Q202" s="37">
        <v>24609</v>
      </c>
      <c r="R202" s="37">
        <v>21051</v>
      </c>
      <c r="S202" s="37">
        <v>19096</v>
      </c>
      <c r="T202" s="37">
        <v>23211</v>
      </c>
      <c r="U202" s="47">
        <f t="shared" si="2"/>
        <v>1.2664390070400433E-3</v>
      </c>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row>
    <row r="203" spans="1:52" x14ac:dyDescent="0.35">
      <c r="A203" s="38">
        <v>43465</v>
      </c>
      <c r="B203" s="39">
        <v>43465</v>
      </c>
      <c r="C203" s="37">
        <v>599797</v>
      </c>
      <c r="D203" s="37">
        <v>190403</v>
      </c>
      <c r="E203" s="37">
        <v>39920</v>
      </c>
      <c r="F203" s="37">
        <v>29687</v>
      </c>
      <c r="G203" s="37">
        <v>434</v>
      </c>
      <c r="H203" s="37">
        <v>150048</v>
      </c>
      <c r="I203" s="37">
        <v>62741</v>
      </c>
      <c r="J203" s="37">
        <v>22103</v>
      </c>
      <c r="K203" s="37">
        <v>19446</v>
      </c>
      <c r="L203" s="37">
        <v>16821</v>
      </c>
      <c r="M203" s="37">
        <v>23817</v>
      </c>
      <c r="N203" s="37">
        <v>94659</v>
      </c>
      <c r="O203" s="37">
        <v>117693</v>
      </c>
      <c r="P203" s="37">
        <v>44347</v>
      </c>
      <c r="Q203" s="37">
        <v>25897</v>
      </c>
      <c r="R203" s="37">
        <v>22838</v>
      </c>
      <c r="S203" s="37">
        <v>17569</v>
      </c>
      <c r="T203" s="37">
        <v>23650</v>
      </c>
      <c r="U203" s="47">
        <f t="shared" si="2"/>
        <v>8.643131430227502E-2</v>
      </c>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7"/>
    </row>
    <row r="204" spans="1:52" x14ac:dyDescent="0.35">
      <c r="A204" s="38">
        <v>43496</v>
      </c>
      <c r="B204" s="39">
        <v>43496</v>
      </c>
      <c r="C204" s="37">
        <v>612434</v>
      </c>
      <c r="D204" s="37">
        <v>190046</v>
      </c>
      <c r="E204" s="37">
        <v>39577</v>
      </c>
      <c r="F204" s="37">
        <v>29206</v>
      </c>
      <c r="G204" s="37">
        <v>440</v>
      </c>
      <c r="H204" s="37">
        <v>150030</v>
      </c>
      <c r="I204" s="37">
        <v>62954</v>
      </c>
      <c r="J204" s="37">
        <v>22078</v>
      </c>
      <c r="K204" s="37">
        <v>19403</v>
      </c>
      <c r="L204" s="37">
        <v>17675</v>
      </c>
      <c r="M204" s="37">
        <v>23202</v>
      </c>
      <c r="N204" s="37">
        <v>102120</v>
      </c>
      <c r="O204" s="37">
        <v>119770</v>
      </c>
      <c r="P204" s="37">
        <v>44987</v>
      </c>
      <c r="Q204" s="37">
        <v>25675</v>
      </c>
      <c r="R204" s="37">
        <v>21450</v>
      </c>
      <c r="S204" s="37">
        <v>18286</v>
      </c>
      <c r="T204" s="37">
        <v>27147</v>
      </c>
      <c r="U204" s="47">
        <f t="shared" si="2"/>
        <v>0.12105597463669304</v>
      </c>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row>
    <row r="205" spans="1:52" x14ac:dyDescent="0.35">
      <c r="A205" s="38" t="s">
        <v>17</v>
      </c>
      <c r="B205" s="39">
        <v>43524</v>
      </c>
      <c r="C205" s="37">
        <v>606829</v>
      </c>
      <c r="D205" s="37">
        <v>189157</v>
      </c>
      <c r="E205" s="37">
        <v>40279</v>
      </c>
      <c r="F205" s="37">
        <v>29849</v>
      </c>
      <c r="G205" s="37">
        <v>525</v>
      </c>
      <c r="H205" s="37">
        <v>148354</v>
      </c>
      <c r="I205" s="37">
        <v>62279</v>
      </c>
      <c r="J205" s="37">
        <v>21530</v>
      </c>
      <c r="K205" s="37">
        <v>18918</v>
      </c>
      <c r="L205" s="37">
        <v>17973</v>
      </c>
      <c r="M205" s="37">
        <v>22776</v>
      </c>
      <c r="N205" s="37">
        <v>102332</v>
      </c>
      <c r="O205" s="37">
        <v>116307</v>
      </c>
      <c r="P205" s="37">
        <v>45772</v>
      </c>
      <c r="Q205" s="37">
        <v>25144</v>
      </c>
      <c r="R205" s="37">
        <v>22235</v>
      </c>
      <c r="S205" s="37">
        <v>19098</v>
      </c>
      <c r="T205" s="37">
        <v>24504</v>
      </c>
      <c r="U205" s="47">
        <f t="shared" si="2"/>
        <v>9.9835974952197093E-2</v>
      </c>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row>
    <row r="206" spans="1:52" x14ac:dyDescent="0.35">
      <c r="A206" s="38" t="s">
        <v>17</v>
      </c>
      <c r="B206" s="39">
        <v>43553</v>
      </c>
      <c r="C206" s="37">
        <v>636571</v>
      </c>
      <c r="D206" s="37">
        <v>187906</v>
      </c>
      <c r="E206" s="37">
        <v>39460</v>
      </c>
      <c r="F206" s="37">
        <v>28710</v>
      </c>
      <c r="G206" s="37">
        <v>538</v>
      </c>
      <c r="H206" s="37">
        <v>147908</v>
      </c>
      <c r="I206" s="37">
        <v>62659</v>
      </c>
      <c r="J206" s="37">
        <v>21501</v>
      </c>
      <c r="K206" s="37">
        <v>18933</v>
      </c>
      <c r="L206" s="37">
        <v>18243</v>
      </c>
      <c r="M206" s="37">
        <v>22915</v>
      </c>
      <c r="N206" s="37">
        <v>126815</v>
      </c>
      <c r="O206" s="37">
        <v>119784</v>
      </c>
      <c r="P206" s="37">
        <v>45014</v>
      </c>
      <c r="Q206" s="37">
        <v>25443</v>
      </c>
      <c r="R206" s="37">
        <v>21586</v>
      </c>
      <c r="S206" s="37">
        <v>20043</v>
      </c>
      <c r="T206" s="37">
        <v>27321</v>
      </c>
      <c r="U206" s="47">
        <f t="shared" si="2"/>
        <v>0.14121932810922933</v>
      </c>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row>
    <row r="207" spans="1:52" x14ac:dyDescent="0.35">
      <c r="A207" s="38" t="s">
        <v>17</v>
      </c>
      <c r="B207" s="39">
        <v>43585</v>
      </c>
      <c r="C207" s="37">
        <v>640124</v>
      </c>
      <c r="D207" s="37">
        <v>188854</v>
      </c>
      <c r="E207" s="37">
        <v>40643</v>
      </c>
      <c r="F207" s="37">
        <v>29751</v>
      </c>
      <c r="G207" s="37">
        <v>541</v>
      </c>
      <c r="H207" s="37">
        <v>147669</v>
      </c>
      <c r="I207" s="37">
        <v>62329</v>
      </c>
      <c r="J207" s="37">
        <v>21587</v>
      </c>
      <c r="K207" s="37">
        <v>18986</v>
      </c>
      <c r="L207" s="37">
        <v>18200</v>
      </c>
      <c r="M207" s="37">
        <v>22543</v>
      </c>
      <c r="N207" s="37">
        <v>124327</v>
      </c>
      <c r="O207" s="37">
        <v>122283</v>
      </c>
      <c r="P207" s="37">
        <v>44409</v>
      </c>
      <c r="Q207" s="37">
        <v>26347</v>
      </c>
      <c r="R207" s="37">
        <v>23857</v>
      </c>
      <c r="S207" s="37">
        <v>21652</v>
      </c>
      <c r="T207" s="37">
        <v>26065</v>
      </c>
      <c r="U207" s="47">
        <f t="shared" si="2"/>
        <v>0.15747047665888547</v>
      </c>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row>
    <row r="208" spans="1:52" x14ac:dyDescent="0.35">
      <c r="A208" s="38" t="s">
        <v>17</v>
      </c>
      <c r="B208" s="39">
        <v>43616</v>
      </c>
      <c r="C208" s="37">
        <v>635232</v>
      </c>
      <c r="D208" s="37">
        <v>190180</v>
      </c>
      <c r="E208" s="37">
        <v>41397</v>
      </c>
      <c r="F208" s="37">
        <v>30696</v>
      </c>
      <c r="G208" s="37">
        <v>537</v>
      </c>
      <c r="H208" s="37">
        <v>148247</v>
      </c>
      <c r="I208" s="37">
        <v>62076</v>
      </c>
      <c r="J208" s="37">
        <v>21466</v>
      </c>
      <c r="K208" s="37">
        <v>18955</v>
      </c>
      <c r="L208" s="37">
        <v>18360</v>
      </c>
      <c r="M208" s="37">
        <v>22250</v>
      </c>
      <c r="N208" s="37">
        <v>124908</v>
      </c>
      <c r="O208" s="37">
        <v>114117</v>
      </c>
      <c r="P208" s="37">
        <v>43985</v>
      </c>
      <c r="Q208" s="37">
        <v>26508</v>
      </c>
      <c r="R208" s="37">
        <v>22276</v>
      </c>
      <c r="S208" s="37">
        <v>21987</v>
      </c>
      <c r="T208" s="37">
        <v>29194</v>
      </c>
      <c r="U208" s="47">
        <f t="shared" si="2"/>
        <v>0.12585870759632778</v>
      </c>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row>
    <row r="209" spans="1:52" x14ac:dyDescent="0.35">
      <c r="A209" s="38" t="s">
        <v>17</v>
      </c>
      <c r="B209" s="39">
        <v>43644</v>
      </c>
      <c r="C209" s="37">
        <v>645772</v>
      </c>
      <c r="D209" s="37">
        <v>190154</v>
      </c>
      <c r="E209" s="37">
        <v>41412</v>
      </c>
      <c r="F209" s="37">
        <v>30698</v>
      </c>
      <c r="G209" s="37">
        <v>541</v>
      </c>
      <c r="H209" s="37">
        <v>148201</v>
      </c>
      <c r="I209" s="37">
        <v>59617</v>
      </c>
      <c r="J209" s="37">
        <v>20699</v>
      </c>
      <c r="K209" s="37">
        <v>18283</v>
      </c>
      <c r="L209" s="37">
        <v>16971</v>
      </c>
      <c r="M209" s="37">
        <v>21947</v>
      </c>
      <c r="N209" s="37">
        <v>132026</v>
      </c>
      <c r="O209" s="37">
        <v>115140</v>
      </c>
      <c r="P209" s="37">
        <v>40551</v>
      </c>
      <c r="Q209" s="37">
        <v>25637</v>
      </c>
      <c r="R209" s="37">
        <v>25170</v>
      </c>
      <c r="S209" s="37">
        <v>19565</v>
      </c>
      <c r="T209" s="37">
        <v>37913</v>
      </c>
      <c r="U209" s="47">
        <f t="shared" si="2"/>
        <v>0.15333934615075506</v>
      </c>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row>
    <row r="210" spans="1:52" x14ac:dyDescent="0.35">
      <c r="A210" s="38" t="s">
        <v>17</v>
      </c>
      <c r="B210" s="39">
        <v>43677</v>
      </c>
      <c r="C210" s="37">
        <v>669262</v>
      </c>
      <c r="D210" s="37">
        <v>189704</v>
      </c>
      <c r="E210" s="37">
        <v>41408</v>
      </c>
      <c r="F210" s="37">
        <v>30287</v>
      </c>
      <c r="G210" s="37">
        <v>547</v>
      </c>
      <c r="H210" s="37">
        <v>147748</v>
      </c>
      <c r="I210" s="37">
        <v>58529</v>
      </c>
      <c r="J210" s="37">
        <v>19308</v>
      </c>
      <c r="K210" s="37">
        <v>17007</v>
      </c>
      <c r="L210" s="37">
        <v>17168</v>
      </c>
      <c r="M210" s="37">
        <v>22053</v>
      </c>
      <c r="N210" s="37">
        <v>134105</v>
      </c>
      <c r="O210" s="37">
        <v>116408</v>
      </c>
      <c r="P210" s="37">
        <v>41839</v>
      </c>
      <c r="Q210" s="37">
        <v>26232</v>
      </c>
      <c r="R210" s="37">
        <v>26460</v>
      </c>
      <c r="S210" s="37">
        <v>22015</v>
      </c>
      <c r="T210" s="37">
        <v>53971</v>
      </c>
      <c r="U210" s="47">
        <f t="shared" si="2"/>
        <v>0.19588376772127702</v>
      </c>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row>
    <row r="211" spans="1:52" x14ac:dyDescent="0.35">
      <c r="A211" s="38" t="s">
        <v>17</v>
      </c>
      <c r="B211" s="39">
        <v>43707</v>
      </c>
      <c r="C211" s="37">
        <v>680346</v>
      </c>
      <c r="D211" s="37">
        <v>188812</v>
      </c>
      <c r="E211" s="37">
        <v>40655</v>
      </c>
      <c r="F211" s="37">
        <v>29583</v>
      </c>
      <c r="G211" s="37">
        <v>552</v>
      </c>
      <c r="H211" s="37">
        <v>147605</v>
      </c>
      <c r="I211" s="37">
        <v>58158</v>
      </c>
      <c r="J211" s="37">
        <v>19336</v>
      </c>
      <c r="K211" s="37">
        <v>17041</v>
      </c>
      <c r="L211" s="37">
        <v>17264</v>
      </c>
      <c r="M211" s="37">
        <v>21558</v>
      </c>
      <c r="N211" s="37">
        <v>132900</v>
      </c>
      <c r="O211" s="37">
        <v>117837</v>
      </c>
      <c r="P211" s="37">
        <v>40776</v>
      </c>
      <c r="Q211" s="37">
        <v>26512</v>
      </c>
      <c r="R211" s="37">
        <v>27032</v>
      </c>
      <c r="S211" s="37">
        <v>21632</v>
      </c>
      <c r="T211" s="37">
        <v>66687</v>
      </c>
      <c r="U211" s="47">
        <f t="shared" si="2"/>
        <v>0.21686141452587115</v>
      </c>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row>
    <row r="212" spans="1:52" x14ac:dyDescent="0.35">
      <c r="A212" s="38" t="s">
        <v>17</v>
      </c>
      <c r="B212" s="39">
        <v>43738</v>
      </c>
      <c r="C212" s="37">
        <v>678125</v>
      </c>
      <c r="D212" s="37">
        <v>189653</v>
      </c>
      <c r="E212" s="37">
        <v>40873</v>
      </c>
      <c r="F212" s="37">
        <v>29971</v>
      </c>
      <c r="G212" s="37">
        <v>541</v>
      </c>
      <c r="H212" s="37">
        <v>148239</v>
      </c>
      <c r="I212" s="37">
        <v>58133</v>
      </c>
      <c r="J212" s="37">
        <v>19298</v>
      </c>
      <c r="K212" s="37">
        <v>17014</v>
      </c>
      <c r="L212" s="37">
        <v>17369</v>
      </c>
      <c r="M212" s="37">
        <v>21465</v>
      </c>
      <c r="N212" s="37">
        <v>136400</v>
      </c>
      <c r="O212" s="37">
        <v>123581</v>
      </c>
      <c r="P212" s="37">
        <v>38723</v>
      </c>
      <c r="Q212" s="37">
        <v>25899</v>
      </c>
      <c r="R212" s="37">
        <v>26459</v>
      </c>
      <c r="S212" s="37">
        <v>21042</v>
      </c>
      <c r="T212" s="37">
        <v>58234</v>
      </c>
      <c r="U212" s="47">
        <f t="shared" si="2"/>
        <v>0.21818351659603819</v>
      </c>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row>
    <row r="213" spans="1:52" x14ac:dyDescent="0.35">
      <c r="A213" s="38" t="s">
        <v>17</v>
      </c>
      <c r="B213" s="39">
        <v>43769</v>
      </c>
      <c r="C213" s="37">
        <v>688807</v>
      </c>
      <c r="D213" s="37">
        <v>188942</v>
      </c>
      <c r="E213" s="37">
        <v>41224</v>
      </c>
      <c r="F213" s="37">
        <v>30131</v>
      </c>
      <c r="G213" s="37">
        <v>465</v>
      </c>
      <c r="H213" s="37">
        <v>147253</v>
      </c>
      <c r="I213" s="37">
        <v>56096</v>
      </c>
      <c r="J213" s="37">
        <v>19242</v>
      </c>
      <c r="K213" s="37">
        <v>17015</v>
      </c>
      <c r="L213" s="37">
        <v>15633</v>
      </c>
      <c r="M213" s="37">
        <v>21221</v>
      </c>
      <c r="N213" s="37">
        <v>135945</v>
      </c>
      <c r="O213" s="37">
        <v>127411</v>
      </c>
      <c r="P213" s="37">
        <v>40628</v>
      </c>
      <c r="Q213" s="37">
        <v>25153</v>
      </c>
      <c r="R213" s="37">
        <v>33321</v>
      </c>
      <c r="S213" s="37">
        <v>24862</v>
      </c>
      <c r="T213" s="37">
        <v>56450</v>
      </c>
      <c r="U213" s="47">
        <f t="shared" si="2"/>
        <v>0.23878575770546395</v>
      </c>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row>
    <row r="214" spans="1:52" x14ac:dyDescent="0.35">
      <c r="A214" s="38" t="s">
        <v>17</v>
      </c>
      <c r="B214" s="39">
        <v>43798</v>
      </c>
      <c r="C214" s="37">
        <v>685537</v>
      </c>
      <c r="D214" s="37">
        <v>189759</v>
      </c>
      <c r="E214" s="37">
        <v>41357</v>
      </c>
      <c r="F214" s="37">
        <v>30097</v>
      </c>
      <c r="G214" s="37">
        <v>487</v>
      </c>
      <c r="H214" s="37">
        <v>147915</v>
      </c>
      <c r="I214" s="37">
        <v>55085</v>
      </c>
      <c r="J214" s="37">
        <v>19216</v>
      </c>
      <c r="K214" s="37">
        <v>16997</v>
      </c>
      <c r="L214" s="37">
        <v>15454</v>
      </c>
      <c r="M214" s="37">
        <v>20416</v>
      </c>
      <c r="N214" s="37">
        <v>128528</v>
      </c>
      <c r="O214" s="37">
        <v>122120</v>
      </c>
      <c r="P214" s="37">
        <v>41287</v>
      </c>
      <c r="Q214" s="37">
        <v>27472</v>
      </c>
      <c r="R214" s="37">
        <v>36045</v>
      </c>
      <c r="S214" s="37">
        <v>20925</v>
      </c>
      <c r="T214" s="37">
        <v>64316</v>
      </c>
      <c r="U214" s="47">
        <f t="shared" si="2"/>
        <v>0.22991869160219891</v>
      </c>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row>
    <row r="215" spans="1:52" x14ac:dyDescent="0.35">
      <c r="A215" s="38">
        <v>43830</v>
      </c>
      <c r="B215" s="39">
        <v>43830</v>
      </c>
      <c r="C215" s="37">
        <v>675324</v>
      </c>
      <c r="D215" s="37">
        <v>186515</v>
      </c>
      <c r="E215" s="37">
        <v>39803</v>
      </c>
      <c r="F215" s="37">
        <v>28659</v>
      </c>
      <c r="G215" s="37">
        <v>261</v>
      </c>
      <c r="H215" s="37">
        <v>146451</v>
      </c>
      <c r="I215" s="37">
        <v>53827</v>
      </c>
      <c r="J215" s="37">
        <v>19003</v>
      </c>
      <c r="K215" s="37">
        <v>16833</v>
      </c>
      <c r="L215" s="37">
        <v>15260</v>
      </c>
      <c r="M215" s="37">
        <v>19565</v>
      </c>
      <c r="N215" s="37">
        <v>130699</v>
      </c>
      <c r="O215" s="37">
        <v>124535</v>
      </c>
      <c r="P215" s="37">
        <v>37142</v>
      </c>
      <c r="Q215" s="37">
        <v>27592</v>
      </c>
      <c r="R215" s="37">
        <v>36700</v>
      </c>
      <c r="S215" s="37">
        <v>19343</v>
      </c>
      <c r="T215" s="37">
        <v>58971</v>
      </c>
      <c r="U215" s="47">
        <f t="shared" si="2"/>
        <v>0.12592093658354409</v>
      </c>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row>
    <row r="216" spans="1:52" x14ac:dyDescent="0.35">
      <c r="A216" s="38">
        <v>43861</v>
      </c>
      <c r="B216" s="39">
        <v>43861</v>
      </c>
      <c r="C216" s="37">
        <v>679965</v>
      </c>
      <c r="D216" s="37">
        <v>182700</v>
      </c>
      <c r="E216" s="37">
        <v>36834</v>
      </c>
      <c r="F216" s="37">
        <v>25829</v>
      </c>
      <c r="G216" s="37">
        <v>346</v>
      </c>
      <c r="H216" s="37">
        <v>145520</v>
      </c>
      <c r="I216" s="37">
        <v>56179</v>
      </c>
      <c r="J216" s="37">
        <v>21379</v>
      </c>
      <c r="K216" s="37">
        <v>19043</v>
      </c>
      <c r="L216" s="37">
        <v>15448</v>
      </c>
      <c r="M216" s="37">
        <v>19351</v>
      </c>
      <c r="N216" s="37">
        <v>136623</v>
      </c>
      <c r="O216" s="37">
        <v>119390</v>
      </c>
      <c r="P216" s="37">
        <v>40254</v>
      </c>
      <c r="Q216" s="37">
        <v>25966</v>
      </c>
      <c r="R216" s="37">
        <v>35328</v>
      </c>
      <c r="S216" s="37">
        <v>19858</v>
      </c>
      <c r="T216" s="37">
        <v>63669</v>
      </c>
      <c r="U216" s="47">
        <f t="shared" si="2"/>
        <v>0.11026657566366338</v>
      </c>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row>
    <row r="217" spans="1:52" x14ac:dyDescent="0.35">
      <c r="A217" s="38" t="s">
        <v>17</v>
      </c>
      <c r="B217" s="39">
        <v>43889</v>
      </c>
      <c r="C217" s="37">
        <v>701556</v>
      </c>
      <c r="D217" s="37">
        <v>182557</v>
      </c>
      <c r="E217" s="37">
        <v>36918</v>
      </c>
      <c r="F217" s="37">
        <v>25946</v>
      </c>
      <c r="G217" s="37">
        <v>386</v>
      </c>
      <c r="H217" s="37">
        <v>145253</v>
      </c>
      <c r="I217" s="37">
        <v>56069</v>
      </c>
      <c r="J217" s="37">
        <v>21373</v>
      </c>
      <c r="K217" s="37">
        <v>19088</v>
      </c>
      <c r="L217" s="37">
        <v>15562</v>
      </c>
      <c r="M217" s="37">
        <v>19133</v>
      </c>
      <c r="N217" s="37">
        <v>142507</v>
      </c>
      <c r="O217" s="37">
        <v>121873</v>
      </c>
      <c r="P217" s="37">
        <v>39508</v>
      </c>
      <c r="Q217" s="37">
        <v>25524</v>
      </c>
      <c r="R217" s="37">
        <v>38267</v>
      </c>
      <c r="S217" s="37">
        <v>20236</v>
      </c>
      <c r="T217" s="37">
        <v>75015</v>
      </c>
      <c r="U217" s="47">
        <f t="shared" ref="U217:U276" si="3">+C217/C205-1</f>
        <v>0.15610163654011266</v>
      </c>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row>
    <row r="218" spans="1:52" x14ac:dyDescent="0.35">
      <c r="A218" s="38" t="s">
        <v>17</v>
      </c>
      <c r="B218" s="39">
        <v>43921</v>
      </c>
      <c r="C218" s="37">
        <v>724975</v>
      </c>
      <c r="D218" s="37">
        <v>180578</v>
      </c>
      <c r="E218" s="37">
        <v>37335</v>
      </c>
      <c r="F218" s="37">
        <v>26306</v>
      </c>
      <c r="G218" s="37">
        <v>371</v>
      </c>
      <c r="H218" s="37">
        <v>142873</v>
      </c>
      <c r="I218" s="37">
        <v>58518</v>
      </c>
      <c r="J218" s="37">
        <v>21333</v>
      </c>
      <c r="K218" s="37">
        <v>19047</v>
      </c>
      <c r="L218" s="37">
        <v>16470</v>
      </c>
      <c r="M218" s="37">
        <v>20714</v>
      </c>
      <c r="N218" s="37">
        <v>155078</v>
      </c>
      <c r="O218" s="37">
        <v>130440</v>
      </c>
      <c r="P218" s="37">
        <v>39748</v>
      </c>
      <c r="Q218" s="37">
        <v>26359</v>
      </c>
      <c r="R218" s="37">
        <v>36212</v>
      </c>
      <c r="S218" s="37">
        <v>21193</v>
      </c>
      <c r="T218" s="37">
        <v>76849</v>
      </c>
      <c r="U218" s="47">
        <f t="shared" si="3"/>
        <v>0.13887531791426255</v>
      </c>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row>
    <row r="219" spans="1:52" x14ac:dyDescent="0.35">
      <c r="A219" s="38" t="s">
        <v>17</v>
      </c>
      <c r="B219" s="39">
        <v>43951</v>
      </c>
      <c r="C219" s="37">
        <v>726659</v>
      </c>
      <c r="D219" s="37">
        <v>181927</v>
      </c>
      <c r="E219" s="37">
        <v>38022</v>
      </c>
      <c r="F219" s="37">
        <v>26804</v>
      </c>
      <c r="G219" s="37">
        <v>382</v>
      </c>
      <c r="H219" s="37">
        <v>143523</v>
      </c>
      <c r="I219" s="37">
        <v>57562</v>
      </c>
      <c r="J219" s="37">
        <v>21278</v>
      </c>
      <c r="K219" s="37">
        <v>18959</v>
      </c>
      <c r="L219" s="37">
        <v>15932</v>
      </c>
      <c r="M219" s="37">
        <v>20352</v>
      </c>
      <c r="N219" s="37">
        <v>153622</v>
      </c>
      <c r="O219" s="37">
        <v>128909</v>
      </c>
      <c r="P219" s="37">
        <v>40589</v>
      </c>
      <c r="Q219" s="37">
        <v>25577</v>
      </c>
      <c r="R219" s="37">
        <v>43893</v>
      </c>
      <c r="S219" s="37">
        <v>19656</v>
      </c>
      <c r="T219" s="37">
        <v>74925</v>
      </c>
      <c r="U219" s="47">
        <f t="shared" si="3"/>
        <v>0.13518474545556791</v>
      </c>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47"/>
      <c r="AZ219" s="47"/>
    </row>
    <row r="220" spans="1:52" x14ac:dyDescent="0.35">
      <c r="A220" s="38" t="s">
        <v>17</v>
      </c>
      <c r="B220" s="39">
        <v>43980</v>
      </c>
      <c r="C220" s="37">
        <v>715208</v>
      </c>
      <c r="D220" s="37">
        <v>181416</v>
      </c>
      <c r="E220" s="37">
        <v>38689</v>
      </c>
      <c r="F220" s="37">
        <v>27528</v>
      </c>
      <c r="G220" s="37">
        <v>389</v>
      </c>
      <c r="H220" s="37">
        <v>142338</v>
      </c>
      <c r="I220" s="37">
        <v>58283</v>
      </c>
      <c r="J220" s="37">
        <v>20884</v>
      </c>
      <c r="K220" s="37">
        <v>18566</v>
      </c>
      <c r="L220" s="37">
        <v>17349</v>
      </c>
      <c r="M220" s="37">
        <v>20050</v>
      </c>
      <c r="N220" s="37">
        <v>152873</v>
      </c>
      <c r="O220" s="37">
        <v>123821</v>
      </c>
      <c r="P220" s="37">
        <v>39341</v>
      </c>
      <c r="Q220" s="37">
        <v>24623</v>
      </c>
      <c r="R220" s="37">
        <v>45040</v>
      </c>
      <c r="S220" s="37">
        <v>19371</v>
      </c>
      <c r="T220" s="37">
        <v>70439</v>
      </c>
      <c r="U220" s="47">
        <f t="shared" si="3"/>
        <v>0.12590045841519326</v>
      </c>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row>
    <row r="221" spans="1:52" x14ac:dyDescent="0.35">
      <c r="A221" s="38" t="s">
        <v>17</v>
      </c>
      <c r="B221" s="39">
        <v>44012</v>
      </c>
      <c r="C221" s="37">
        <v>710993</v>
      </c>
      <c r="D221" s="37">
        <v>183253</v>
      </c>
      <c r="E221" s="37">
        <v>40974</v>
      </c>
      <c r="F221" s="37">
        <v>29750</v>
      </c>
      <c r="G221" s="37">
        <v>399</v>
      </c>
      <c r="H221" s="37">
        <v>141880</v>
      </c>
      <c r="I221" s="37">
        <v>58196</v>
      </c>
      <c r="J221" s="37">
        <v>18990</v>
      </c>
      <c r="K221" s="37">
        <v>16627</v>
      </c>
      <c r="L221" s="37">
        <v>19245</v>
      </c>
      <c r="M221" s="37">
        <v>19961</v>
      </c>
      <c r="N221" s="37">
        <v>153203</v>
      </c>
      <c r="O221" s="37">
        <v>118385</v>
      </c>
      <c r="P221" s="37">
        <v>41722</v>
      </c>
      <c r="Q221" s="37">
        <v>24455</v>
      </c>
      <c r="R221" s="37">
        <v>42822</v>
      </c>
      <c r="S221" s="37">
        <v>20090</v>
      </c>
      <c r="T221" s="37">
        <v>68868</v>
      </c>
      <c r="U221" s="47">
        <f t="shared" si="3"/>
        <v>0.10099694629064127</v>
      </c>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row>
    <row r="222" spans="1:52" x14ac:dyDescent="0.35">
      <c r="A222" s="38" t="s">
        <v>17</v>
      </c>
      <c r="B222" s="39">
        <v>44043</v>
      </c>
      <c r="C222" s="37">
        <v>713614</v>
      </c>
      <c r="D222" s="37">
        <v>184322</v>
      </c>
      <c r="E222" s="37">
        <v>42173</v>
      </c>
      <c r="F222" s="37">
        <v>30647</v>
      </c>
      <c r="G222" s="37">
        <v>248</v>
      </c>
      <c r="H222" s="37">
        <v>141901</v>
      </c>
      <c r="I222" s="37">
        <v>58333</v>
      </c>
      <c r="J222" s="37">
        <v>19199</v>
      </c>
      <c r="K222" s="37">
        <v>16649</v>
      </c>
      <c r="L222" s="37">
        <v>19347</v>
      </c>
      <c r="M222" s="37">
        <v>19787</v>
      </c>
      <c r="N222" s="37">
        <v>148633</v>
      </c>
      <c r="O222" s="37">
        <v>115389</v>
      </c>
      <c r="P222" s="37">
        <v>41667</v>
      </c>
      <c r="Q222" s="37">
        <v>23390</v>
      </c>
      <c r="R222" s="37">
        <v>44703</v>
      </c>
      <c r="S222" s="37">
        <v>20794</v>
      </c>
      <c r="T222" s="37">
        <v>76383</v>
      </c>
      <c r="U222" s="47">
        <f t="shared" si="3"/>
        <v>6.6270010847769623E-2</v>
      </c>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row>
    <row r="223" spans="1:52" x14ac:dyDescent="0.35">
      <c r="A223" s="38" t="s">
        <v>17</v>
      </c>
      <c r="B223" s="39">
        <v>44074</v>
      </c>
      <c r="C223" s="37">
        <v>703767</v>
      </c>
      <c r="D223" s="37">
        <v>184235</v>
      </c>
      <c r="E223" s="37">
        <v>42337</v>
      </c>
      <c r="F223" s="37">
        <v>30658</v>
      </c>
      <c r="G223" s="37">
        <v>248</v>
      </c>
      <c r="H223" s="37">
        <v>141650</v>
      </c>
      <c r="I223" s="37">
        <v>57446</v>
      </c>
      <c r="J223" s="37">
        <v>19291</v>
      </c>
      <c r="K223" s="37">
        <v>16719</v>
      </c>
      <c r="L223" s="37">
        <v>19535</v>
      </c>
      <c r="M223" s="37">
        <v>18620</v>
      </c>
      <c r="N223" s="37">
        <v>146052</v>
      </c>
      <c r="O223" s="37">
        <v>111206</v>
      </c>
      <c r="P223" s="37">
        <v>41086</v>
      </c>
      <c r="Q223" s="37">
        <v>23350</v>
      </c>
      <c r="R223" s="37">
        <v>47997</v>
      </c>
      <c r="S223" s="37">
        <v>20896</v>
      </c>
      <c r="T223" s="37">
        <v>71499</v>
      </c>
      <c r="U223" s="47">
        <f t="shared" si="3"/>
        <v>3.4425130742298693E-2</v>
      </c>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row>
    <row r="224" spans="1:52" x14ac:dyDescent="0.35">
      <c r="A224" s="38" t="s">
        <v>17</v>
      </c>
      <c r="B224" s="39">
        <v>44104</v>
      </c>
      <c r="C224" s="37">
        <v>711974</v>
      </c>
      <c r="D224" s="37">
        <v>181589</v>
      </c>
      <c r="E224" s="37">
        <v>39919</v>
      </c>
      <c r="F224" s="37">
        <v>28592</v>
      </c>
      <c r="G224" s="37">
        <v>174</v>
      </c>
      <c r="H224" s="37">
        <v>141495</v>
      </c>
      <c r="I224" s="37">
        <v>57699</v>
      </c>
      <c r="J224" s="37">
        <v>19281</v>
      </c>
      <c r="K224" s="37">
        <v>16773</v>
      </c>
      <c r="L224" s="37">
        <v>19874</v>
      </c>
      <c r="M224" s="37">
        <v>18544</v>
      </c>
      <c r="N224" s="37">
        <v>151935</v>
      </c>
      <c r="O224" s="37">
        <v>117118</v>
      </c>
      <c r="P224" s="37">
        <v>36400</v>
      </c>
      <c r="Q224" s="37">
        <v>22778</v>
      </c>
      <c r="R224" s="37">
        <v>53352</v>
      </c>
      <c r="S224" s="37">
        <v>20949</v>
      </c>
      <c r="T224" s="37">
        <v>70154</v>
      </c>
      <c r="U224" s="47">
        <f t="shared" si="3"/>
        <v>4.991557603686636E-2</v>
      </c>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row>
    <row r="225" spans="1:52" x14ac:dyDescent="0.35">
      <c r="A225" s="38" t="s">
        <v>17</v>
      </c>
      <c r="B225" s="39">
        <v>44134</v>
      </c>
      <c r="C225" s="37">
        <v>728102</v>
      </c>
      <c r="D225" s="37">
        <v>180317</v>
      </c>
      <c r="E225" s="37">
        <v>39818</v>
      </c>
      <c r="F225" s="37">
        <v>28659</v>
      </c>
      <c r="G225" s="37">
        <v>195</v>
      </c>
      <c r="H225" s="37">
        <v>140304</v>
      </c>
      <c r="I225" s="37">
        <v>56830</v>
      </c>
      <c r="J225" s="37">
        <v>19355</v>
      </c>
      <c r="K225" s="37">
        <v>16751</v>
      </c>
      <c r="L225" s="37">
        <v>19098</v>
      </c>
      <c r="M225" s="37">
        <v>18376</v>
      </c>
      <c r="N225" s="37">
        <v>153308</v>
      </c>
      <c r="O225" s="37">
        <v>122964</v>
      </c>
      <c r="P225" s="37">
        <v>39704</v>
      </c>
      <c r="Q225" s="37">
        <v>23638</v>
      </c>
      <c r="R225" s="37">
        <v>56079</v>
      </c>
      <c r="S225" s="37">
        <v>21617</v>
      </c>
      <c r="T225" s="37">
        <v>73645</v>
      </c>
      <c r="U225" s="47">
        <f t="shared" si="3"/>
        <v>5.704791037257162E-2</v>
      </c>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row>
    <row r="226" spans="1:52" x14ac:dyDescent="0.35">
      <c r="A226" s="38" t="s">
        <v>17</v>
      </c>
      <c r="B226" s="39">
        <v>44165</v>
      </c>
      <c r="C226" s="37">
        <v>754414</v>
      </c>
      <c r="D226" s="37">
        <v>178333</v>
      </c>
      <c r="E226" s="37">
        <v>38899</v>
      </c>
      <c r="F226" s="37">
        <v>27707</v>
      </c>
      <c r="G226" s="37">
        <v>232</v>
      </c>
      <c r="H226" s="37">
        <v>139202</v>
      </c>
      <c r="I226" s="37">
        <v>56818</v>
      </c>
      <c r="J226" s="37">
        <v>19293</v>
      </c>
      <c r="K226" s="37">
        <v>16760</v>
      </c>
      <c r="L226" s="37">
        <v>19204</v>
      </c>
      <c r="M226" s="37">
        <v>18321</v>
      </c>
      <c r="N226" s="37">
        <v>162966</v>
      </c>
      <c r="O226" s="37">
        <v>121946</v>
      </c>
      <c r="P226" s="37">
        <v>37881</v>
      </c>
      <c r="Q226" s="37">
        <v>25161</v>
      </c>
      <c r="R226" s="37">
        <v>57252</v>
      </c>
      <c r="S226" s="37">
        <v>21253</v>
      </c>
      <c r="T226" s="37">
        <v>92804</v>
      </c>
      <c r="U226" s="47">
        <f t="shared" si="3"/>
        <v>0.10047160109519981</v>
      </c>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row>
    <row r="227" spans="1:52" x14ac:dyDescent="0.35">
      <c r="A227" s="38">
        <v>44196</v>
      </c>
      <c r="B227" s="39">
        <v>44196</v>
      </c>
      <c r="C227" s="37">
        <v>756029</v>
      </c>
      <c r="D227" s="37">
        <v>175815</v>
      </c>
      <c r="E227" s="37">
        <v>38653</v>
      </c>
      <c r="F227" s="37">
        <v>27472</v>
      </c>
      <c r="G227" s="37">
        <v>119</v>
      </c>
      <c r="H227" s="37">
        <v>137043</v>
      </c>
      <c r="I227" s="37">
        <v>56655</v>
      </c>
      <c r="J227" s="37">
        <v>19368</v>
      </c>
      <c r="K227" s="37">
        <v>16848</v>
      </c>
      <c r="L227" s="37">
        <v>19220</v>
      </c>
      <c r="M227" s="37">
        <v>18066</v>
      </c>
      <c r="N227" s="37">
        <v>167305</v>
      </c>
      <c r="O227" s="37">
        <v>123084</v>
      </c>
      <c r="P227" s="37">
        <v>34196</v>
      </c>
      <c r="Q227" s="37">
        <v>24763</v>
      </c>
      <c r="R227" s="37">
        <v>62202</v>
      </c>
      <c r="S227" s="37">
        <v>22117</v>
      </c>
      <c r="T227" s="37">
        <v>89894</v>
      </c>
      <c r="U227" s="47">
        <f t="shared" si="3"/>
        <v>0.11950560027483115</v>
      </c>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47"/>
      <c r="AZ227" s="47"/>
    </row>
    <row r="228" spans="1:52" x14ac:dyDescent="0.35">
      <c r="A228" s="38">
        <v>44225</v>
      </c>
      <c r="B228" s="39">
        <v>44225</v>
      </c>
      <c r="C228" s="37">
        <v>768208</v>
      </c>
      <c r="D228" s="37">
        <v>176260</v>
      </c>
      <c r="E228" s="37">
        <v>39545</v>
      </c>
      <c r="F228" s="37">
        <v>27696</v>
      </c>
      <c r="G228" s="37">
        <v>125</v>
      </c>
      <c r="H228" s="37">
        <v>136590</v>
      </c>
      <c r="I228" s="37">
        <v>56639</v>
      </c>
      <c r="J228" s="37">
        <v>19322</v>
      </c>
      <c r="K228" s="37">
        <v>16841</v>
      </c>
      <c r="L228" s="37">
        <v>19441</v>
      </c>
      <c r="M228" s="37">
        <v>17875</v>
      </c>
      <c r="N228" s="37">
        <v>171149</v>
      </c>
      <c r="O228" s="37">
        <v>121672</v>
      </c>
      <c r="P228" s="37">
        <v>38514</v>
      </c>
      <c r="Q228" s="37">
        <v>25374</v>
      </c>
      <c r="R228" s="37">
        <v>60636</v>
      </c>
      <c r="S228" s="37">
        <v>23071</v>
      </c>
      <c r="T228" s="37">
        <v>94893</v>
      </c>
      <c r="U228" s="47">
        <f t="shared" si="3"/>
        <v>0.12977579728368371</v>
      </c>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c r="AZ228" s="47"/>
    </row>
    <row r="229" spans="1:52" x14ac:dyDescent="0.35">
      <c r="A229" s="38" t="s">
        <v>17</v>
      </c>
      <c r="B229" s="39">
        <v>44253</v>
      </c>
      <c r="C229" s="37">
        <v>770876</v>
      </c>
      <c r="D229" s="37">
        <v>172839</v>
      </c>
      <c r="E229" s="37">
        <v>38123</v>
      </c>
      <c r="F229" s="37">
        <v>26219</v>
      </c>
      <c r="G229" s="37">
        <v>117</v>
      </c>
      <c r="H229" s="37">
        <v>134599</v>
      </c>
      <c r="I229" s="37">
        <v>56641</v>
      </c>
      <c r="J229" s="37">
        <v>19136</v>
      </c>
      <c r="K229" s="37">
        <v>16818</v>
      </c>
      <c r="L229" s="37">
        <v>19294</v>
      </c>
      <c r="M229" s="37">
        <v>18212</v>
      </c>
      <c r="N229" s="37">
        <v>167039</v>
      </c>
      <c r="O229" s="37">
        <v>130782</v>
      </c>
      <c r="P229" s="37">
        <v>38034</v>
      </c>
      <c r="Q229" s="37">
        <v>24662</v>
      </c>
      <c r="R229" s="37">
        <v>61625</v>
      </c>
      <c r="S229" s="37">
        <v>23413</v>
      </c>
      <c r="T229" s="37">
        <v>95840</v>
      </c>
      <c r="U229" s="47">
        <f t="shared" si="3"/>
        <v>9.8808933285439826E-2</v>
      </c>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c r="AW229" s="47"/>
      <c r="AX229" s="47"/>
      <c r="AY229" s="47"/>
      <c r="AZ229" s="47"/>
    </row>
    <row r="230" spans="1:52" x14ac:dyDescent="0.35">
      <c r="A230" s="38" t="s">
        <v>17</v>
      </c>
      <c r="B230" s="39">
        <v>44286</v>
      </c>
      <c r="C230" s="37">
        <v>780058</v>
      </c>
      <c r="D230" s="37">
        <v>176162</v>
      </c>
      <c r="E230" s="37">
        <v>39210</v>
      </c>
      <c r="F230" s="37">
        <v>27062</v>
      </c>
      <c r="G230" s="37">
        <v>196</v>
      </c>
      <c r="H230" s="37">
        <v>136756</v>
      </c>
      <c r="I230" s="37">
        <v>54316</v>
      </c>
      <c r="J230" s="37">
        <v>18853</v>
      </c>
      <c r="K230" s="37">
        <v>16293</v>
      </c>
      <c r="L230" s="37">
        <v>19276</v>
      </c>
      <c r="M230" s="37">
        <v>16186</v>
      </c>
      <c r="N230" s="37">
        <v>160398</v>
      </c>
      <c r="O230" s="37">
        <v>129516</v>
      </c>
      <c r="P230" s="37">
        <v>35981</v>
      </c>
      <c r="Q230" s="37">
        <v>24542</v>
      </c>
      <c r="R230" s="37">
        <v>81250</v>
      </c>
      <c r="S230" s="37">
        <v>19919</v>
      </c>
      <c r="T230" s="37">
        <v>97973</v>
      </c>
      <c r="U230" s="47">
        <f t="shared" si="3"/>
        <v>7.5979171695575776E-2</v>
      </c>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47"/>
      <c r="AZ230" s="47"/>
    </row>
    <row r="231" spans="1:52" x14ac:dyDescent="0.35">
      <c r="A231" s="38" t="s">
        <v>17</v>
      </c>
      <c r="B231" s="39">
        <v>44316</v>
      </c>
      <c r="C231" s="37">
        <v>791450</v>
      </c>
      <c r="D231" s="37">
        <v>173201</v>
      </c>
      <c r="E231" s="37">
        <v>36548</v>
      </c>
      <c r="F231" s="37">
        <v>27335</v>
      </c>
      <c r="G231" s="37">
        <v>163</v>
      </c>
      <c r="H231" s="37">
        <v>136490</v>
      </c>
      <c r="I231" s="37">
        <v>56035</v>
      </c>
      <c r="J231" s="37">
        <v>18300</v>
      </c>
      <c r="K231" s="37">
        <v>16291</v>
      </c>
      <c r="L231" s="37">
        <v>18945</v>
      </c>
      <c r="M231" s="37">
        <v>18791</v>
      </c>
      <c r="N231" s="37">
        <v>172024</v>
      </c>
      <c r="O231" s="37">
        <v>127401</v>
      </c>
      <c r="P231" s="37">
        <v>38355</v>
      </c>
      <c r="Q231" s="37">
        <v>26006</v>
      </c>
      <c r="R231" s="37">
        <v>84479</v>
      </c>
      <c r="S231" s="37">
        <v>17931</v>
      </c>
      <c r="T231" s="37">
        <v>96019</v>
      </c>
      <c r="U231" s="47">
        <f t="shared" si="3"/>
        <v>8.916286731465517E-2</v>
      </c>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row>
    <row r="232" spans="1:52" x14ac:dyDescent="0.35">
      <c r="A232" s="38" t="s">
        <v>17</v>
      </c>
      <c r="B232" s="39">
        <v>44347</v>
      </c>
      <c r="C232" s="37">
        <v>769312</v>
      </c>
      <c r="D232" s="37">
        <v>173505</v>
      </c>
      <c r="E232" s="37">
        <v>36609</v>
      </c>
      <c r="F232" s="37">
        <v>27374</v>
      </c>
      <c r="G232" s="37">
        <v>157</v>
      </c>
      <c r="H232" s="37">
        <v>136739</v>
      </c>
      <c r="I232" s="37">
        <v>55156</v>
      </c>
      <c r="J232" s="37">
        <v>18340</v>
      </c>
      <c r="K232" s="37">
        <v>16250</v>
      </c>
      <c r="L232" s="37">
        <v>18304</v>
      </c>
      <c r="M232" s="37">
        <v>18512</v>
      </c>
      <c r="N232" s="37">
        <v>158318</v>
      </c>
      <c r="O232" s="37">
        <v>122154</v>
      </c>
      <c r="P232" s="37">
        <v>38288</v>
      </c>
      <c r="Q232" s="37">
        <v>27813</v>
      </c>
      <c r="R232" s="37">
        <v>86546</v>
      </c>
      <c r="S232" s="37">
        <v>17723</v>
      </c>
      <c r="T232" s="37">
        <v>89810</v>
      </c>
      <c r="U232" s="47">
        <f t="shared" si="3"/>
        <v>7.5647923401304329E-2</v>
      </c>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row>
    <row r="233" spans="1:52" x14ac:dyDescent="0.35">
      <c r="A233" s="38" t="s">
        <v>17</v>
      </c>
      <c r="B233" s="39">
        <v>44377</v>
      </c>
      <c r="C233" s="37">
        <v>782083</v>
      </c>
      <c r="D233" s="37">
        <v>174048</v>
      </c>
      <c r="E233" s="37">
        <v>37461</v>
      </c>
      <c r="F233" s="37">
        <v>27451</v>
      </c>
      <c r="G233" s="37">
        <v>160</v>
      </c>
      <c r="H233" s="37">
        <v>136427</v>
      </c>
      <c r="I233" s="37">
        <v>54453</v>
      </c>
      <c r="J233" s="37">
        <v>18399</v>
      </c>
      <c r="K233" s="37">
        <v>16224</v>
      </c>
      <c r="L233" s="37">
        <v>17562</v>
      </c>
      <c r="M233" s="37">
        <v>18492</v>
      </c>
      <c r="N233" s="37">
        <v>160255</v>
      </c>
      <c r="O233" s="37">
        <v>127545</v>
      </c>
      <c r="P233" s="37">
        <v>35379</v>
      </c>
      <c r="Q233" s="37">
        <v>26877</v>
      </c>
      <c r="R233" s="37">
        <v>99940</v>
      </c>
      <c r="S233" s="37">
        <v>17182</v>
      </c>
      <c r="T233" s="37">
        <v>86405</v>
      </c>
      <c r="U233" s="47">
        <f t="shared" si="3"/>
        <v>9.9986919702444332E-2</v>
      </c>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row>
    <row r="234" spans="1:52" x14ac:dyDescent="0.35">
      <c r="A234" s="38" t="s">
        <v>17</v>
      </c>
      <c r="B234" s="39">
        <v>44407</v>
      </c>
      <c r="C234" s="37">
        <v>794820</v>
      </c>
      <c r="D234" s="37">
        <v>170711</v>
      </c>
      <c r="E234" s="37">
        <v>39489</v>
      </c>
      <c r="F234" s="37">
        <v>27901</v>
      </c>
      <c r="G234" s="37">
        <v>163</v>
      </c>
      <c r="H234" s="37">
        <v>131059</v>
      </c>
      <c r="I234" s="37">
        <v>57439</v>
      </c>
      <c r="J234" s="37">
        <v>19236</v>
      </c>
      <c r="K234" s="37">
        <v>16232</v>
      </c>
      <c r="L234" s="37">
        <v>17748</v>
      </c>
      <c r="M234" s="37">
        <v>20456</v>
      </c>
      <c r="N234" s="37">
        <v>173063</v>
      </c>
      <c r="O234" s="37">
        <v>126020</v>
      </c>
      <c r="P234" s="37">
        <v>35996</v>
      </c>
      <c r="Q234" s="37">
        <v>26642</v>
      </c>
      <c r="R234" s="37">
        <v>97782</v>
      </c>
      <c r="S234" s="37">
        <v>18496</v>
      </c>
      <c r="T234" s="37">
        <v>88671</v>
      </c>
      <c r="U234" s="47">
        <f t="shared" si="3"/>
        <v>0.11379541320657949</v>
      </c>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row>
    <row r="235" spans="1:52" x14ac:dyDescent="0.35">
      <c r="A235" s="38" t="s">
        <v>17</v>
      </c>
      <c r="B235" s="39">
        <v>44439</v>
      </c>
      <c r="C235" s="37">
        <v>791253</v>
      </c>
      <c r="D235" s="37">
        <v>171124</v>
      </c>
      <c r="E235" s="37">
        <v>40008</v>
      </c>
      <c r="F235" s="37">
        <v>28308</v>
      </c>
      <c r="G235" s="37">
        <v>165</v>
      </c>
      <c r="H235" s="37">
        <v>130951</v>
      </c>
      <c r="I235" s="37">
        <v>57367</v>
      </c>
      <c r="J235" s="37">
        <v>19283</v>
      </c>
      <c r="K235" s="37">
        <v>16275</v>
      </c>
      <c r="L235" s="37">
        <v>17691</v>
      </c>
      <c r="M235" s="37">
        <v>20394</v>
      </c>
      <c r="N235" s="37">
        <v>175515</v>
      </c>
      <c r="O235" s="37">
        <v>127161</v>
      </c>
      <c r="P235" s="37">
        <v>34162</v>
      </c>
      <c r="Q235" s="37">
        <v>26112</v>
      </c>
      <c r="R235" s="37">
        <v>99154</v>
      </c>
      <c r="S235" s="37">
        <v>17127</v>
      </c>
      <c r="T235" s="37">
        <v>83531</v>
      </c>
      <c r="U235" s="47">
        <f t="shared" si="3"/>
        <v>0.12431102907638469</v>
      </c>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row>
    <row r="236" spans="1:52" x14ac:dyDescent="0.35">
      <c r="A236" s="38" t="s">
        <v>17</v>
      </c>
      <c r="B236" s="39">
        <v>44469</v>
      </c>
      <c r="C236" s="37">
        <v>793661</v>
      </c>
      <c r="D236" s="37">
        <v>173887</v>
      </c>
      <c r="E236" s="37">
        <v>40750</v>
      </c>
      <c r="F236" s="37">
        <v>28996</v>
      </c>
      <c r="G236" s="37">
        <v>164</v>
      </c>
      <c r="H236" s="37">
        <v>132973</v>
      </c>
      <c r="I236" s="37">
        <v>55326</v>
      </c>
      <c r="J236" s="37">
        <v>18660</v>
      </c>
      <c r="K236" s="37">
        <v>15659</v>
      </c>
      <c r="L236" s="37">
        <v>16484</v>
      </c>
      <c r="M236" s="37">
        <v>20182</v>
      </c>
      <c r="N236" s="37">
        <v>166112</v>
      </c>
      <c r="O236" s="37">
        <v>129223</v>
      </c>
      <c r="P236" s="37">
        <v>33246</v>
      </c>
      <c r="Q236" s="37">
        <v>24804</v>
      </c>
      <c r="R236" s="37">
        <v>102939</v>
      </c>
      <c r="S236" s="37">
        <v>17101</v>
      </c>
      <c r="T236" s="37">
        <v>91023</v>
      </c>
      <c r="U236" s="47">
        <f t="shared" si="3"/>
        <v>0.11473312227693699</v>
      </c>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row>
    <row r="237" spans="1:52" x14ac:dyDescent="0.35">
      <c r="A237" s="38" t="s">
        <v>17</v>
      </c>
      <c r="B237" s="39">
        <v>44498</v>
      </c>
      <c r="C237" s="37">
        <v>800009</v>
      </c>
      <c r="D237" s="37">
        <v>172854</v>
      </c>
      <c r="E237" s="37">
        <v>40365</v>
      </c>
      <c r="F237" s="37">
        <v>28820</v>
      </c>
      <c r="G237" s="37">
        <v>172</v>
      </c>
      <c r="H237" s="37">
        <v>132317</v>
      </c>
      <c r="I237" s="37">
        <v>54381</v>
      </c>
      <c r="J237" s="37">
        <v>18178</v>
      </c>
      <c r="K237" s="37">
        <v>15099</v>
      </c>
      <c r="L237" s="37">
        <v>16373</v>
      </c>
      <c r="M237" s="37">
        <v>19830</v>
      </c>
      <c r="N237" s="37">
        <v>174470</v>
      </c>
      <c r="O237" s="37">
        <v>126448</v>
      </c>
      <c r="P237" s="37">
        <v>33931</v>
      </c>
      <c r="Q237" s="37">
        <v>24180</v>
      </c>
      <c r="R237" s="37">
        <v>104016</v>
      </c>
      <c r="S237" s="37">
        <v>18036</v>
      </c>
      <c r="T237" s="37">
        <v>91692</v>
      </c>
      <c r="U237" s="47">
        <f t="shared" si="3"/>
        <v>9.8759514463632847E-2</v>
      </c>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row>
    <row r="238" spans="1:52" x14ac:dyDescent="0.35">
      <c r="A238" s="38" t="s">
        <v>17</v>
      </c>
      <c r="B238" s="39">
        <v>44530</v>
      </c>
      <c r="C238" s="37">
        <v>812980</v>
      </c>
      <c r="D238" s="37">
        <v>173792</v>
      </c>
      <c r="E238" s="37">
        <v>40557</v>
      </c>
      <c r="F238" s="37">
        <v>29058</v>
      </c>
      <c r="G238" s="37">
        <v>181</v>
      </c>
      <c r="H238" s="37">
        <v>133054</v>
      </c>
      <c r="I238" s="37">
        <v>55097</v>
      </c>
      <c r="J238" s="37">
        <v>18212</v>
      </c>
      <c r="K238" s="37">
        <v>15118</v>
      </c>
      <c r="L238" s="37">
        <v>16481</v>
      </c>
      <c r="M238" s="37">
        <v>20403</v>
      </c>
      <c r="N238" s="37">
        <v>172901</v>
      </c>
      <c r="O238" s="37">
        <v>130747</v>
      </c>
      <c r="P238" s="37">
        <v>25234</v>
      </c>
      <c r="Q238" s="37">
        <v>26482</v>
      </c>
      <c r="R238" s="37">
        <v>99487</v>
      </c>
      <c r="S238" s="37">
        <v>18164</v>
      </c>
      <c r="T238" s="37">
        <v>111078</v>
      </c>
      <c r="U238" s="47">
        <f t="shared" si="3"/>
        <v>7.7631115011121299E-2</v>
      </c>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row>
    <row r="239" spans="1:52" x14ac:dyDescent="0.35">
      <c r="A239" s="38">
        <v>44561</v>
      </c>
      <c r="B239" s="39">
        <v>44561</v>
      </c>
      <c r="C239" s="37">
        <v>764057</v>
      </c>
      <c r="D239" s="37">
        <v>172941</v>
      </c>
      <c r="E239" s="37">
        <v>40017</v>
      </c>
      <c r="F239" s="37">
        <v>28702</v>
      </c>
      <c r="G239" s="37">
        <v>162</v>
      </c>
      <c r="H239" s="37">
        <v>132762</v>
      </c>
      <c r="I239" s="37">
        <v>54813</v>
      </c>
      <c r="J239" s="37">
        <v>18189</v>
      </c>
      <c r="K239" s="37">
        <v>15090</v>
      </c>
      <c r="L239" s="37">
        <v>16388</v>
      </c>
      <c r="M239" s="37">
        <v>20235</v>
      </c>
      <c r="N239" s="37">
        <v>168342</v>
      </c>
      <c r="O239" s="37">
        <v>123772</v>
      </c>
      <c r="P239" s="37">
        <v>23345</v>
      </c>
      <c r="Q239" s="37">
        <v>27827</v>
      </c>
      <c r="R239" s="37">
        <v>109556</v>
      </c>
      <c r="S239" s="37">
        <v>17958</v>
      </c>
      <c r="T239" s="37">
        <v>65502</v>
      </c>
      <c r="U239" s="47">
        <f t="shared" si="3"/>
        <v>1.06186402902535E-2</v>
      </c>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row>
    <row r="240" spans="1:52" x14ac:dyDescent="0.35">
      <c r="A240" s="38">
        <v>44592</v>
      </c>
      <c r="B240" s="39">
        <v>44592</v>
      </c>
      <c r="C240" s="37">
        <v>815926</v>
      </c>
      <c r="D240" s="37">
        <v>188972</v>
      </c>
      <c r="E240" s="37">
        <v>40060</v>
      </c>
      <c r="F240" s="37">
        <v>28712</v>
      </c>
      <c r="G240" s="37">
        <v>172</v>
      </c>
      <c r="H240" s="37">
        <v>148740</v>
      </c>
      <c r="I240" s="37">
        <v>54640</v>
      </c>
      <c r="J240" s="37">
        <v>18133</v>
      </c>
      <c r="K240" s="37" t="s">
        <v>38</v>
      </c>
      <c r="L240" s="37">
        <v>16342</v>
      </c>
      <c r="M240" s="37">
        <v>20165</v>
      </c>
      <c r="N240" s="37">
        <v>184760</v>
      </c>
      <c r="O240" s="37">
        <v>118073</v>
      </c>
      <c r="P240" s="37">
        <v>24063</v>
      </c>
      <c r="Q240" s="37">
        <v>28820</v>
      </c>
      <c r="R240" s="37">
        <v>103678</v>
      </c>
      <c r="S240" s="37">
        <v>18534</v>
      </c>
      <c r="T240" s="37">
        <v>94387</v>
      </c>
      <c r="U240" s="47">
        <f t="shared" si="3"/>
        <v>6.2115989419532225E-2</v>
      </c>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row>
    <row r="241" spans="1:52" x14ac:dyDescent="0.35">
      <c r="A241" s="38" t="s">
        <v>17</v>
      </c>
      <c r="B241" s="39">
        <v>44620</v>
      </c>
      <c r="C241" s="37">
        <v>820505</v>
      </c>
      <c r="D241" s="37">
        <v>188869</v>
      </c>
      <c r="E241" s="37">
        <v>41412</v>
      </c>
      <c r="F241" s="37">
        <v>29998</v>
      </c>
      <c r="G241" s="37">
        <v>170</v>
      </c>
      <c r="H241" s="37">
        <v>147288</v>
      </c>
      <c r="I241" s="37">
        <v>53662</v>
      </c>
      <c r="J241" s="37">
        <v>18012</v>
      </c>
      <c r="K241" s="37" t="s">
        <v>38</v>
      </c>
      <c r="L241" s="37">
        <v>15625</v>
      </c>
      <c r="M241" s="37">
        <v>20025</v>
      </c>
      <c r="N241" s="37">
        <v>185216</v>
      </c>
      <c r="O241" s="37">
        <v>116462</v>
      </c>
      <c r="P241" s="37">
        <v>24636</v>
      </c>
      <c r="Q241" s="37">
        <v>28092</v>
      </c>
      <c r="R241" s="37">
        <v>105895</v>
      </c>
      <c r="S241" s="37">
        <v>18208</v>
      </c>
      <c r="T241" s="37">
        <v>99465</v>
      </c>
      <c r="U241" s="47">
        <f t="shared" si="3"/>
        <v>6.4380004047343453E-2</v>
      </c>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row>
    <row r="242" spans="1:52" x14ac:dyDescent="0.35">
      <c r="A242" s="50" t="s">
        <v>17</v>
      </c>
      <c r="B242" s="51">
        <v>44651</v>
      </c>
      <c r="C242" s="47">
        <v>829550</v>
      </c>
      <c r="D242" s="47">
        <v>188394</v>
      </c>
      <c r="E242" s="47">
        <v>40851</v>
      </c>
      <c r="F242" s="47">
        <v>29320</v>
      </c>
      <c r="G242" s="47">
        <v>179</v>
      </c>
      <c r="H242" s="47">
        <v>147364</v>
      </c>
      <c r="I242" s="47">
        <v>51528</v>
      </c>
      <c r="J242" s="47">
        <v>17990</v>
      </c>
      <c r="K242" s="47" t="s">
        <v>38</v>
      </c>
      <c r="L242" s="47">
        <v>13592</v>
      </c>
      <c r="M242" s="47">
        <v>19946</v>
      </c>
      <c r="N242" s="47">
        <v>181302</v>
      </c>
      <c r="O242" s="47">
        <v>123454</v>
      </c>
      <c r="P242" s="47">
        <v>21973</v>
      </c>
      <c r="Q242" s="47">
        <v>28055</v>
      </c>
      <c r="R242" s="47">
        <v>110935</v>
      </c>
      <c r="S242" s="47">
        <v>17703</v>
      </c>
      <c r="T242" s="47">
        <v>106207</v>
      </c>
      <c r="U242" s="47">
        <f t="shared" si="3"/>
        <v>6.3446564229839408E-2</v>
      </c>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row>
    <row r="243" spans="1:52" x14ac:dyDescent="0.35">
      <c r="A243" s="50" t="s">
        <v>17</v>
      </c>
      <c r="B243" s="51">
        <v>44680</v>
      </c>
      <c r="C243" s="47">
        <v>875198</v>
      </c>
      <c r="D243" s="47">
        <v>189839</v>
      </c>
      <c r="E243" s="47">
        <v>41509</v>
      </c>
      <c r="F243" s="47">
        <v>29954</v>
      </c>
      <c r="G243" s="47">
        <v>166</v>
      </c>
      <c r="H243" s="47">
        <v>148164</v>
      </c>
      <c r="I243" s="47">
        <v>50681</v>
      </c>
      <c r="J243" s="47">
        <v>18273</v>
      </c>
      <c r="K243" s="47" t="s">
        <v>38</v>
      </c>
      <c r="L243" s="47">
        <v>12602</v>
      </c>
      <c r="M243" s="47">
        <v>19807</v>
      </c>
      <c r="N243" s="47">
        <v>191734</v>
      </c>
      <c r="O243" s="47">
        <v>122374</v>
      </c>
      <c r="P243" s="47">
        <v>24688</v>
      </c>
      <c r="Q243" s="47">
        <v>29033</v>
      </c>
      <c r="R243" s="47">
        <v>116153</v>
      </c>
      <c r="S243" s="47">
        <v>19367</v>
      </c>
      <c r="T243" s="47">
        <v>131329</v>
      </c>
      <c r="U243" s="47">
        <f t="shared" si="3"/>
        <v>0.10581590751152947</v>
      </c>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row>
    <row r="244" spans="1:52" x14ac:dyDescent="0.35">
      <c r="A244" s="50" t="s">
        <v>17</v>
      </c>
      <c r="B244" s="51">
        <v>44712</v>
      </c>
      <c r="C244" s="47">
        <v>863498</v>
      </c>
      <c r="D244" s="47">
        <v>189586</v>
      </c>
      <c r="E244" s="47">
        <v>40877</v>
      </c>
      <c r="F244" s="47">
        <v>29262</v>
      </c>
      <c r="G244" s="47">
        <v>148</v>
      </c>
      <c r="H244" s="47">
        <v>148561</v>
      </c>
      <c r="I244" s="47">
        <v>50451</v>
      </c>
      <c r="J244" s="47">
        <v>18177</v>
      </c>
      <c r="K244" s="47" t="s">
        <v>38</v>
      </c>
      <c r="L244" s="47">
        <v>12606</v>
      </c>
      <c r="M244" s="47">
        <v>19668</v>
      </c>
      <c r="N244" s="47">
        <v>189507</v>
      </c>
      <c r="O244" s="47">
        <v>119634</v>
      </c>
      <c r="P244" s="47">
        <v>25564</v>
      </c>
      <c r="Q244" s="47">
        <v>28954</v>
      </c>
      <c r="R244" s="47">
        <v>108336</v>
      </c>
      <c r="S244" s="47">
        <v>19491</v>
      </c>
      <c r="T244" s="47">
        <v>131974</v>
      </c>
      <c r="U244" s="47">
        <f t="shared" si="3"/>
        <v>0.12242887151116832</v>
      </c>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row>
    <row r="245" spans="1:52" x14ac:dyDescent="0.35">
      <c r="A245" s="50" t="s">
        <v>17</v>
      </c>
      <c r="B245" s="51">
        <v>44742</v>
      </c>
      <c r="C245" s="47">
        <v>842634</v>
      </c>
      <c r="D245" s="47">
        <v>192843</v>
      </c>
      <c r="E245" s="47">
        <v>43691</v>
      </c>
      <c r="F245" s="47">
        <v>31937</v>
      </c>
      <c r="G245" s="47">
        <v>143</v>
      </c>
      <c r="H245" s="47">
        <v>149009</v>
      </c>
      <c r="I245" s="47">
        <v>52883</v>
      </c>
      <c r="J245" s="47">
        <v>18175</v>
      </c>
      <c r="K245" s="47" t="s">
        <v>38</v>
      </c>
      <c r="L245" s="47">
        <v>12401</v>
      </c>
      <c r="M245" s="47">
        <v>22306</v>
      </c>
      <c r="N245" s="47">
        <v>182774</v>
      </c>
      <c r="O245" s="47">
        <v>121039</v>
      </c>
      <c r="P245" s="47">
        <v>19945</v>
      </c>
      <c r="Q245" s="47">
        <v>28801</v>
      </c>
      <c r="R245" s="47">
        <v>119764</v>
      </c>
      <c r="S245" s="47">
        <v>20738</v>
      </c>
      <c r="T245" s="47">
        <v>103846</v>
      </c>
      <c r="U245" s="47">
        <f t="shared" si="3"/>
        <v>7.7422728789655393E-2</v>
      </c>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47"/>
      <c r="AZ245" s="47"/>
    </row>
    <row r="246" spans="1:52" x14ac:dyDescent="0.35">
      <c r="A246" s="50" t="s">
        <v>17</v>
      </c>
      <c r="B246" s="51">
        <v>44771</v>
      </c>
      <c r="C246" s="47">
        <v>878885</v>
      </c>
      <c r="D246" s="47">
        <v>194373</v>
      </c>
      <c r="E246" s="47">
        <v>45111</v>
      </c>
      <c r="F246" s="47">
        <v>33501</v>
      </c>
      <c r="G246" s="47">
        <v>146</v>
      </c>
      <c r="H246" s="47">
        <v>149116</v>
      </c>
      <c r="I246" s="47">
        <v>52237</v>
      </c>
      <c r="J246" s="47">
        <v>17819</v>
      </c>
      <c r="K246" s="47" t="s">
        <v>38</v>
      </c>
      <c r="L246" s="47">
        <v>12376</v>
      </c>
      <c r="M246" s="47">
        <v>22042</v>
      </c>
      <c r="N246" s="47">
        <v>213878</v>
      </c>
      <c r="O246" s="47">
        <v>134099</v>
      </c>
      <c r="P246" s="47">
        <v>18637</v>
      </c>
      <c r="Q246" s="47">
        <v>28929</v>
      </c>
      <c r="R246" s="47">
        <v>118979</v>
      </c>
      <c r="S246" s="47">
        <v>19595</v>
      </c>
      <c r="T246" s="47">
        <v>98158</v>
      </c>
      <c r="U246" s="47">
        <f t="shared" si="3"/>
        <v>0.10576608540298427</v>
      </c>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row>
    <row r="247" spans="1:52" x14ac:dyDescent="0.35">
      <c r="A247" s="50" t="s">
        <v>17</v>
      </c>
      <c r="B247" s="51">
        <v>44804</v>
      </c>
      <c r="C247" s="47">
        <v>899761</v>
      </c>
      <c r="D247" s="47">
        <v>194585</v>
      </c>
      <c r="E247" s="47">
        <v>45306</v>
      </c>
      <c r="F247" s="47">
        <v>33530</v>
      </c>
      <c r="G247" s="47">
        <v>119</v>
      </c>
      <c r="H247" s="47">
        <v>149160</v>
      </c>
      <c r="I247" s="47">
        <v>51721</v>
      </c>
      <c r="J247" s="47">
        <v>17801</v>
      </c>
      <c r="K247" s="47" t="s">
        <v>38</v>
      </c>
      <c r="L247" s="47">
        <v>12078</v>
      </c>
      <c r="M247" s="47">
        <v>21842</v>
      </c>
      <c r="N247" s="47">
        <v>214888</v>
      </c>
      <c r="O247" s="47">
        <v>132571</v>
      </c>
      <c r="P247" s="47">
        <v>18350</v>
      </c>
      <c r="Q247" s="47">
        <v>28500</v>
      </c>
      <c r="R247" s="47">
        <v>121412</v>
      </c>
      <c r="S247" s="47">
        <v>22854</v>
      </c>
      <c r="T247" s="47">
        <v>114879</v>
      </c>
      <c r="U247" s="47">
        <f t="shared" si="3"/>
        <v>0.13713439317133713</v>
      </c>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row>
    <row r="248" spans="1:52" x14ac:dyDescent="0.35">
      <c r="A248" s="50" t="s">
        <v>17</v>
      </c>
      <c r="B248" s="51">
        <v>44834</v>
      </c>
      <c r="C248" s="47">
        <v>928309</v>
      </c>
      <c r="D248" s="47">
        <v>196406</v>
      </c>
      <c r="E248" s="47">
        <v>46046</v>
      </c>
      <c r="F248" s="47">
        <v>34281</v>
      </c>
      <c r="G248" s="47">
        <v>135</v>
      </c>
      <c r="H248" s="47">
        <v>150225</v>
      </c>
      <c r="I248" s="47">
        <v>50879</v>
      </c>
      <c r="J248" s="47">
        <v>17788</v>
      </c>
      <c r="K248" s="47" t="s">
        <v>38</v>
      </c>
      <c r="L248" s="47">
        <v>11901</v>
      </c>
      <c r="M248" s="47">
        <v>21190</v>
      </c>
      <c r="N248" s="47">
        <v>221747</v>
      </c>
      <c r="O248" s="47">
        <v>132244</v>
      </c>
      <c r="P248" s="47">
        <v>14851</v>
      </c>
      <c r="Q248" s="47">
        <v>28751</v>
      </c>
      <c r="R248" s="47">
        <v>119018</v>
      </c>
      <c r="S248" s="47">
        <v>25968</v>
      </c>
      <c r="T248" s="47">
        <v>138445</v>
      </c>
      <c r="U248" s="47">
        <f t="shared" si="3"/>
        <v>0.16965429824572453</v>
      </c>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row>
    <row r="249" spans="1:52" x14ac:dyDescent="0.35">
      <c r="A249" s="50" t="s">
        <v>17</v>
      </c>
      <c r="B249" s="51">
        <v>44862</v>
      </c>
      <c r="C249" s="47">
        <v>927754</v>
      </c>
      <c r="D249" s="47">
        <v>197528</v>
      </c>
      <c r="E249" s="47">
        <v>47442</v>
      </c>
      <c r="F249" s="47">
        <v>35575</v>
      </c>
      <c r="G249" s="47">
        <v>130</v>
      </c>
      <c r="H249" s="47">
        <v>149956</v>
      </c>
      <c r="I249" s="47">
        <v>50482</v>
      </c>
      <c r="J249" s="47">
        <v>17914</v>
      </c>
      <c r="K249" s="47" t="s">
        <v>38</v>
      </c>
      <c r="L249" s="47">
        <v>11552</v>
      </c>
      <c r="M249" s="47">
        <v>21016</v>
      </c>
      <c r="N249" s="47">
        <v>226065</v>
      </c>
      <c r="O249" s="47">
        <v>131898</v>
      </c>
      <c r="P249" s="47">
        <v>19303</v>
      </c>
      <c r="Q249" s="47">
        <v>28669</v>
      </c>
      <c r="R249" s="47">
        <v>123753</v>
      </c>
      <c r="S249" s="47">
        <v>24755</v>
      </c>
      <c r="T249" s="47">
        <v>125302</v>
      </c>
      <c r="U249" s="47">
        <f t="shared" si="3"/>
        <v>0.15967945360614699</v>
      </c>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row>
    <row r="250" spans="1:52" x14ac:dyDescent="0.35">
      <c r="A250" s="50" t="s">
        <v>17</v>
      </c>
      <c r="B250" s="51">
        <v>44895</v>
      </c>
      <c r="C250" s="47">
        <v>905692</v>
      </c>
      <c r="D250" s="47">
        <v>199099</v>
      </c>
      <c r="E250" s="47">
        <v>49397</v>
      </c>
      <c r="F250" s="47">
        <v>37499</v>
      </c>
      <c r="G250" s="47">
        <v>180</v>
      </c>
      <c r="H250" s="47">
        <v>149522</v>
      </c>
      <c r="I250" s="47">
        <v>50110</v>
      </c>
      <c r="J250" s="47">
        <v>17942</v>
      </c>
      <c r="K250" s="47" t="s">
        <v>38</v>
      </c>
      <c r="L250" s="47">
        <v>11664</v>
      </c>
      <c r="M250" s="47">
        <v>20503</v>
      </c>
      <c r="N250" s="47">
        <v>235710</v>
      </c>
      <c r="O250" s="47">
        <v>124209</v>
      </c>
      <c r="P250" s="47">
        <v>16791</v>
      </c>
      <c r="Q250" s="47">
        <v>28910</v>
      </c>
      <c r="R250" s="47">
        <v>108793</v>
      </c>
      <c r="S250" s="47">
        <v>24300</v>
      </c>
      <c r="T250" s="47">
        <v>117770</v>
      </c>
      <c r="U250" s="47">
        <f t="shared" si="3"/>
        <v>0.11403970577381983</v>
      </c>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row>
    <row r="251" spans="1:52" x14ac:dyDescent="0.35">
      <c r="A251" s="50">
        <v>44925</v>
      </c>
      <c r="B251" s="51">
        <v>44925</v>
      </c>
      <c r="C251" s="47">
        <v>867516</v>
      </c>
      <c r="D251" s="47">
        <v>196972</v>
      </c>
      <c r="E251" s="47">
        <v>48794</v>
      </c>
      <c r="F251" s="47">
        <v>37271</v>
      </c>
      <c r="G251" s="47">
        <v>114</v>
      </c>
      <c r="H251" s="47">
        <v>148063</v>
      </c>
      <c r="I251" s="47">
        <v>49875</v>
      </c>
      <c r="J251" s="47">
        <v>17928</v>
      </c>
      <c r="K251" s="47" t="s">
        <v>38</v>
      </c>
      <c r="L251" s="47">
        <v>11052</v>
      </c>
      <c r="M251" s="47">
        <v>20895</v>
      </c>
      <c r="N251" s="47">
        <v>217423</v>
      </c>
      <c r="O251" s="47">
        <v>122958</v>
      </c>
      <c r="P251" s="47">
        <v>11315</v>
      </c>
      <c r="Q251" s="47">
        <v>27708</v>
      </c>
      <c r="R251" s="47">
        <v>107221</v>
      </c>
      <c r="S251" s="47">
        <v>26180</v>
      </c>
      <c r="T251" s="47">
        <v>107864</v>
      </c>
      <c r="U251" s="47">
        <f t="shared" si="3"/>
        <v>0.13540743687970913</v>
      </c>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row>
    <row r="252" spans="1:52" x14ac:dyDescent="0.35">
      <c r="A252" s="50">
        <v>44957</v>
      </c>
      <c r="B252" s="51">
        <v>44957</v>
      </c>
      <c r="C252" s="47">
        <v>871337</v>
      </c>
      <c r="D252" s="47">
        <v>198577</v>
      </c>
      <c r="E252" s="47">
        <v>50383</v>
      </c>
      <c r="F252" s="47">
        <v>38231</v>
      </c>
      <c r="G252" s="47">
        <v>126</v>
      </c>
      <c r="H252" s="47">
        <v>148067</v>
      </c>
      <c r="I252" s="47">
        <v>45308</v>
      </c>
      <c r="J252" s="47">
        <v>18041</v>
      </c>
      <c r="K252" s="47" t="s">
        <v>38</v>
      </c>
      <c r="L252" s="47">
        <v>11392</v>
      </c>
      <c r="M252" s="47">
        <v>15876</v>
      </c>
      <c r="N252" s="47">
        <v>228948</v>
      </c>
      <c r="O252" s="47">
        <v>117177</v>
      </c>
      <c r="P252" s="47">
        <v>16268</v>
      </c>
      <c r="Q252" s="47">
        <v>27588</v>
      </c>
      <c r="R252" s="47">
        <v>96227</v>
      </c>
      <c r="S252" s="47">
        <v>24009</v>
      </c>
      <c r="T252" s="47">
        <v>117236</v>
      </c>
      <c r="U252" s="47">
        <f t="shared" si="3"/>
        <v>6.7911795922669382E-2</v>
      </c>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row>
    <row r="253" spans="1:52" x14ac:dyDescent="0.35">
      <c r="A253" s="50" t="s">
        <v>17</v>
      </c>
      <c r="B253" s="51">
        <v>44985</v>
      </c>
      <c r="C253" s="47">
        <v>880187</v>
      </c>
      <c r="D253" s="47">
        <v>199031</v>
      </c>
      <c r="E253" s="47">
        <v>51860</v>
      </c>
      <c r="F253" s="47">
        <v>39648</v>
      </c>
      <c r="G253" s="47">
        <v>124</v>
      </c>
      <c r="H253" s="47">
        <v>147047</v>
      </c>
      <c r="I253" s="47">
        <v>44895</v>
      </c>
      <c r="J253" s="47">
        <v>17989</v>
      </c>
      <c r="K253" s="47" t="s">
        <v>38</v>
      </c>
      <c r="L253" s="47">
        <v>11273</v>
      </c>
      <c r="M253" s="47">
        <v>15633</v>
      </c>
      <c r="N253" s="47">
        <v>238114</v>
      </c>
      <c r="O253" s="47">
        <v>118203</v>
      </c>
      <c r="P253" s="47">
        <v>14412</v>
      </c>
      <c r="Q253" s="47">
        <v>27889</v>
      </c>
      <c r="R253" s="47">
        <v>88050</v>
      </c>
      <c r="S253" s="47">
        <v>24909</v>
      </c>
      <c r="T253" s="47">
        <v>124684</v>
      </c>
      <c r="U253" s="47">
        <f t="shared" si="3"/>
        <v>7.2738130785308996E-2</v>
      </c>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row>
    <row r="254" spans="1:52" x14ac:dyDescent="0.35">
      <c r="A254" s="50" t="s">
        <v>17</v>
      </c>
      <c r="B254" s="51">
        <v>45016</v>
      </c>
      <c r="C254" s="47">
        <v>863371</v>
      </c>
      <c r="D254" s="47">
        <v>198725</v>
      </c>
      <c r="E254" s="47">
        <v>51692</v>
      </c>
      <c r="F254" s="47">
        <v>39666</v>
      </c>
      <c r="G254" s="47">
        <v>115</v>
      </c>
      <c r="H254" s="47">
        <v>146918</v>
      </c>
      <c r="I254" s="47">
        <v>42356</v>
      </c>
      <c r="J254" s="47">
        <v>18015</v>
      </c>
      <c r="K254" s="47" t="s">
        <v>38</v>
      </c>
      <c r="L254" s="47">
        <v>10110</v>
      </c>
      <c r="M254" s="47">
        <v>14231</v>
      </c>
      <c r="N254" s="47">
        <v>232218</v>
      </c>
      <c r="O254" s="47">
        <v>123424</v>
      </c>
      <c r="P254" s="47">
        <v>13920</v>
      </c>
      <c r="Q254" s="47">
        <v>27792</v>
      </c>
      <c r="R254" s="47">
        <v>93118</v>
      </c>
      <c r="S254" s="47">
        <v>22693</v>
      </c>
      <c r="T254" s="47">
        <v>109125</v>
      </c>
      <c r="U254" s="47">
        <f t="shared" si="3"/>
        <v>4.0770297149056667E-2</v>
      </c>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row>
    <row r="255" spans="1:52" x14ac:dyDescent="0.35">
      <c r="A255" s="50" t="s">
        <v>17</v>
      </c>
      <c r="B255" s="51">
        <v>45044</v>
      </c>
      <c r="C255" s="47">
        <v>881082</v>
      </c>
      <c r="D255" s="47">
        <v>200562</v>
      </c>
      <c r="E255" s="47">
        <v>52915</v>
      </c>
      <c r="F255" s="47">
        <v>40670</v>
      </c>
      <c r="G255" s="47">
        <v>114</v>
      </c>
      <c r="H255" s="47">
        <v>147533</v>
      </c>
      <c r="I255" s="47">
        <v>46719</v>
      </c>
      <c r="J255" s="47">
        <v>18105</v>
      </c>
      <c r="K255" s="47" t="s">
        <v>38</v>
      </c>
      <c r="L255" s="47">
        <v>10355</v>
      </c>
      <c r="M255" s="47">
        <v>18259</v>
      </c>
      <c r="N255" s="47">
        <v>236311</v>
      </c>
      <c r="O255" s="47">
        <v>123951</v>
      </c>
      <c r="P255" s="47">
        <v>17660</v>
      </c>
      <c r="Q255" s="47">
        <v>28359</v>
      </c>
      <c r="R255" s="47">
        <v>93208</v>
      </c>
      <c r="S255" s="47">
        <v>25247</v>
      </c>
      <c r="T255" s="47">
        <v>109065</v>
      </c>
      <c r="U255" s="47">
        <f t="shared" si="3"/>
        <v>6.7230500983777031E-3</v>
      </c>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row>
    <row r="256" spans="1:52" x14ac:dyDescent="0.35">
      <c r="A256" s="50" t="s">
        <v>17</v>
      </c>
      <c r="B256" s="51">
        <v>45077</v>
      </c>
      <c r="C256" s="47">
        <v>938427</v>
      </c>
      <c r="D256" s="47">
        <v>196093</v>
      </c>
      <c r="E256" s="47">
        <v>48700</v>
      </c>
      <c r="F256" s="47">
        <v>36682</v>
      </c>
      <c r="G256" s="47">
        <v>111</v>
      </c>
      <c r="H256" s="47">
        <v>147282</v>
      </c>
      <c r="I256" s="47">
        <v>49272</v>
      </c>
      <c r="J256" s="47">
        <v>20979</v>
      </c>
      <c r="K256" s="47" t="s">
        <v>38</v>
      </c>
      <c r="L256" s="47">
        <v>10346</v>
      </c>
      <c r="M256" s="47">
        <v>17947</v>
      </c>
      <c r="N256" s="47">
        <v>247401</v>
      </c>
      <c r="O256" s="47">
        <v>124306</v>
      </c>
      <c r="P256" s="47">
        <v>15377</v>
      </c>
      <c r="Q256" s="47">
        <v>28643</v>
      </c>
      <c r="R256" s="47">
        <v>93899</v>
      </c>
      <c r="S256" s="47">
        <v>22813</v>
      </c>
      <c r="T256" s="47">
        <v>160623</v>
      </c>
      <c r="U256" s="47">
        <f t="shared" si="3"/>
        <v>8.6773796812499748E-2</v>
      </c>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row>
    <row r="257" spans="1:52" x14ac:dyDescent="0.35">
      <c r="A257" s="50" t="s">
        <v>17</v>
      </c>
      <c r="B257" s="51">
        <v>45107</v>
      </c>
      <c r="C257" s="47">
        <v>886894</v>
      </c>
      <c r="D257" s="47">
        <v>196567</v>
      </c>
      <c r="E257" s="47">
        <v>49104</v>
      </c>
      <c r="F257" s="47">
        <v>37019</v>
      </c>
      <c r="G257" s="47">
        <v>107</v>
      </c>
      <c r="H257" s="47">
        <v>147355</v>
      </c>
      <c r="I257" s="47">
        <v>48552</v>
      </c>
      <c r="J257" s="47">
        <v>20491</v>
      </c>
      <c r="K257" s="47" t="s">
        <v>38</v>
      </c>
      <c r="L257" s="47">
        <v>10292</v>
      </c>
      <c r="M257" s="47">
        <v>17769</v>
      </c>
      <c r="N257" s="47">
        <v>233321</v>
      </c>
      <c r="O257" s="47">
        <v>130395</v>
      </c>
      <c r="P257" s="47">
        <v>14728</v>
      </c>
      <c r="Q257" s="47">
        <v>30273</v>
      </c>
      <c r="R257" s="47">
        <v>96674</v>
      </c>
      <c r="S257" s="47">
        <v>24164</v>
      </c>
      <c r="T257" s="47">
        <v>112219</v>
      </c>
      <c r="U257" s="47">
        <f t="shared" si="3"/>
        <v>5.2525770381921522E-2</v>
      </c>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row>
    <row r="258" spans="1:52" x14ac:dyDescent="0.35">
      <c r="A258" s="50" t="s">
        <v>17</v>
      </c>
      <c r="B258" s="51">
        <v>45138</v>
      </c>
      <c r="C258" s="47">
        <v>880763</v>
      </c>
      <c r="D258" s="47">
        <v>195768</v>
      </c>
      <c r="E258" s="47">
        <v>49000</v>
      </c>
      <c r="F258" s="47">
        <v>37336</v>
      </c>
      <c r="G258" s="47">
        <v>106</v>
      </c>
      <c r="H258" s="47">
        <v>146662</v>
      </c>
      <c r="I258" s="47">
        <v>48499</v>
      </c>
      <c r="J258" s="47">
        <v>20531</v>
      </c>
      <c r="K258" s="47" t="s">
        <v>38</v>
      </c>
      <c r="L258" s="47">
        <v>10419</v>
      </c>
      <c r="M258" s="47">
        <v>17549</v>
      </c>
      <c r="N258" s="47">
        <v>245457</v>
      </c>
      <c r="O258" s="47">
        <v>127648</v>
      </c>
      <c r="P258" s="47">
        <v>13588</v>
      </c>
      <c r="Q258" s="47">
        <v>30067</v>
      </c>
      <c r="R258" s="47">
        <v>88482</v>
      </c>
      <c r="S258" s="47">
        <v>23536</v>
      </c>
      <c r="T258" s="47">
        <v>107717</v>
      </c>
      <c r="U258" s="47">
        <f t="shared" si="3"/>
        <v>2.1367983297018167E-3</v>
      </c>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row>
    <row r="259" spans="1:52" x14ac:dyDescent="0.35">
      <c r="A259" s="50" t="s">
        <v>17</v>
      </c>
      <c r="B259" s="51">
        <v>45169</v>
      </c>
      <c r="C259" s="47">
        <v>887025</v>
      </c>
      <c r="D259" s="47">
        <v>196099</v>
      </c>
      <c r="E259" s="47">
        <v>49217</v>
      </c>
      <c r="F259" s="47">
        <v>37461</v>
      </c>
      <c r="G259" s="47">
        <v>127</v>
      </c>
      <c r="H259" s="47">
        <v>146755</v>
      </c>
      <c r="I259" s="47">
        <v>47875</v>
      </c>
      <c r="J259" s="47">
        <v>20051</v>
      </c>
      <c r="K259" s="47" t="s">
        <v>38</v>
      </c>
      <c r="L259" s="47">
        <v>10437</v>
      </c>
      <c r="M259" s="47">
        <v>17386</v>
      </c>
      <c r="N259" s="47">
        <v>242907</v>
      </c>
      <c r="O259" s="47">
        <v>123607</v>
      </c>
      <c r="P259" s="47">
        <v>19396</v>
      </c>
      <c r="Q259" s="47">
        <v>29578</v>
      </c>
      <c r="R259" s="47">
        <v>85857</v>
      </c>
      <c r="S259" s="47">
        <v>23147</v>
      </c>
      <c r="T259" s="47">
        <v>118557</v>
      </c>
      <c r="U259" s="47">
        <f t="shared" si="3"/>
        <v>-1.415487001548188E-2</v>
      </c>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row>
    <row r="260" spans="1:52" x14ac:dyDescent="0.35">
      <c r="A260" s="50" t="s">
        <v>17</v>
      </c>
      <c r="B260" s="51">
        <v>45198</v>
      </c>
      <c r="C260" s="47">
        <v>897230</v>
      </c>
      <c r="D260" s="47">
        <v>195547</v>
      </c>
      <c r="E260" s="47">
        <v>48659</v>
      </c>
      <c r="F260" s="47">
        <v>36816</v>
      </c>
      <c r="G260" s="47">
        <v>118</v>
      </c>
      <c r="H260" s="47">
        <v>146770</v>
      </c>
      <c r="I260" s="47">
        <v>47817</v>
      </c>
      <c r="J260" s="47">
        <v>19996</v>
      </c>
      <c r="K260" s="47" t="s">
        <v>38</v>
      </c>
      <c r="L260" s="47">
        <v>10377</v>
      </c>
      <c r="M260" s="47">
        <v>17443</v>
      </c>
      <c r="N260" s="47">
        <v>240195</v>
      </c>
      <c r="O260" s="47">
        <v>127171</v>
      </c>
      <c r="P260" s="47">
        <v>16348</v>
      </c>
      <c r="Q260" s="47">
        <v>29261</v>
      </c>
      <c r="R260" s="47">
        <v>90362</v>
      </c>
      <c r="S260" s="47">
        <v>23533</v>
      </c>
      <c r="T260" s="47">
        <v>126996</v>
      </c>
      <c r="U260" s="47">
        <f t="shared" si="3"/>
        <v>-3.3479154031685554E-2</v>
      </c>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row>
    <row r="261" spans="1:52" x14ac:dyDescent="0.35">
      <c r="A261" s="50" t="s">
        <v>17</v>
      </c>
      <c r="B261" s="51">
        <v>45230</v>
      </c>
      <c r="C261" s="47">
        <v>892486</v>
      </c>
      <c r="D261" s="47">
        <v>195093</v>
      </c>
      <c r="E261" s="47">
        <v>48106</v>
      </c>
      <c r="F261" s="47">
        <v>36423</v>
      </c>
      <c r="G261" s="47">
        <v>116</v>
      </c>
      <c r="H261" s="47">
        <v>146872</v>
      </c>
      <c r="I261" s="47">
        <v>47169</v>
      </c>
      <c r="J261" s="47">
        <v>19959</v>
      </c>
      <c r="K261" s="47" t="s">
        <v>38</v>
      </c>
      <c r="L261" s="47">
        <v>10493</v>
      </c>
      <c r="M261" s="47">
        <v>16718</v>
      </c>
      <c r="N261" s="47">
        <v>243325</v>
      </c>
      <c r="O261" s="47">
        <v>127663</v>
      </c>
      <c r="P261" s="47">
        <v>20424</v>
      </c>
      <c r="Q261" s="47">
        <v>28073</v>
      </c>
      <c r="R261" s="47">
        <v>90489</v>
      </c>
      <c r="S261" s="47">
        <v>22545</v>
      </c>
      <c r="T261" s="47">
        <v>117707</v>
      </c>
      <c r="U261" s="47">
        <f t="shared" si="3"/>
        <v>-3.8014387434600172E-2</v>
      </c>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row>
    <row r="262" spans="1:52" x14ac:dyDescent="0.35">
      <c r="A262" s="50" t="s">
        <v>17</v>
      </c>
      <c r="B262" s="51">
        <v>45260</v>
      </c>
      <c r="C262" s="47">
        <v>872080</v>
      </c>
      <c r="D262" s="47">
        <v>194271</v>
      </c>
      <c r="E262" s="47">
        <v>47898</v>
      </c>
      <c r="F262" s="47">
        <v>36087</v>
      </c>
      <c r="G262" s="47">
        <v>128</v>
      </c>
      <c r="H262" s="47">
        <v>146245</v>
      </c>
      <c r="I262" s="47">
        <v>47308</v>
      </c>
      <c r="J262" s="47">
        <v>20032</v>
      </c>
      <c r="K262" s="47" t="s">
        <v>38</v>
      </c>
      <c r="L262" s="47">
        <v>10673</v>
      </c>
      <c r="M262" s="47">
        <v>16603</v>
      </c>
      <c r="N262" s="47">
        <v>227128</v>
      </c>
      <c r="O262" s="47">
        <v>128500</v>
      </c>
      <c r="P262" s="47">
        <v>16905</v>
      </c>
      <c r="Q262" s="47">
        <v>30048</v>
      </c>
      <c r="R262" s="47">
        <v>83838</v>
      </c>
      <c r="S262" s="47">
        <v>22360</v>
      </c>
      <c r="T262" s="47">
        <v>121723</v>
      </c>
      <c r="U262" s="47">
        <f t="shared" si="3"/>
        <v>-3.7111954174266715E-2</v>
      </c>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row>
    <row r="263" spans="1:52" x14ac:dyDescent="0.35">
      <c r="A263" s="50">
        <v>45289</v>
      </c>
      <c r="B263" s="51">
        <v>45289</v>
      </c>
      <c r="C263" s="47">
        <v>847456</v>
      </c>
      <c r="D263" s="47">
        <v>193157</v>
      </c>
      <c r="E263" s="47">
        <v>46971</v>
      </c>
      <c r="F263" s="47">
        <v>35259</v>
      </c>
      <c r="G263" s="47">
        <v>116</v>
      </c>
      <c r="H263" s="47">
        <v>146069</v>
      </c>
      <c r="I263" s="47">
        <v>47712</v>
      </c>
      <c r="J263" s="47">
        <v>20030</v>
      </c>
      <c r="K263" s="47" t="s">
        <v>38</v>
      </c>
      <c r="L263" s="47">
        <v>10904</v>
      </c>
      <c r="M263" s="47">
        <v>16778</v>
      </c>
      <c r="N263" s="47">
        <v>225284</v>
      </c>
      <c r="O263" s="47">
        <v>123120</v>
      </c>
      <c r="P263" s="47">
        <v>14870</v>
      </c>
      <c r="Q263" s="47">
        <v>30321</v>
      </c>
      <c r="R263" s="47">
        <v>97482</v>
      </c>
      <c r="S263" s="47">
        <v>20630</v>
      </c>
      <c r="T263" s="47">
        <v>94879</v>
      </c>
      <c r="U263" s="47">
        <f t="shared" si="3"/>
        <v>-2.3123492823187153E-2</v>
      </c>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row>
    <row r="264" spans="1:52" x14ac:dyDescent="0.35">
      <c r="A264" s="50">
        <v>45322</v>
      </c>
      <c r="B264" s="51">
        <v>45322</v>
      </c>
      <c r="C264" s="47">
        <v>874814</v>
      </c>
      <c r="D264" s="47">
        <v>194146</v>
      </c>
      <c r="E264" s="47">
        <v>46586</v>
      </c>
      <c r="F264" s="47">
        <v>35037</v>
      </c>
      <c r="G264" s="47">
        <v>103</v>
      </c>
      <c r="H264" s="47">
        <v>147458</v>
      </c>
      <c r="I264" s="47">
        <v>47622</v>
      </c>
      <c r="J264" s="47">
        <v>19941</v>
      </c>
      <c r="K264" s="47" t="s">
        <v>38</v>
      </c>
      <c r="L264" s="47">
        <v>11014</v>
      </c>
      <c r="M264" s="47">
        <v>16667</v>
      </c>
      <c r="N264" s="47">
        <v>240465</v>
      </c>
      <c r="O264" s="47">
        <v>123924</v>
      </c>
      <c r="P264" s="47">
        <v>15886</v>
      </c>
      <c r="Q264" s="47">
        <v>29865</v>
      </c>
      <c r="R264" s="47">
        <v>89384</v>
      </c>
      <c r="S264" s="47">
        <v>22249</v>
      </c>
      <c r="T264" s="47">
        <v>111273</v>
      </c>
      <c r="U264" s="47">
        <f t="shared" si="3"/>
        <v>3.9904193211122152E-3</v>
      </c>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row>
    <row r="265" spans="1:52" x14ac:dyDescent="0.35">
      <c r="A265" s="50" t="s">
        <v>17</v>
      </c>
      <c r="B265" s="51">
        <v>45351</v>
      </c>
      <c r="C265" s="47">
        <v>871956</v>
      </c>
      <c r="D265" s="47">
        <v>195210</v>
      </c>
      <c r="E265" s="47">
        <v>47860</v>
      </c>
      <c r="F265" s="47">
        <v>36394</v>
      </c>
      <c r="G265" s="47">
        <v>138</v>
      </c>
      <c r="H265" s="47">
        <v>147212</v>
      </c>
      <c r="I265" s="47">
        <v>45071</v>
      </c>
      <c r="J265" s="47">
        <v>18429</v>
      </c>
      <c r="K265" s="47" t="s">
        <v>38</v>
      </c>
      <c r="L265" s="47">
        <v>10939</v>
      </c>
      <c r="M265" s="47">
        <v>15704</v>
      </c>
      <c r="N265" s="47">
        <v>235900</v>
      </c>
      <c r="O265" s="47">
        <v>125448</v>
      </c>
      <c r="P265" s="47">
        <v>17342</v>
      </c>
      <c r="Q265" s="47">
        <v>29197</v>
      </c>
      <c r="R265" s="47">
        <v>87263</v>
      </c>
      <c r="S265" s="47">
        <v>22677</v>
      </c>
      <c r="T265" s="47">
        <v>113847</v>
      </c>
      <c r="U265" s="47">
        <f t="shared" si="3"/>
        <v>-9.351421913752378E-3</v>
      </c>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row>
    <row r="266" spans="1:52" x14ac:dyDescent="0.35">
      <c r="A266" s="50" t="s">
        <v>17</v>
      </c>
      <c r="B266" s="51">
        <v>45379</v>
      </c>
      <c r="C266" s="47">
        <v>871965</v>
      </c>
      <c r="D266" s="47">
        <v>196165</v>
      </c>
      <c r="E266" s="47">
        <v>48323</v>
      </c>
      <c r="F266" s="47">
        <v>36908</v>
      </c>
      <c r="G266" s="47">
        <v>130</v>
      </c>
      <c r="H266" s="47">
        <v>147712</v>
      </c>
      <c r="I266" s="47">
        <v>44878</v>
      </c>
      <c r="J266" s="47">
        <v>18661</v>
      </c>
      <c r="K266" s="47" t="s">
        <v>38</v>
      </c>
      <c r="L266" s="47">
        <v>10653</v>
      </c>
      <c r="M266" s="47">
        <v>15564</v>
      </c>
      <c r="N266" s="47">
        <v>224155</v>
      </c>
      <c r="O266" s="47">
        <v>130452</v>
      </c>
      <c r="P266" s="47">
        <v>18380</v>
      </c>
      <c r="Q266" s="47">
        <v>32449</v>
      </c>
      <c r="R266" s="47">
        <v>92694</v>
      </c>
      <c r="S266" s="47">
        <v>23677</v>
      </c>
      <c r="T266" s="47">
        <v>109116</v>
      </c>
      <c r="U266" s="47">
        <f t="shared" si="3"/>
        <v>9.9540058676976795E-3</v>
      </c>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row>
    <row r="267" spans="1:52" x14ac:dyDescent="0.35">
      <c r="A267" s="50" t="s">
        <v>17</v>
      </c>
      <c r="B267" s="51">
        <v>45412</v>
      </c>
      <c r="C267" s="47">
        <v>875104</v>
      </c>
      <c r="D267" s="47">
        <v>195273</v>
      </c>
      <c r="E267" s="47">
        <v>48467</v>
      </c>
      <c r="F267" s="47">
        <v>37090</v>
      </c>
      <c r="G267" s="47">
        <v>116</v>
      </c>
      <c r="H267" s="47">
        <v>146690</v>
      </c>
      <c r="I267" s="47">
        <v>45126</v>
      </c>
      <c r="J267" s="47">
        <v>18910</v>
      </c>
      <c r="K267" s="47" t="s">
        <v>38</v>
      </c>
      <c r="L267" s="47">
        <v>10550</v>
      </c>
      <c r="M267" s="47">
        <v>15665</v>
      </c>
      <c r="N267" s="47">
        <v>230150</v>
      </c>
      <c r="O267" s="47">
        <v>130315</v>
      </c>
      <c r="P267" s="47">
        <v>20546</v>
      </c>
      <c r="Q267" s="47">
        <v>33241</v>
      </c>
      <c r="R267" s="47">
        <v>92582</v>
      </c>
      <c r="S267" s="47">
        <v>21869</v>
      </c>
      <c r="T267" s="47">
        <v>106001</v>
      </c>
      <c r="U267" s="47">
        <f t="shared" si="3"/>
        <v>-6.7848395495538893E-3</v>
      </c>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row>
    <row r="268" spans="1:52" x14ac:dyDescent="0.35">
      <c r="A268" s="50" t="s">
        <v>17</v>
      </c>
      <c r="B268" s="51">
        <v>45443</v>
      </c>
      <c r="C268" s="47">
        <v>883598</v>
      </c>
      <c r="D268" s="47">
        <v>196083</v>
      </c>
      <c r="E268" s="47">
        <v>48752</v>
      </c>
      <c r="F268" s="47">
        <v>37439</v>
      </c>
      <c r="G268" s="47">
        <v>176</v>
      </c>
      <c r="H268" s="47">
        <v>147155</v>
      </c>
      <c r="I268" s="47">
        <v>44984</v>
      </c>
      <c r="J268" s="47">
        <v>18723</v>
      </c>
      <c r="K268" s="47" t="s">
        <v>38</v>
      </c>
      <c r="L268" s="47">
        <v>10636</v>
      </c>
      <c r="M268" s="47">
        <v>15625</v>
      </c>
      <c r="N268" s="47">
        <v>226397</v>
      </c>
      <c r="O268" s="47">
        <v>129393</v>
      </c>
      <c r="P268" s="47">
        <v>20048</v>
      </c>
      <c r="Q268" s="47">
        <v>34154</v>
      </c>
      <c r="R268" s="47">
        <v>90757</v>
      </c>
      <c r="S268" s="47">
        <v>23696</v>
      </c>
      <c r="T268" s="47">
        <v>118086</v>
      </c>
      <c r="U268" s="47">
        <f t="shared" si="3"/>
        <v>-5.8426494548856733E-2</v>
      </c>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row>
    <row r="269" spans="1:52" x14ac:dyDescent="0.35">
      <c r="A269" s="50" t="s">
        <v>17</v>
      </c>
      <c r="B269" s="51">
        <v>45471</v>
      </c>
      <c r="C269" s="47">
        <v>878340</v>
      </c>
      <c r="D269" s="47">
        <v>197059</v>
      </c>
      <c r="E269" s="47">
        <v>49846</v>
      </c>
      <c r="F269" s="47">
        <v>38322</v>
      </c>
      <c r="G269" s="47">
        <v>110</v>
      </c>
      <c r="H269" s="47">
        <v>147103</v>
      </c>
      <c r="I269" s="47">
        <v>46064</v>
      </c>
      <c r="J269" s="47">
        <v>18507</v>
      </c>
      <c r="K269" s="47" t="s">
        <v>38</v>
      </c>
      <c r="L269" s="47">
        <v>10449</v>
      </c>
      <c r="M269" s="47">
        <v>17108</v>
      </c>
      <c r="N269" s="47">
        <v>224077</v>
      </c>
      <c r="O269" s="47">
        <v>132672</v>
      </c>
      <c r="P269" s="47">
        <v>21170</v>
      </c>
      <c r="Q269" s="47">
        <v>35362</v>
      </c>
      <c r="R269" s="47">
        <v>93000</v>
      </c>
      <c r="S269" s="47">
        <v>20441</v>
      </c>
      <c r="T269" s="47">
        <v>108496</v>
      </c>
      <c r="U269" s="47">
        <f t="shared" si="3"/>
        <v>-9.6448955568534389E-3</v>
      </c>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47"/>
      <c r="AZ269" s="47"/>
    </row>
    <row r="270" spans="1:52" x14ac:dyDescent="0.35">
      <c r="A270" s="50" t="s">
        <v>17</v>
      </c>
      <c r="B270" s="51">
        <v>45504</v>
      </c>
      <c r="C270" s="47">
        <v>877994</v>
      </c>
      <c r="D270" s="47">
        <v>197773</v>
      </c>
      <c r="E270" s="47">
        <v>49752</v>
      </c>
      <c r="F270" s="47">
        <v>38376</v>
      </c>
      <c r="G270" s="47">
        <v>108</v>
      </c>
      <c r="H270" s="47">
        <v>147914</v>
      </c>
      <c r="I270" s="47">
        <v>45961</v>
      </c>
      <c r="J270" s="47">
        <v>18392</v>
      </c>
      <c r="K270" s="47" t="s">
        <v>38</v>
      </c>
      <c r="L270" s="47">
        <v>10635</v>
      </c>
      <c r="M270" s="47">
        <v>16934</v>
      </c>
      <c r="N270" s="47">
        <v>226692</v>
      </c>
      <c r="O270" s="47">
        <v>131472</v>
      </c>
      <c r="P270" s="47">
        <v>22347</v>
      </c>
      <c r="Q270" s="47">
        <v>35151</v>
      </c>
      <c r="R270" s="47">
        <v>89882</v>
      </c>
      <c r="S270" s="47">
        <v>19030</v>
      </c>
      <c r="T270" s="47">
        <v>109686</v>
      </c>
      <c r="U270" s="47">
        <f t="shared" si="3"/>
        <v>-3.1438650352024755E-3</v>
      </c>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row>
    <row r="271" spans="1:52" x14ac:dyDescent="0.35">
      <c r="A271" s="50" t="s">
        <v>17</v>
      </c>
      <c r="B271" s="51">
        <v>45534</v>
      </c>
      <c r="C271" s="47">
        <v>883904</v>
      </c>
      <c r="D271" s="47">
        <v>197768</v>
      </c>
      <c r="E271" s="47">
        <v>49786</v>
      </c>
      <c r="F271" s="47">
        <v>38475</v>
      </c>
      <c r="G271" s="47">
        <v>127</v>
      </c>
      <c r="H271" s="47">
        <v>147854</v>
      </c>
      <c r="I271" s="47">
        <v>45944</v>
      </c>
      <c r="J271" s="47">
        <v>18408</v>
      </c>
      <c r="K271" s="47" t="s">
        <v>38</v>
      </c>
      <c r="L271" s="47">
        <v>10684</v>
      </c>
      <c r="M271" s="47">
        <v>16852</v>
      </c>
      <c r="N271" s="47">
        <v>228167</v>
      </c>
      <c r="O271" s="47">
        <v>130625</v>
      </c>
      <c r="P271" s="47">
        <v>21188</v>
      </c>
      <c r="Q271" s="47">
        <v>36650</v>
      </c>
      <c r="R271" s="47">
        <v>90884</v>
      </c>
      <c r="S271" s="47">
        <v>20781</v>
      </c>
      <c r="T271" s="47">
        <v>111899</v>
      </c>
      <c r="U271" s="47">
        <f t="shared" si="3"/>
        <v>-3.5185028606860014E-3</v>
      </c>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row>
    <row r="272" spans="1:52" x14ac:dyDescent="0.35">
      <c r="A272" s="50" t="s">
        <v>17</v>
      </c>
      <c r="B272" s="51">
        <v>45565</v>
      </c>
      <c r="C272" s="47">
        <v>891437</v>
      </c>
      <c r="D272" s="47">
        <v>199446</v>
      </c>
      <c r="E272" s="47">
        <v>50257</v>
      </c>
      <c r="F272" s="47">
        <v>38838</v>
      </c>
      <c r="G272" s="47">
        <v>118</v>
      </c>
      <c r="H272" s="47">
        <v>149071</v>
      </c>
      <c r="I272" s="47">
        <v>46161</v>
      </c>
      <c r="J272" s="47">
        <v>18370</v>
      </c>
      <c r="K272" s="47" t="s">
        <v>38</v>
      </c>
      <c r="L272" s="47">
        <v>10797</v>
      </c>
      <c r="M272" s="47">
        <v>16993</v>
      </c>
      <c r="N272" s="47">
        <v>232780</v>
      </c>
      <c r="O272" s="47">
        <v>133456</v>
      </c>
      <c r="P272" s="47">
        <v>22963</v>
      </c>
      <c r="Q272" s="47">
        <v>36787</v>
      </c>
      <c r="R272" s="47">
        <v>87090</v>
      </c>
      <c r="S272" s="47">
        <v>19362</v>
      </c>
      <c r="T272" s="47">
        <v>113392</v>
      </c>
      <c r="U272" s="47">
        <f t="shared" si="3"/>
        <v>-6.4565384572518036E-3</v>
      </c>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row>
    <row r="273" spans="1:52" x14ac:dyDescent="0.35">
      <c r="A273" s="50" t="s">
        <v>17</v>
      </c>
      <c r="B273" s="51">
        <v>45596</v>
      </c>
      <c r="C273" s="47">
        <v>917747</v>
      </c>
      <c r="D273" s="47">
        <v>197681</v>
      </c>
      <c r="E273" s="47">
        <v>48008</v>
      </c>
      <c r="F273" s="47">
        <v>36847</v>
      </c>
      <c r="G273" s="47">
        <v>132</v>
      </c>
      <c r="H273" s="47">
        <v>149541</v>
      </c>
      <c r="I273" s="47">
        <v>46464</v>
      </c>
      <c r="J273" s="47">
        <v>20436</v>
      </c>
      <c r="K273" s="47" t="s">
        <v>38</v>
      </c>
      <c r="L273" s="47">
        <v>10891</v>
      </c>
      <c r="M273" s="47">
        <v>15137</v>
      </c>
      <c r="N273" s="47">
        <v>243688</v>
      </c>
      <c r="O273" s="47">
        <v>137763</v>
      </c>
      <c r="P273" s="47">
        <v>23760</v>
      </c>
      <c r="Q273" s="47">
        <v>36068</v>
      </c>
      <c r="R273" s="47">
        <v>93243</v>
      </c>
      <c r="S273" s="47">
        <v>22597</v>
      </c>
      <c r="T273" s="47">
        <v>116483</v>
      </c>
      <c r="U273" s="47">
        <f t="shared" si="3"/>
        <v>2.8304085442236726E-2</v>
      </c>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row>
    <row r="274" spans="1:52" x14ac:dyDescent="0.35">
      <c r="A274" s="50" t="s">
        <v>17</v>
      </c>
      <c r="B274" s="51">
        <v>45625</v>
      </c>
      <c r="C274" s="47">
        <v>952208</v>
      </c>
      <c r="D274" s="47">
        <v>199866</v>
      </c>
      <c r="E274" s="47">
        <v>49392</v>
      </c>
      <c r="F274" s="47">
        <v>38001</v>
      </c>
      <c r="G274" s="47">
        <v>147</v>
      </c>
      <c r="H274" s="47">
        <v>150327</v>
      </c>
      <c r="I274" s="47">
        <v>46410</v>
      </c>
      <c r="J274" s="47">
        <v>19817</v>
      </c>
      <c r="K274" s="47" t="s">
        <v>38</v>
      </c>
      <c r="L274" s="47">
        <v>10917</v>
      </c>
      <c r="M274" s="47">
        <v>15676</v>
      </c>
      <c r="N274" s="47">
        <v>264232</v>
      </c>
      <c r="O274" s="47">
        <v>145368</v>
      </c>
      <c r="P274" s="47">
        <v>23302</v>
      </c>
      <c r="Q274" s="47">
        <v>38303</v>
      </c>
      <c r="R274" s="47">
        <v>86617</v>
      </c>
      <c r="S274" s="47">
        <v>25328</v>
      </c>
      <c r="T274" s="47">
        <v>122782</v>
      </c>
      <c r="U274" s="47">
        <f t="shared" si="3"/>
        <v>9.1881478763416125E-2</v>
      </c>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row>
    <row r="275" spans="1:52" x14ac:dyDescent="0.35">
      <c r="A275" s="50">
        <v>45657</v>
      </c>
      <c r="B275" s="51">
        <v>45657</v>
      </c>
      <c r="C275" s="47">
        <v>911527</v>
      </c>
      <c r="D275" s="47">
        <v>201137</v>
      </c>
      <c r="E275" s="47">
        <v>49646</v>
      </c>
      <c r="F275" s="47">
        <v>38398</v>
      </c>
      <c r="G275" s="47">
        <v>115</v>
      </c>
      <c r="H275" s="47">
        <v>151376</v>
      </c>
      <c r="I275" s="47">
        <v>46556</v>
      </c>
      <c r="J275" s="47">
        <v>19887</v>
      </c>
      <c r="K275" s="47" t="s">
        <v>38</v>
      </c>
      <c r="L275" s="47">
        <v>10871</v>
      </c>
      <c r="M275" s="47">
        <v>15798</v>
      </c>
      <c r="N275" s="47">
        <v>249019</v>
      </c>
      <c r="O275" s="47">
        <v>148123</v>
      </c>
      <c r="P275" s="47">
        <v>17958</v>
      </c>
      <c r="Q275" s="47">
        <v>37311</v>
      </c>
      <c r="R275" s="47">
        <v>91877</v>
      </c>
      <c r="S275" s="47">
        <v>18452</v>
      </c>
      <c r="T275" s="47">
        <v>101093</v>
      </c>
      <c r="U275" s="47">
        <f t="shared" si="3"/>
        <v>7.56039251595364E-2</v>
      </c>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47"/>
      <c r="AZ275" s="47"/>
    </row>
    <row r="276" spans="1:52" x14ac:dyDescent="0.35">
      <c r="A276" s="50">
        <v>45688</v>
      </c>
      <c r="B276" s="51">
        <v>45688</v>
      </c>
      <c r="C276" s="47">
        <v>935019</v>
      </c>
      <c r="D276" s="47">
        <v>200735</v>
      </c>
      <c r="E276" s="47">
        <v>49472</v>
      </c>
      <c r="F276" s="47">
        <v>38327</v>
      </c>
      <c r="G276" s="47">
        <v>121</v>
      </c>
      <c r="H276" s="47">
        <v>151142</v>
      </c>
      <c r="I276" s="47">
        <v>46969</v>
      </c>
      <c r="J276" s="47">
        <v>20055</v>
      </c>
      <c r="K276" s="47" t="s">
        <v>38</v>
      </c>
      <c r="L276" s="47">
        <v>11326</v>
      </c>
      <c r="M276" s="47">
        <v>15588</v>
      </c>
      <c r="N276" s="47">
        <v>265088</v>
      </c>
      <c r="O276" s="47">
        <v>143186</v>
      </c>
      <c r="P276" s="47">
        <v>19475</v>
      </c>
      <c r="Q276" s="47">
        <v>40183</v>
      </c>
      <c r="R276" s="47">
        <v>86582</v>
      </c>
      <c r="S276" s="47">
        <v>19050</v>
      </c>
      <c r="T276" s="47">
        <v>113750</v>
      </c>
      <c r="U276" s="47">
        <f t="shared" si="3"/>
        <v>6.8820343524452099E-2</v>
      </c>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row>
    <row r="277" spans="1:52" x14ac:dyDescent="0.35">
      <c r="A277" s="50"/>
      <c r="B277" s="51"/>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row>
    <row r="278" spans="1:52" hidden="1" x14ac:dyDescent="0.35">
      <c r="A278" s="50"/>
      <c r="B278" s="51"/>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47"/>
      <c r="AZ278" s="47"/>
    </row>
    <row r="279" spans="1:52" hidden="1" x14ac:dyDescent="0.35">
      <c r="A279" s="50"/>
      <c r="B279" s="51"/>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row>
    <row r="280" spans="1:52" hidden="1" x14ac:dyDescent="0.35">
      <c r="A280" s="50"/>
      <c r="B280" s="51"/>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row>
    <row r="281" spans="1:52" hidden="1" x14ac:dyDescent="0.35">
      <c r="A281" s="50"/>
      <c r="B281" s="51"/>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47"/>
      <c r="AZ281" s="47"/>
    </row>
    <row r="282" spans="1:52" hidden="1" x14ac:dyDescent="0.35">
      <c r="A282" s="50"/>
      <c r="B282" s="51"/>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row>
    <row r="283" spans="1:52" hidden="1" x14ac:dyDescent="0.35">
      <c r="A283" s="50"/>
      <c r="B283" s="51"/>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row>
    <row r="284" spans="1:52" hidden="1" x14ac:dyDescent="0.35">
      <c r="A284" s="50"/>
      <c r="B284" s="51"/>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row>
    <row r="285" spans="1:52" hidden="1" x14ac:dyDescent="0.35">
      <c r="A285" s="50"/>
      <c r="B285" s="51"/>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row>
    <row r="286" spans="1:52" hidden="1" x14ac:dyDescent="0.35">
      <c r="A286" s="50"/>
      <c r="B286" s="51"/>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row>
    <row r="287" spans="1:52" hidden="1" x14ac:dyDescent="0.35">
      <c r="A287" s="50"/>
      <c r="B287" s="51"/>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row>
    <row r="288" spans="1:52" hidden="1" x14ac:dyDescent="0.35">
      <c r="A288" s="50"/>
      <c r="B288" s="51"/>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row>
    <row r="289" spans="1:52" hidden="1" x14ac:dyDescent="0.35">
      <c r="A289" s="50"/>
      <c r="B289" s="51"/>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row>
    <row r="290" spans="1:52" hidden="1" x14ac:dyDescent="0.35">
      <c r="A290" s="50"/>
      <c r="B290" s="51"/>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row>
    <row r="291" spans="1:52" hidden="1" x14ac:dyDescent="0.35">
      <c r="A291" s="50"/>
      <c r="B291" s="51"/>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row>
    <row r="292" spans="1:52" hidden="1" x14ac:dyDescent="0.35">
      <c r="A292" s="50"/>
      <c r="B292" s="51"/>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47"/>
      <c r="AZ292" s="47"/>
    </row>
    <row r="293" spans="1:52" hidden="1" x14ac:dyDescent="0.35">
      <c r="A293" s="50"/>
      <c r="B293" s="51"/>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row>
    <row r="294" spans="1:52" hidden="1" x14ac:dyDescent="0.35">
      <c r="A294" s="50"/>
      <c r="B294" s="51"/>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row>
    <row r="295" spans="1:52" hidden="1" x14ac:dyDescent="0.35">
      <c r="A295" s="50"/>
      <c r="B295" s="51"/>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row>
    <row r="296" spans="1:52" hidden="1" x14ac:dyDescent="0.35">
      <c r="A296" s="50"/>
      <c r="B296" s="51"/>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row>
    <row r="297" spans="1:52" hidden="1" x14ac:dyDescent="0.35">
      <c r="A297" s="50"/>
      <c r="B297" s="51"/>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row>
    <row r="298" spans="1:52" hidden="1" x14ac:dyDescent="0.35">
      <c r="A298" s="50"/>
      <c r="B298" s="51"/>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47"/>
      <c r="AZ298" s="47"/>
    </row>
    <row r="299" spans="1:52" hidden="1" x14ac:dyDescent="0.35">
      <c r="A299" s="50"/>
      <c r="B299" s="51"/>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c r="AW299" s="47"/>
      <c r="AX299" s="47"/>
      <c r="AY299" s="47"/>
      <c r="AZ299" s="47"/>
    </row>
    <row r="300" spans="1:52" hidden="1" x14ac:dyDescent="0.35">
      <c r="A300" s="50"/>
      <c r="B300" s="51"/>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47"/>
      <c r="AZ300" s="47"/>
    </row>
    <row r="301" spans="1:52" hidden="1" x14ac:dyDescent="0.35">
      <c r="A301" s="50"/>
      <c r="B301" s="51"/>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row>
    <row r="302" spans="1:52" hidden="1" x14ac:dyDescent="0.35">
      <c r="A302" s="50"/>
      <c r="B302" s="51"/>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47"/>
      <c r="AZ302" s="47"/>
    </row>
    <row r="303" spans="1:52" hidden="1" x14ac:dyDescent="0.35">
      <c r="A303" s="50"/>
      <c r="B303" s="51"/>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row>
    <row r="304" spans="1:52" hidden="1" x14ac:dyDescent="0.35">
      <c r="A304" s="50"/>
      <c r="B304" s="51"/>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row>
    <row r="305" spans="1:52" hidden="1" x14ac:dyDescent="0.35">
      <c r="A305" s="50"/>
      <c r="B305" s="51"/>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row>
    <row r="306" spans="1:52" hidden="1" x14ac:dyDescent="0.35">
      <c r="A306" s="50"/>
      <c r="B306" s="51"/>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47"/>
      <c r="AZ306" s="47"/>
    </row>
    <row r="307" spans="1:52" hidden="1" x14ac:dyDescent="0.35">
      <c r="A307" s="50"/>
      <c r="B307" s="51"/>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row>
    <row r="308" spans="1:52" hidden="1" x14ac:dyDescent="0.35">
      <c r="A308" s="50"/>
      <c r="B308" s="51"/>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row>
    <row r="309" spans="1:52" hidden="1" x14ac:dyDescent="0.35">
      <c r="A309" s="50"/>
      <c r="B309" s="51"/>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47"/>
      <c r="AZ309" s="47"/>
    </row>
    <row r="310" spans="1:52" hidden="1" x14ac:dyDescent="0.35">
      <c r="A310" s="50"/>
      <c r="B310" s="51"/>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47"/>
      <c r="AZ310" s="47"/>
    </row>
    <row r="311" spans="1:52" hidden="1" x14ac:dyDescent="0.35">
      <c r="A311" s="50"/>
      <c r="B311" s="51"/>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c r="AW311" s="47"/>
      <c r="AX311" s="47"/>
      <c r="AY311" s="47"/>
      <c r="AZ311" s="47"/>
    </row>
    <row r="312" spans="1:52" hidden="1" x14ac:dyDescent="0.35">
      <c r="A312" s="50"/>
      <c r="B312" s="51"/>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c r="AW312" s="47"/>
      <c r="AX312" s="47"/>
      <c r="AY312" s="47"/>
      <c r="AZ312" s="47"/>
    </row>
    <row r="313" spans="1:52" hidden="1" x14ac:dyDescent="0.35">
      <c r="A313" s="50"/>
      <c r="B313" s="51"/>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47"/>
      <c r="AZ313" s="47"/>
    </row>
    <row r="314" spans="1:52" hidden="1" x14ac:dyDescent="0.35">
      <c r="A314" s="50"/>
      <c r="B314" s="51"/>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c r="AW314" s="47"/>
      <c r="AX314" s="47"/>
      <c r="AY314" s="47"/>
      <c r="AZ314" s="47"/>
    </row>
    <row r="315" spans="1:52" hidden="1" x14ac:dyDescent="0.35">
      <c r="A315" s="50"/>
      <c r="B315" s="51"/>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47"/>
      <c r="AZ315" s="47"/>
    </row>
    <row r="316" spans="1:52" hidden="1" x14ac:dyDescent="0.35">
      <c r="A316" s="50"/>
      <c r="B316" s="51"/>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row>
    <row r="317" spans="1:52" hidden="1" x14ac:dyDescent="0.35">
      <c r="A317" s="50"/>
      <c r="B317" s="51"/>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row>
    <row r="318" spans="1:52" hidden="1" x14ac:dyDescent="0.35">
      <c r="A318" s="50"/>
      <c r="B318" s="51"/>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row>
    <row r="319" spans="1:52" hidden="1" x14ac:dyDescent="0.35">
      <c r="A319" s="50"/>
      <c r="B319" s="51"/>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47"/>
      <c r="AZ319" s="47"/>
    </row>
    <row r="320" spans="1:52" hidden="1" x14ac:dyDescent="0.35">
      <c r="A320" s="50"/>
      <c r="B320" s="51"/>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c r="AV320" s="47"/>
      <c r="AW320" s="47"/>
      <c r="AX320" s="47"/>
      <c r="AY320" s="47"/>
      <c r="AZ320" s="47"/>
    </row>
    <row r="321" spans="1:52" hidden="1" x14ac:dyDescent="0.35">
      <c r="A321" s="50"/>
      <c r="B321" s="51"/>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47"/>
      <c r="AZ321" s="47"/>
    </row>
    <row r="322" spans="1:52" hidden="1" x14ac:dyDescent="0.35">
      <c r="A322" s="50"/>
      <c r="B322" s="51"/>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c r="AV322" s="47"/>
      <c r="AW322" s="47"/>
      <c r="AX322" s="47"/>
      <c r="AY322" s="47"/>
      <c r="AZ322" s="47"/>
    </row>
    <row r="323" spans="1:52" hidden="1" x14ac:dyDescent="0.35">
      <c r="A323" s="50"/>
      <c r="B323" s="51"/>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c r="AV323" s="47"/>
      <c r="AW323" s="47"/>
      <c r="AX323" s="47"/>
      <c r="AY323" s="47"/>
      <c r="AZ323" s="47"/>
    </row>
    <row r="324" spans="1:52" hidden="1" x14ac:dyDescent="0.35">
      <c r="A324" s="50"/>
      <c r="B324" s="51"/>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c r="AW324" s="47"/>
      <c r="AX324" s="47"/>
      <c r="AY324" s="47"/>
      <c r="AZ324" s="47"/>
    </row>
    <row r="325" spans="1:52" hidden="1" x14ac:dyDescent="0.35">
      <c r="A325" s="50"/>
      <c r="B325" s="51"/>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47"/>
      <c r="AY325" s="47"/>
      <c r="AZ325" s="47"/>
    </row>
    <row r="326" spans="1:52" hidden="1" x14ac:dyDescent="0.35">
      <c r="A326" s="50"/>
      <c r="B326" s="51"/>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row>
    <row r="327" spans="1:52" hidden="1" x14ac:dyDescent="0.35">
      <c r="A327" s="50"/>
      <c r="B327" s="51"/>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c r="AU327" s="47"/>
      <c r="AV327" s="47"/>
      <c r="AW327" s="47"/>
      <c r="AX327" s="47"/>
      <c r="AY327" s="47"/>
      <c r="AZ327" s="47"/>
    </row>
    <row r="328" spans="1:52" hidden="1" x14ac:dyDescent="0.35">
      <c r="A328" s="50"/>
      <c r="B328" s="51"/>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c r="AU328" s="47"/>
      <c r="AV328" s="47"/>
      <c r="AW328" s="47"/>
      <c r="AX328" s="47"/>
      <c r="AY328" s="47"/>
      <c r="AZ328" s="47"/>
    </row>
    <row r="329" spans="1:52" hidden="1" x14ac:dyDescent="0.35">
      <c r="A329" s="50"/>
      <c r="B329" s="51"/>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c r="AW329" s="47"/>
      <c r="AX329" s="47"/>
      <c r="AY329" s="47"/>
      <c r="AZ329" s="47"/>
    </row>
    <row r="330" spans="1:52" hidden="1" x14ac:dyDescent="0.35">
      <c r="A330" s="50"/>
      <c r="B330" s="51"/>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c r="AV330" s="47"/>
      <c r="AW330" s="47"/>
      <c r="AX330" s="47"/>
      <c r="AY330" s="47"/>
      <c r="AZ330" s="47"/>
    </row>
    <row r="331" spans="1:52" hidden="1" x14ac:dyDescent="0.35">
      <c r="A331" s="50"/>
      <c r="B331" s="51"/>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c r="AV331" s="47"/>
      <c r="AW331" s="47"/>
      <c r="AX331" s="47"/>
      <c r="AY331" s="47"/>
      <c r="AZ331" s="47"/>
    </row>
    <row r="332" spans="1:52" hidden="1" x14ac:dyDescent="0.35">
      <c r="A332" s="50"/>
      <c r="B332" s="51"/>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c r="AV332" s="47"/>
      <c r="AW332" s="47"/>
      <c r="AX332" s="47"/>
      <c r="AY332" s="47"/>
      <c r="AZ332" s="47"/>
    </row>
    <row r="333" spans="1:52" hidden="1" x14ac:dyDescent="0.35">
      <c r="A333" s="50"/>
      <c r="B333" s="51"/>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c r="AV333" s="47"/>
      <c r="AW333" s="47"/>
      <c r="AX333" s="47"/>
      <c r="AY333" s="47"/>
      <c r="AZ333" s="47"/>
    </row>
    <row r="334" spans="1:52" hidden="1" x14ac:dyDescent="0.35">
      <c r="A334" s="50"/>
      <c r="B334" s="51"/>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c r="AV334" s="47"/>
      <c r="AW334" s="47"/>
      <c r="AX334" s="47"/>
      <c r="AY334" s="47"/>
      <c r="AZ334" s="47"/>
    </row>
    <row r="335" spans="1:52" hidden="1" x14ac:dyDescent="0.35">
      <c r="A335" s="50"/>
      <c r="B335" s="51"/>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c r="AW335" s="47"/>
      <c r="AX335" s="47"/>
      <c r="AY335" s="47"/>
      <c r="AZ335" s="47"/>
    </row>
    <row r="336" spans="1:52" hidden="1" x14ac:dyDescent="0.35">
      <c r="A336" s="50"/>
      <c r="B336" s="51"/>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47"/>
      <c r="AY336" s="47"/>
      <c r="AZ336" s="47"/>
    </row>
    <row r="337" spans="1:52" hidden="1" x14ac:dyDescent="0.35">
      <c r="A337" s="50"/>
      <c r="B337" s="51"/>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c r="AU337" s="47"/>
      <c r="AV337" s="47"/>
      <c r="AW337" s="47"/>
      <c r="AX337" s="47"/>
      <c r="AY337" s="47"/>
      <c r="AZ337" s="47"/>
    </row>
    <row r="338" spans="1:52" hidden="1" x14ac:dyDescent="0.35">
      <c r="A338" s="50"/>
      <c r="B338" s="51"/>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c r="AU338" s="47"/>
      <c r="AV338" s="47"/>
      <c r="AW338" s="47"/>
      <c r="AX338" s="47"/>
      <c r="AY338" s="47"/>
      <c r="AZ338" s="47"/>
    </row>
    <row r="339" spans="1:52" hidden="1" x14ac:dyDescent="0.35">
      <c r="A339" s="50"/>
      <c r="B339" s="51"/>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c r="AV339" s="47"/>
      <c r="AW339" s="47"/>
      <c r="AX339" s="47"/>
      <c r="AY339" s="47"/>
      <c r="AZ339" s="47"/>
    </row>
    <row r="340" spans="1:52" hidden="1" x14ac:dyDescent="0.35">
      <c r="A340" s="50"/>
      <c r="B340" s="51"/>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47"/>
      <c r="AY340" s="47"/>
      <c r="AZ340" s="47"/>
    </row>
    <row r="341" spans="1:52" hidden="1" x14ac:dyDescent="0.35">
      <c r="A341" s="50"/>
      <c r="B341" s="51"/>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c r="AW341" s="47"/>
      <c r="AX341" s="47"/>
      <c r="AY341" s="47"/>
      <c r="AZ341" s="47"/>
    </row>
    <row r="342" spans="1:52" hidden="1" x14ac:dyDescent="0.35">
      <c r="A342" s="50"/>
      <c r="B342" s="51"/>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c r="AV342" s="47"/>
      <c r="AW342" s="47"/>
      <c r="AX342" s="47"/>
      <c r="AY342" s="47"/>
      <c r="AZ342" s="47"/>
    </row>
    <row r="343" spans="1:52" hidden="1" x14ac:dyDescent="0.35">
      <c r="A343" s="50"/>
      <c r="B343" s="51"/>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c r="AV343" s="47"/>
      <c r="AW343" s="47"/>
      <c r="AX343" s="47"/>
      <c r="AY343" s="47"/>
      <c r="AZ343" s="47"/>
    </row>
    <row r="344" spans="1:52" hidden="1" x14ac:dyDescent="0.35">
      <c r="A344" s="50"/>
      <c r="B344" s="51"/>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47"/>
      <c r="AY344" s="47"/>
      <c r="AZ344" s="47"/>
    </row>
    <row r="345" spans="1:52" hidden="1" x14ac:dyDescent="0.35">
      <c r="A345" s="50"/>
      <c r="B345" s="51"/>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c r="AW345" s="47"/>
      <c r="AX345" s="47"/>
      <c r="AY345" s="47"/>
      <c r="AZ345" s="47"/>
    </row>
    <row r="346" spans="1:52" hidden="1" x14ac:dyDescent="0.35">
      <c r="A346" s="50"/>
      <c r="B346" s="51"/>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c r="AV346" s="47"/>
      <c r="AW346" s="47"/>
      <c r="AX346" s="47"/>
      <c r="AY346" s="47"/>
      <c r="AZ346" s="47"/>
    </row>
    <row r="347" spans="1:52" hidden="1" x14ac:dyDescent="0.35">
      <c r="A347" s="50"/>
      <c r="B347" s="51"/>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47"/>
      <c r="AY347" s="47"/>
      <c r="AZ347" s="47"/>
    </row>
    <row r="348" spans="1:52" hidden="1" x14ac:dyDescent="0.35">
      <c r="A348" s="50"/>
      <c r="B348" s="51"/>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c r="AV348" s="47"/>
      <c r="AW348" s="47"/>
      <c r="AX348" s="47"/>
      <c r="AY348" s="47"/>
      <c r="AZ348" s="47"/>
    </row>
    <row r="349" spans="1:52" hidden="1" x14ac:dyDescent="0.35">
      <c r="A349" s="50"/>
      <c r="B349" s="51"/>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c r="AV349" s="47"/>
      <c r="AW349" s="47"/>
      <c r="AX349" s="47"/>
      <c r="AY349" s="47"/>
      <c r="AZ349" s="47"/>
    </row>
    <row r="350" spans="1:52" hidden="1" x14ac:dyDescent="0.35">
      <c r="A350" s="50"/>
      <c r="B350" s="51"/>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c r="AV350" s="47"/>
      <c r="AW350" s="47"/>
      <c r="AX350" s="47"/>
      <c r="AY350" s="47"/>
      <c r="AZ350" s="47"/>
    </row>
    <row r="351" spans="1:52" hidden="1" x14ac:dyDescent="0.35">
      <c r="A351" s="50"/>
      <c r="B351" s="51"/>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c r="AV351" s="47"/>
      <c r="AW351" s="47"/>
      <c r="AX351" s="47"/>
      <c r="AY351" s="47"/>
      <c r="AZ351" s="47"/>
    </row>
    <row r="352" spans="1:52" hidden="1" x14ac:dyDescent="0.35">
      <c r="A352" s="50"/>
      <c r="B352" s="51"/>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c r="AV352" s="47"/>
      <c r="AW352" s="47"/>
      <c r="AX352" s="47"/>
      <c r="AY352" s="47"/>
      <c r="AZ352" s="47"/>
    </row>
    <row r="353" spans="1:52" hidden="1" x14ac:dyDescent="0.35">
      <c r="A353" s="50"/>
      <c r="B353" s="51"/>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47"/>
      <c r="AZ353" s="47"/>
    </row>
    <row r="354" spans="1:52" hidden="1" x14ac:dyDescent="0.35">
      <c r="A354" s="50"/>
      <c r="B354" s="51"/>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c r="AV354" s="47"/>
      <c r="AW354" s="47"/>
      <c r="AX354" s="47"/>
      <c r="AY354" s="47"/>
      <c r="AZ354" s="47"/>
    </row>
    <row r="355" spans="1:52" hidden="1" x14ac:dyDescent="0.35">
      <c r="A355" s="50"/>
      <c r="B355" s="51"/>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c r="AV355" s="47"/>
      <c r="AW355" s="47"/>
      <c r="AX355" s="47"/>
      <c r="AY355" s="47"/>
      <c r="AZ355" s="47"/>
    </row>
    <row r="356" spans="1:52" hidden="1" x14ac:dyDescent="0.35">
      <c r="A356" s="50"/>
      <c r="B356" s="51"/>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47"/>
      <c r="AZ356" s="47"/>
    </row>
    <row r="357" spans="1:52" hidden="1" x14ac:dyDescent="0.35">
      <c r="A357" s="50"/>
      <c r="B357" s="51"/>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c r="AZ357" s="47"/>
    </row>
    <row r="358" spans="1:52" hidden="1" x14ac:dyDescent="0.35">
      <c r="A358" s="50"/>
      <c r="B358" s="51"/>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c r="AW358" s="47"/>
      <c r="AX358" s="47"/>
      <c r="AY358" s="47"/>
      <c r="AZ358" s="47"/>
    </row>
    <row r="359" spans="1:52" hidden="1" x14ac:dyDescent="0.35">
      <c r="A359" s="50"/>
      <c r="B359" s="51"/>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row>
    <row r="360" spans="1:52" hidden="1" x14ac:dyDescent="0.35">
      <c r="A360" s="50"/>
      <c r="B360" s="51"/>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47"/>
      <c r="AZ360" s="47"/>
    </row>
    <row r="361" spans="1:52" hidden="1" x14ac:dyDescent="0.35">
      <c r="A361" s="50"/>
      <c r="B361" s="51"/>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c r="AW361" s="47"/>
      <c r="AX361" s="47"/>
      <c r="AY361" s="47"/>
      <c r="AZ361" s="47"/>
    </row>
    <row r="362" spans="1:52" hidden="1" x14ac:dyDescent="0.35">
      <c r="A362" s="50"/>
      <c r="B362" s="51"/>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c r="AW362" s="47"/>
      <c r="AX362" s="47"/>
      <c r="AY362" s="47"/>
      <c r="AZ362" s="47"/>
    </row>
    <row r="363" spans="1:52" hidden="1" x14ac:dyDescent="0.35">
      <c r="A363" s="50"/>
      <c r="B363" s="51"/>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c r="AW363" s="47"/>
      <c r="AX363" s="47"/>
      <c r="AY363" s="47"/>
      <c r="AZ363" s="47"/>
    </row>
    <row r="364" spans="1:52" hidden="1" x14ac:dyDescent="0.35">
      <c r="A364" s="50"/>
      <c r="B364" s="51"/>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c r="AW364" s="47"/>
      <c r="AX364" s="47"/>
      <c r="AY364" s="47"/>
      <c r="AZ364" s="47"/>
    </row>
    <row r="365" spans="1:52" hidden="1" x14ac:dyDescent="0.35">
      <c r="A365" s="50"/>
      <c r="B365" s="51"/>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row>
    <row r="366" spans="1:52" hidden="1" x14ac:dyDescent="0.35">
      <c r="A366" s="50"/>
      <c r="B366" s="51"/>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c r="AW366" s="47"/>
      <c r="AX366" s="47"/>
      <c r="AY366" s="47"/>
      <c r="AZ366" s="47"/>
    </row>
    <row r="367" spans="1:52" hidden="1" x14ac:dyDescent="0.35">
      <c r="A367" s="50"/>
      <c r="B367" s="51"/>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c r="AU367" s="47"/>
      <c r="AV367" s="47"/>
      <c r="AW367" s="47"/>
      <c r="AX367" s="47"/>
      <c r="AY367" s="47"/>
      <c r="AZ367" s="47"/>
    </row>
    <row r="368" spans="1:52" hidden="1" x14ac:dyDescent="0.35">
      <c r="A368" s="50"/>
      <c r="B368" s="51"/>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47"/>
      <c r="AZ368" s="47"/>
    </row>
    <row r="369" spans="1:52" hidden="1" x14ac:dyDescent="0.35">
      <c r="A369" s="50"/>
      <c r="B369" s="51"/>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47"/>
      <c r="AZ369" s="47"/>
    </row>
    <row r="370" spans="1:52" hidden="1" x14ac:dyDescent="0.35">
      <c r="A370" s="50"/>
      <c r="B370" s="51"/>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47"/>
      <c r="AZ370" s="47"/>
    </row>
    <row r="371" spans="1:52" hidden="1" x14ac:dyDescent="0.35">
      <c r="A371" s="50"/>
      <c r="B371" s="51"/>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c r="AW371" s="47"/>
      <c r="AX371" s="47"/>
      <c r="AY371" s="47"/>
      <c r="AZ371" s="47"/>
    </row>
    <row r="372" spans="1:52" hidden="1" x14ac:dyDescent="0.35">
      <c r="A372" s="50"/>
      <c r="B372" s="51"/>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c r="AW372" s="47"/>
      <c r="AX372" s="47"/>
      <c r="AY372" s="47"/>
      <c r="AZ372" s="47"/>
    </row>
    <row r="373" spans="1:52" hidden="1" x14ac:dyDescent="0.35">
      <c r="A373" s="50"/>
      <c r="B373" s="51"/>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row>
    <row r="374" spans="1:52" hidden="1" x14ac:dyDescent="0.35">
      <c r="A374" s="50"/>
      <c r="B374" s="51"/>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c r="AV374" s="47"/>
      <c r="AW374" s="47"/>
      <c r="AX374" s="47"/>
      <c r="AY374" s="47"/>
      <c r="AZ374" s="47"/>
    </row>
    <row r="375" spans="1:52" hidden="1" x14ac:dyDescent="0.35">
      <c r="A375" s="50"/>
      <c r="B375" s="51"/>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c r="AW375" s="47"/>
      <c r="AX375" s="47"/>
      <c r="AY375" s="47"/>
      <c r="AZ375" s="47"/>
    </row>
    <row r="376" spans="1:52" hidden="1" x14ac:dyDescent="0.35">
      <c r="A376" s="50"/>
      <c r="B376" s="51"/>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47"/>
      <c r="AZ376" s="47"/>
    </row>
    <row r="377" spans="1:52" hidden="1" x14ac:dyDescent="0.35">
      <c r="A377" s="50"/>
      <c r="B377" s="51"/>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47"/>
      <c r="AZ377" s="47"/>
    </row>
    <row r="378" spans="1:52" hidden="1" x14ac:dyDescent="0.35">
      <c r="A378" s="50"/>
      <c r="B378" s="51"/>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7"/>
      <c r="AX378" s="47"/>
      <c r="AY378" s="47"/>
      <c r="AZ378" s="47"/>
    </row>
    <row r="379" spans="1:52" hidden="1" x14ac:dyDescent="0.35">
      <c r="A379" s="50"/>
      <c r="B379" s="51"/>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c r="AW379" s="47"/>
      <c r="AX379" s="47"/>
      <c r="AY379" s="47"/>
      <c r="AZ379" s="47"/>
    </row>
    <row r="380" spans="1:52" hidden="1" x14ac:dyDescent="0.35">
      <c r="A380" s="50"/>
      <c r="B380" s="51"/>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c r="AW380" s="47"/>
      <c r="AX380" s="47"/>
      <c r="AY380" s="47"/>
      <c r="AZ380" s="47"/>
    </row>
    <row r="381" spans="1:52" hidden="1" x14ac:dyDescent="0.35">
      <c r="A381" s="50"/>
      <c r="B381" s="51"/>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47"/>
      <c r="AZ381" s="47"/>
    </row>
    <row r="382" spans="1:52" hidden="1" x14ac:dyDescent="0.35">
      <c r="A382" s="50"/>
      <c r="B382" s="51"/>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c r="AW382" s="47"/>
      <c r="AX382" s="47"/>
      <c r="AY382" s="47"/>
      <c r="AZ382" s="47"/>
    </row>
    <row r="383" spans="1:52" hidden="1" x14ac:dyDescent="0.35">
      <c r="A383" s="50"/>
      <c r="B383" s="51"/>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c r="AW383" s="47"/>
      <c r="AX383" s="47"/>
      <c r="AY383" s="47"/>
      <c r="AZ383" s="47"/>
    </row>
    <row r="384" spans="1:52" hidden="1" x14ac:dyDescent="0.35">
      <c r="A384" s="50"/>
      <c r="B384" s="51"/>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47"/>
      <c r="AZ384" s="47"/>
    </row>
    <row r="385" spans="1:52" hidden="1" x14ac:dyDescent="0.35">
      <c r="A385" s="50"/>
      <c r="B385" s="51"/>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47"/>
      <c r="AX385" s="47"/>
      <c r="AY385" s="47"/>
      <c r="AZ385" s="47"/>
    </row>
    <row r="386" spans="1:52" hidden="1" x14ac:dyDescent="0.35">
      <c r="A386" s="50"/>
      <c r="B386" s="51"/>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47"/>
      <c r="AX386" s="47"/>
      <c r="AY386" s="47"/>
      <c r="AZ386" s="47"/>
    </row>
    <row r="387" spans="1:52" hidden="1" x14ac:dyDescent="0.35">
      <c r="A387" s="50"/>
      <c r="B387" s="51"/>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c r="AV387" s="47"/>
      <c r="AW387" s="47"/>
      <c r="AX387" s="47"/>
      <c r="AY387" s="47"/>
      <c r="AZ387" s="47"/>
    </row>
    <row r="388" spans="1:52" hidden="1" x14ac:dyDescent="0.35">
      <c r="A388" s="50"/>
      <c r="B388" s="51"/>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c r="AV388" s="47"/>
      <c r="AW388" s="47"/>
      <c r="AX388" s="47"/>
      <c r="AY388" s="47"/>
      <c r="AZ388" s="47"/>
    </row>
    <row r="389" spans="1:52" hidden="1" x14ac:dyDescent="0.35">
      <c r="A389" s="50"/>
      <c r="B389" s="51"/>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c r="AV389" s="47"/>
      <c r="AW389" s="47"/>
      <c r="AX389" s="47"/>
      <c r="AY389" s="47"/>
      <c r="AZ389" s="47"/>
    </row>
    <row r="390" spans="1:52" hidden="1" x14ac:dyDescent="0.35">
      <c r="A390" s="50"/>
      <c r="B390" s="51"/>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47"/>
      <c r="AZ390" s="47"/>
    </row>
    <row r="391" spans="1:52" hidden="1" x14ac:dyDescent="0.35">
      <c r="A391" s="50"/>
      <c r="B391" s="51"/>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c r="AU391" s="47"/>
      <c r="AV391" s="47"/>
      <c r="AW391" s="47"/>
      <c r="AX391" s="47"/>
      <c r="AY391" s="47"/>
      <c r="AZ391" s="47"/>
    </row>
    <row r="392" spans="1:52" hidden="1" x14ac:dyDescent="0.35">
      <c r="A392" s="50"/>
      <c r="B392" s="51"/>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c r="AV392" s="47"/>
      <c r="AW392" s="47"/>
      <c r="AX392" s="47"/>
      <c r="AY392" s="47"/>
      <c r="AZ392" s="47"/>
    </row>
    <row r="393" spans="1:52" hidden="1" x14ac:dyDescent="0.35">
      <c r="A393" s="50"/>
      <c r="B393" s="51"/>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c r="AV393" s="47"/>
      <c r="AW393" s="47"/>
      <c r="AX393" s="47"/>
      <c r="AY393" s="47"/>
      <c r="AZ393" s="47"/>
    </row>
    <row r="394" spans="1:52" hidden="1" x14ac:dyDescent="0.35">
      <c r="A394" s="50"/>
      <c r="B394" s="51"/>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c r="AV394" s="47"/>
      <c r="AW394" s="47"/>
      <c r="AX394" s="47"/>
      <c r="AY394" s="47"/>
      <c r="AZ394" s="47"/>
    </row>
    <row r="395" spans="1:52" hidden="1" x14ac:dyDescent="0.35">
      <c r="A395" s="50"/>
      <c r="B395" s="51"/>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c r="AV395" s="47"/>
      <c r="AW395" s="47"/>
      <c r="AX395" s="47"/>
      <c r="AY395" s="47"/>
      <c r="AZ395" s="47"/>
    </row>
    <row r="396" spans="1:52" hidden="1" x14ac:dyDescent="0.35">
      <c r="A396" s="50"/>
      <c r="B396" s="51"/>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47"/>
      <c r="AZ396" s="47"/>
    </row>
    <row r="397" spans="1:52" hidden="1" x14ac:dyDescent="0.35">
      <c r="A397" s="50"/>
      <c r="B397" s="51"/>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47"/>
      <c r="AZ397" s="47"/>
    </row>
    <row r="398" spans="1:52" hidden="1" x14ac:dyDescent="0.35">
      <c r="A398" s="50"/>
      <c r="B398" s="51"/>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c r="AW398" s="47"/>
      <c r="AX398" s="47"/>
      <c r="AY398" s="47"/>
      <c r="AZ398" s="47"/>
    </row>
    <row r="399" spans="1:52" hidden="1" x14ac:dyDescent="0.35">
      <c r="A399" s="50"/>
      <c r="B399" s="51"/>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c r="AW399" s="47"/>
      <c r="AX399" s="47"/>
      <c r="AY399" s="47"/>
      <c r="AZ399" s="47"/>
    </row>
    <row r="400" spans="1:52" hidden="1" x14ac:dyDescent="0.35">
      <c r="A400" s="50"/>
      <c r="B400" s="51"/>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c r="AW400" s="47"/>
      <c r="AX400" s="47"/>
      <c r="AY400" s="47"/>
      <c r="AZ400" s="47"/>
    </row>
    <row r="401" spans="1:52" hidden="1" x14ac:dyDescent="0.35">
      <c r="A401" s="50"/>
      <c r="B401" s="51"/>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c r="AW401" s="47"/>
      <c r="AX401" s="47"/>
      <c r="AY401" s="47"/>
      <c r="AZ401" s="47"/>
    </row>
    <row r="402" spans="1:52" hidden="1" x14ac:dyDescent="0.35">
      <c r="A402" s="50"/>
      <c r="B402" s="51"/>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c r="AV402" s="47"/>
      <c r="AW402" s="47"/>
      <c r="AX402" s="47"/>
      <c r="AY402" s="47"/>
      <c r="AZ402" s="47"/>
    </row>
    <row r="403" spans="1:52" hidden="1" x14ac:dyDescent="0.35">
      <c r="A403" s="50"/>
      <c r="B403" s="51"/>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c r="AW403" s="47"/>
      <c r="AX403" s="47"/>
      <c r="AY403" s="47"/>
      <c r="AZ403" s="47"/>
    </row>
    <row r="404" spans="1:52" hidden="1" x14ac:dyDescent="0.35">
      <c r="A404" s="50"/>
      <c r="B404" s="51"/>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row>
    <row r="405" spans="1:52" hidden="1" x14ac:dyDescent="0.35">
      <c r="A405" s="50"/>
      <c r="B405" s="51"/>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c r="AU405" s="47"/>
      <c r="AV405" s="47"/>
      <c r="AW405" s="47"/>
      <c r="AX405" s="47"/>
      <c r="AY405" s="47"/>
      <c r="AZ405" s="47"/>
    </row>
    <row r="406" spans="1:52" hidden="1" x14ac:dyDescent="0.35">
      <c r="A406" s="50"/>
      <c r="B406" s="51"/>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c r="AW406" s="47"/>
      <c r="AX406" s="47"/>
      <c r="AY406" s="47"/>
      <c r="AZ406" s="47"/>
    </row>
    <row r="407" spans="1:52" hidden="1" x14ac:dyDescent="0.35">
      <c r="A407" s="50"/>
      <c r="B407" s="51"/>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c r="AV407" s="47"/>
      <c r="AW407" s="47"/>
      <c r="AX407" s="47"/>
      <c r="AY407" s="47"/>
      <c r="AZ407" s="47"/>
    </row>
    <row r="408" spans="1:52" hidden="1" x14ac:dyDescent="0.35">
      <c r="A408" s="50"/>
      <c r="B408" s="51"/>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c r="AV408" s="47"/>
      <c r="AW408" s="47"/>
      <c r="AX408" s="47"/>
      <c r="AY408" s="47"/>
      <c r="AZ408" s="47"/>
    </row>
    <row r="409" spans="1:52" hidden="1" x14ac:dyDescent="0.35">
      <c r="A409" s="50"/>
      <c r="B409" s="51"/>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c r="AV409" s="47"/>
      <c r="AW409" s="47"/>
      <c r="AX409" s="47"/>
      <c r="AY409" s="47"/>
      <c r="AZ409" s="47"/>
    </row>
    <row r="410" spans="1:52" hidden="1" x14ac:dyDescent="0.35">
      <c r="A410" s="50"/>
      <c r="B410" s="51"/>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c r="AV410" s="47"/>
      <c r="AW410" s="47"/>
      <c r="AX410" s="47"/>
      <c r="AY410" s="47"/>
      <c r="AZ410" s="47"/>
    </row>
    <row r="411" spans="1:52" hidden="1" x14ac:dyDescent="0.35">
      <c r="A411" s="50"/>
      <c r="B411" s="51"/>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c r="AV411" s="47"/>
      <c r="AW411" s="47"/>
      <c r="AX411" s="47"/>
      <c r="AY411" s="47"/>
      <c r="AZ411" s="47"/>
    </row>
    <row r="412" spans="1:52" hidden="1" x14ac:dyDescent="0.35">
      <c r="A412" s="50"/>
      <c r="B412" s="51"/>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c r="AW412" s="47"/>
      <c r="AX412" s="47"/>
      <c r="AY412" s="47"/>
      <c r="AZ412" s="47"/>
    </row>
    <row r="413" spans="1:52" hidden="1" x14ac:dyDescent="0.35">
      <c r="A413" s="50"/>
      <c r="B413" s="51"/>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47"/>
      <c r="AX413" s="47"/>
      <c r="AY413" s="47"/>
      <c r="AZ413" s="47"/>
    </row>
    <row r="414" spans="1:52" hidden="1" x14ac:dyDescent="0.35">
      <c r="A414" s="50"/>
      <c r="B414" s="51"/>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row>
    <row r="415" spans="1:52" hidden="1" x14ac:dyDescent="0.35">
      <c r="A415" s="50"/>
      <c r="B415" s="51"/>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c r="AW415" s="47"/>
      <c r="AX415" s="47"/>
      <c r="AY415" s="47"/>
      <c r="AZ415" s="47"/>
    </row>
    <row r="416" spans="1:52" hidden="1" x14ac:dyDescent="0.35">
      <c r="A416" s="50"/>
      <c r="B416" s="51"/>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c r="AU416" s="47"/>
      <c r="AV416" s="47"/>
      <c r="AW416" s="47"/>
      <c r="AX416" s="47"/>
      <c r="AY416" s="47"/>
      <c r="AZ416" s="47"/>
    </row>
    <row r="417" spans="1:52" hidden="1" x14ac:dyDescent="0.35">
      <c r="A417" s="50"/>
      <c r="B417" s="51"/>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c r="AU417" s="47"/>
      <c r="AV417" s="47"/>
      <c r="AW417" s="47"/>
      <c r="AX417" s="47"/>
      <c r="AY417" s="47"/>
      <c r="AZ417" s="47"/>
    </row>
    <row r="418" spans="1:52" hidden="1" x14ac:dyDescent="0.35">
      <c r="A418" s="50"/>
      <c r="B418" s="51"/>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c r="AV418" s="47"/>
      <c r="AW418" s="47"/>
      <c r="AX418" s="47"/>
      <c r="AY418" s="47"/>
      <c r="AZ418" s="47"/>
    </row>
    <row r="419" spans="1:52" hidden="1" x14ac:dyDescent="0.35">
      <c r="A419" s="50"/>
      <c r="B419" s="51"/>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c r="AV419" s="47"/>
      <c r="AW419" s="47"/>
      <c r="AX419" s="47"/>
      <c r="AY419" s="47"/>
      <c r="AZ419" s="47"/>
    </row>
    <row r="420" spans="1:52" hidden="1" x14ac:dyDescent="0.35">
      <c r="A420" s="50"/>
      <c r="B420" s="51"/>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47"/>
      <c r="AZ420" s="47"/>
    </row>
    <row r="421" spans="1:52" hidden="1" x14ac:dyDescent="0.35">
      <c r="A421" s="50"/>
      <c r="B421" s="51"/>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c r="AV421" s="47"/>
      <c r="AW421" s="47"/>
      <c r="AX421" s="47"/>
      <c r="AY421" s="47"/>
      <c r="AZ421" s="47"/>
    </row>
    <row r="422" spans="1:52" hidden="1" x14ac:dyDescent="0.35">
      <c r="A422" s="50"/>
      <c r="B422" s="51"/>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c r="AW422" s="47"/>
      <c r="AX422" s="47"/>
      <c r="AY422" s="47"/>
      <c r="AZ422" s="47"/>
    </row>
    <row r="423" spans="1:52" hidden="1" x14ac:dyDescent="0.35">
      <c r="A423" s="50"/>
      <c r="B423" s="51"/>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c r="AW423" s="47"/>
      <c r="AX423" s="47"/>
      <c r="AY423" s="47"/>
      <c r="AZ423" s="47"/>
    </row>
    <row r="424" spans="1:52" hidden="1" x14ac:dyDescent="0.35">
      <c r="A424" s="50"/>
      <c r="B424" s="51"/>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c r="AW424" s="47"/>
      <c r="AX424" s="47"/>
      <c r="AY424" s="47"/>
      <c r="AZ424" s="47"/>
    </row>
    <row r="425" spans="1:52" hidden="1" x14ac:dyDescent="0.35">
      <c r="A425" s="50"/>
      <c r="B425" s="51"/>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c r="AZ425" s="47"/>
    </row>
    <row r="426" spans="1:52" hidden="1" x14ac:dyDescent="0.35">
      <c r="A426" s="50"/>
      <c r="B426" s="51"/>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c r="AV426" s="47"/>
      <c r="AW426" s="47"/>
      <c r="AX426" s="47"/>
      <c r="AY426" s="47"/>
      <c r="AZ426" s="47"/>
    </row>
    <row r="427" spans="1:52" hidden="1" x14ac:dyDescent="0.35">
      <c r="A427" s="50"/>
      <c r="B427" s="51"/>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c r="AV427" s="47"/>
      <c r="AW427" s="47"/>
      <c r="AX427" s="47"/>
      <c r="AY427" s="47"/>
      <c r="AZ427" s="47"/>
    </row>
    <row r="428" spans="1:52" hidden="1" x14ac:dyDescent="0.35">
      <c r="A428" s="50"/>
      <c r="B428" s="51"/>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c r="AV428" s="47"/>
      <c r="AW428" s="47"/>
      <c r="AX428" s="47"/>
      <c r="AY428" s="47"/>
      <c r="AZ428" s="47"/>
    </row>
    <row r="429" spans="1:52" hidden="1" x14ac:dyDescent="0.35">
      <c r="A429" s="50"/>
      <c r="B429" s="51"/>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c r="AW429" s="47"/>
      <c r="AX429" s="47"/>
      <c r="AY429" s="47"/>
      <c r="AZ429" s="47"/>
    </row>
    <row r="430" spans="1:52" hidden="1" x14ac:dyDescent="0.35">
      <c r="A430" s="50"/>
      <c r="B430" s="51"/>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47"/>
      <c r="AZ430" s="47"/>
    </row>
    <row r="431" spans="1:52" hidden="1" x14ac:dyDescent="0.35">
      <c r="A431" s="50"/>
      <c r="B431" s="51"/>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c r="AW431" s="47"/>
      <c r="AX431" s="47"/>
      <c r="AY431" s="47"/>
      <c r="AZ431" s="47"/>
    </row>
    <row r="432" spans="1:52" hidden="1" x14ac:dyDescent="0.35">
      <c r="A432" s="50"/>
      <c r="B432" s="51"/>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7"/>
      <c r="AX432" s="47"/>
      <c r="AY432" s="47"/>
      <c r="AZ432" s="47"/>
    </row>
    <row r="433" spans="1:52" hidden="1" x14ac:dyDescent="0.35">
      <c r="A433" s="50"/>
      <c r="B433" s="51"/>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47"/>
      <c r="AZ433" s="47"/>
    </row>
    <row r="434" spans="1:52" hidden="1" x14ac:dyDescent="0.35">
      <c r="A434" s="50"/>
      <c r="B434" s="51"/>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47"/>
      <c r="AZ434" s="47"/>
    </row>
    <row r="435" spans="1:52" hidden="1" x14ac:dyDescent="0.35">
      <c r="A435" s="50"/>
      <c r="B435" s="51"/>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c r="AW435" s="47"/>
      <c r="AX435" s="47"/>
      <c r="AY435" s="47"/>
      <c r="AZ435" s="47"/>
    </row>
    <row r="436" spans="1:52" hidden="1" x14ac:dyDescent="0.35">
      <c r="A436" s="50"/>
      <c r="B436" s="51"/>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c r="AW436" s="47"/>
      <c r="AX436" s="47"/>
      <c r="AY436" s="47"/>
      <c r="AZ436" s="47"/>
    </row>
    <row r="437" spans="1:52" hidden="1" x14ac:dyDescent="0.35">
      <c r="A437" s="50"/>
      <c r="B437" s="51"/>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c r="AW437" s="47"/>
      <c r="AX437" s="47"/>
      <c r="AY437" s="47"/>
      <c r="AZ437" s="47"/>
    </row>
    <row r="438" spans="1:52" hidden="1" x14ac:dyDescent="0.35">
      <c r="A438" s="50"/>
      <c r="B438" s="51"/>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c r="AW438" s="47"/>
      <c r="AX438" s="47"/>
      <c r="AY438" s="47"/>
      <c r="AZ438" s="47"/>
    </row>
    <row r="439" spans="1:52" hidden="1" x14ac:dyDescent="0.35">
      <c r="A439" s="50"/>
      <c r="B439" s="51"/>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c r="AW439" s="47"/>
      <c r="AX439" s="47"/>
      <c r="AY439" s="47"/>
      <c r="AZ439" s="47"/>
    </row>
    <row r="440" spans="1:52" hidden="1" x14ac:dyDescent="0.35">
      <c r="A440" s="50"/>
      <c r="B440" s="51"/>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c r="AZ440" s="47"/>
    </row>
    <row r="441" spans="1:52" hidden="1" x14ac:dyDescent="0.35">
      <c r="A441" s="50"/>
      <c r="B441" s="51"/>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c r="AW441" s="47"/>
      <c r="AX441" s="47"/>
      <c r="AY441" s="47"/>
      <c r="AZ441" s="47"/>
    </row>
    <row r="442" spans="1:52" hidden="1" x14ac:dyDescent="0.35">
      <c r="A442" s="50"/>
      <c r="B442" s="51"/>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47"/>
      <c r="AX442" s="47"/>
      <c r="AY442" s="47"/>
      <c r="AZ442" s="47"/>
    </row>
    <row r="443" spans="1:52" hidden="1" x14ac:dyDescent="0.35">
      <c r="A443" s="50"/>
      <c r="B443" s="51"/>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row>
    <row r="444" spans="1:52" hidden="1" x14ac:dyDescent="0.35">
      <c r="A444" s="50"/>
      <c r="B444" s="51"/>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47"/>
      <c r="AZ444" s="47"/>
    </row>
    <row r="445" spans="1:52" hidden="1" x14ac:dyDescent="0.35">
      <c r="A445" s="50"/>
      <c r="B445" s="51"/>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c r="AV445" s="47"/>
      <c r="AW445" s="47"/>
      <c r="AX445" s="47"/>
      <c r="AY445" s="47"/>
      <c r="AZ445" s="47"/>
    </row>
    <row r="446" spans="1:52" hidden="1" x14ac:dyDescent="0.35">
      <c r="A446" s="50"/>
      <c r="B446" s="51"/>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c r="AW446" s="47"/>
      <c r="AX446" s="47"/>
      <c r="AY446" s="47"/>
      <c r="AZ446" s="47"/>
    </row>
    <row r="447" spans="1:52" hidden="1" x14ac:dyDescent="0.35">
      <c r="A447" s="50"/>
      <c r="B447" s="51"/>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47"/>
      <c r="AX447" s="47"/>
      <c r="AY447" s="47"/>
      <c r="AZ447" s="47"/>
    </row>
    <row r="448" spans="1:52" hidden="1" x14ac:dyDescent="0.35">
      <c r="A448" s="50"/>
      <c r="B448" s="51"/>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47"/>
      <c r="AX448" s="47"/>
      <c r="AY448" s="47"/>
      <c r="AZ448" s="47"/>
    </row>
    <row r="449" spans="1:52" hidden="1" x14ac:dyDescent="0.35">
      <c r="A449" s="50"/>
      <c r="B449" s="51"/>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row>
    <row r="450" spans="1:52" hidden="1" x14ac:dyDescent="0.35">
      <c r="A450" s="50"/>
      <c r="B450" s="51"/>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47"/>
      <c r="AZ450" s="47"/>
    </row>
    <row r="451" spans="1:52" hidden="1" x14ac:dyDescent="0.35">
      <c r="A451" s="50"/>
      <c r="B451" s="51"/>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c r="AZ451" s="47"/>
    </row>
    <row r="452" spans="1:52" hidden="1" x14ac:dyDescent="0.35">
      <c r="A452" s="50"/>
      <c r="B452" s="51"/>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47"/>
      <c r="AZ452" s="47"/>
    </row>
    <row r="453" spans="1:52" hidden="1" x14ac:dyDescent="0.35">
      <c r="A453" s="50"/>
      <c r="B453" s="51"/>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47"/>
    </row>
    <row r="454" spans="1:52" hidden="1" x14ac:dyDescent="0.35">
      <c r="A454" s="50"/>
      <c r="B454" s="51"/>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row>
    <row r="455" spans="1:52" hidden="1" x14ac:dyDescent="0.35">
      <c r="A455" s="50"/>
      <c r="B455" s="51"/>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47"/>
      <c r="AZ455" s="47"/>
    </row>
    <row r="456" spans="1:52" hidden="1" x14ac:dyDescent="0.35">
      <c r="A456" s="50"/>
      <c r="B456" s="51"/>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c r="AW456" s="47"/>
      <c r="AX456" s="47"/>
      <c r="AY456" s="47"/>
      <c r="AZ456" s="47"/>
    </row>
    <row r="457" spans="1:52" hidden="1" x14ac:dyDescent="0.35">
      <c r="A457" s="50"/>
      <c r="B457" s="51"/>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47"/>
      <c r="AZ457" s="47"/>
    </row>
    <row r="458" spans="1:52" hidden="1" x14ac:dyDescent="0.35">
      <c r="A458" s="50"/>
      <c r="B458" s="51"/>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47"/>
      <c r="AZ458" s="47"/>
    </row>
    <row r="459" spans="1:52" hidden="1" x14ac:dyDescent="0.35">
      <c r="A459" s="50"/>
      <c r="B459" s="51"/>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7"/>
      <c r="AX459" s="47"/>
      <c r="AY459" s="47"/>
      <c r="AZ459" s="47"/>
    </row>
    <row r="460" spans="1:52" hidden="1" x14ac:dyDescent="0.35">
      <c r="A460" s="50"/>
      <c r="B460" s="51"/>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47"/>
      <c r="AZ460" s="47"/>
    </row>
    <row r="461" spans="1:52" hidden="1" x14ac:dyDescent="0.35">
      <c r="A461" s="50"/>
      <c r="B461" s="51"/>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47"/>
      <c r="AZ461" s="47"/>
    </row>
    <row r="462" spans="1:52" hidden="1" x14ac:dyDescent="0.35">
      <c r="A462" s="50"/>
      <c r="B462" s="51"/>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47"/>
      <c r="AZ462" s="47"/>
    </row>
    <row r="463" spans="1:52" hidden="1" x14ac:dyDescent="0.35">
      <c r="A463" s="50"/>
      <c r="B463" s="51"/>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c r="AW463" s="47"/>
      <c r="AX463" s="47"/>
      <c r="AY463" s="47"/>
      <c r="AZ463" s="47"/>
    </row>
    <row r="464" spans="1:52" hidden="1" x14ac:dyDescent="0.35">
      <c r="A464" s="50"/>
      <c r="B464" s="51"/>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47"/>
      <c r="AZ464" s="47"/>
    </row>
    <row r="465" spans="1:52" hidden="1" x14ac:dyDescent="0.35">
      <c r="A465" s="50"/>
      <c r="B465" s="51"/>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47"/>
      <c r="AZ465" s="47"/>
    </row>
    <row r="466" spans="1:52" hidden="1" x14ac:dyDescent="0.35">
      <c r="A466" s="50"/>
      <c r="B466" s="51"/>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row>
    <row r="467" spans="1:52" hidden="1" x14ac:dyDescent="0.35">
      <c r="A467" s="50"/>
      <c r="B467" s="51"/>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c r="AW467" s="47"/>
      <c r="AX467" s="47"/>
      <c r="AY467" s="47"/>
      <c r="AZ467" s="47"/>
    </row>
    <row r="468" spans="1:52" hidden="1" x14ac:dyDescent="0.35">
      <c r="A468" s="50"/>
      <c r="B468" s="51"/>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47"/>
      <c r="AZ468" s="47"/>
    </row>
    <row r="469" spans="1:52" hidden="1" x14ac:dyDescent="0.35">
      <c r="A469" s="50"/>
      <c r="B469" s="51"/>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47"/>
      <c r="AZ469" s="47"/>
    </row>
    <row r="470" spans="1:52" hidden="1" x14ac:dyDescent="0.35">
      <c r="A470" s="50"/>
      <c r="B470" s="51"/>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c r="AW470" s="47"/>
      <c r="AX470" s="47"/>
      <c r="AY470" s="47"/>
      <c r="AZ470" s="47"/>
    </row>
    <row r="471" spans="1:52" hidden="1" x14ac:dyDescent="0.35">
      <c r="A471" s="50"/>
      <c r="B471" s="51"/>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row>
    <row r="472" spans="1:52" hidden="1" x14ac:dyDescent="0.35">
      <c r="A472" s="50"/>
      <c r="B472" s="51"/>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47"/>
      <c r="AZ472" s="47"/>
    </row>
    <row r="473" spans="1:52" hidden="1" x14ac:dyDescent="0.35">
      <c r="A473" s="50"/>
      <c r="B473" s="51"/>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row>
    <row r="474" spans="1:52" hidden="1" x14ac:dyDescent="0.35">
      <c r="A474" s="50"/>
      <c r="B474" s="51"/>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c r="AW474" s="47"/>
      <c r="AX474" s="47"/>
      <c r="AY474" s="47"/>
      <c r="AZ474" s="47"/>
    </row>
    <row r="475" spans="1:52" hidden="1" x14ac:dyDescent="0.35">
      <c r="A475" s="50"/>
      <c r="B475" s="51"/>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c r="AW475" s="47"/>
      <c r="AX475" s="47"/>
      <c r="AY475" s="47"/>
      <c r="AZ475" s="47"/>
    </row>
    <row r="476" spans="1:52" hidden="1" x14ac:dyDescent="0.35">
      <c r="A476" s="50"/>
      <c r="B476" s="51"/>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c r="AW476" s="47"/>
      <c r="AX476" s="47"/>
      <c r="AY476" s="47"/>
      <c r="AZ476" s="47"/>
    </row>
    <row r="477" spans="1:52" hidden="1" x14ac:dyDescent="0.35">
      <c r="A477" s="50"/>
      <c r="B477" s="51"/>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47"/>
      <c r="AZ477" s="47"/>
    </row>
    <row r="478" spans="1:52" hidden="1" x14ac:dyDescent="0.35">
      <c r="A478" s="50"/>
      <c r="B478" s="51"/>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c r="AW478" s="47"/>
      <c r="AX478" s="47"/>
      <c r="AY478" s="47"/>
      <c r="AZ478" s="47"/>
    </row>
    <row r="479" spans="1:52" hidden="1" x14ac:dyDescent="0.35">
      <c r="A479" s="50"/>
      <c r="B479" s="51"/>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c r="AW479" s="47"/>
      <c r="AX479" s="47"/>
      <c r="AY479" s="47"/>
      <c r="AZ479" s="47"/>
    </row>
    <row r="480" spans="1:52" hidden="1" x14ac:dyDescent="0.35">
      <c r="A480" s="50"/>
      <c r="B480" s="51"/>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c r="AW480" s="47"/>
      <c r="AX480" s="47"/>
      <c r="AY480" s="47"/>
      <c r="AZ480" s="47"/>
    </row>
    <row r="481" spans="1:52" hidden="1" x14ac:dyDescent="0.35">
      <c r="A481" s="50"/>
      <c r="B481" s="51"/>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47"/>
      <c r="AX481" s="47"/>
      <c r="AY481" s="47"/>
      <c r="AZ481" s="47"/>
    </row>
    <row r="482" spans="1:52" hidden="1" x14ac:dyDescent="0.35">
      <c r="A482" s="50"/>
      <c r="B482" s="51"/>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c r="AW482" s="47"/>
      <c r="AX482" s="47"/>
      <c r="AY482" s="47"/>
      <c r="AZ482" s="47"/>
    </row>
    <row r="483" spans="1:52" hidden="1" x14ac:dyDescent="0.35">
      <c r="A483" s="50"/>
      <c r="B483" s="51"/>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c r="AW483" s="47"/>
      <c r="AX483" s="47"/>
      <c r="AY483" s="47"/>
      <c r="AZ483" s="47"/>
    </row>
    <row r="484" spans="1:52" hidden="1" x14ac:dyDescent="0.35">
      <c r="A484" s="50"/>
      <c r="B484" s="51"/>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47"/>
      <c r="AZ484" s="47"/>
    </row>
    <row r="485" spans="1:52" hidden="1" x14ac:dyDescent="0.35">
      <c r="A485" s="50"/>
      <c r="B485" s="51"/>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47"/>
      <c r="AZ485" s="47"/>
    </row>
    <row r="486" spans="1:52" hidden="1" x14ac:dyDescent="0.35">
      <c r="A486" s="50"/>
      <c r="B486" s="51"/>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47"/>
      <c r="AZ486" s="47"/>
    </row>
    <row r="487" spans="1:52" hidden="1" x14ac:dyDescent="0.35">
      <c r="A487" s="50"/>
      <c r="B487" s="51"/>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47"/>
      <c r="AZ487" s="47"/>
    </row>
    <row r="488" spans="1:52" hidden="1" x14ac:dyDescent="0.35">
      <c r="A488" s="50"/>
      <c r="B488" s="51"/>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c r="AW488" s="47"/>
      <c r="AX488" s="47"/>
      <c r="AY488" s="47"/>
      <c r="AZ488" s="47"/>
    </row>
    <row r="489" spans="1:52" hidden="1" x14ac:dyDescent="0.35">
      <c r="A489" s="50"/>
      <c r="B489" s="51"/>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47"/>
      <c r="AZ489" s="47"/>
    </row>
    <row r="490" spans="1:52" hidden="1" x14ac:dyDescent="0.35">
      <c r="A490" s="50"/>
      <c r="B490" s="51"/>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c r="AW490" s="47"/>
      <c r="AX490" s="47"/>
      <c r="AY490" s="47"/>
      <c r="AZ490" s="47"/>
    </row>
    <row r="491" spans="1:52" hidden="1" x14ac:dyDescent="0.35">
      <c r="A491" s="50"/>
      <c r="B491" s="51"/>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47"/>
      <c r="AZ491" s="47"/>
    </row>
    <row r="492" spans="1:52" hidden="1" x14ac:dyDescent="0.35">
      <c r="A492" s="50"/>
      <c r="B492" s="51"/>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47"/>
      <c r="AZ492" s="47"/>
    </row>
    <row r="493" spans="1:52" hidden="1" x14ac:dyDescent="0.35">
      <c r="A493" s="50"/>
      <c r="B493" s="51"/>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c r="AV493" s="47"/>
      <c r="AW493" s="47"/>
      <c r="AX493" s="47"/>
      <c r="AY493" s="47"/>
      <c r="AZ493" s="47"/>
    </row>
    <row r="494" spans="1:52" hidden="1" x14ac:dyDescent="0.35">
      <c r="A494" s="50"/>
      <c r="B494" s="51"/>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47"/>
      <c r="AZ494" s="47"/>
    </row>
    <row r="495" spans="1:52" hidden="1" x14ac:dyDescent="0.35">
      <c r="A495" s="50"/>
      <c r="B495" s="51"/>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c r="AW495" s="47"/>
      <c r="AX495" s="47"/>
      <c r="AY495" s="47"/>
      <c r="AZ495" s="47"/>
    </row>
    <row r="496" spans="1:52" hidden="1" x14ac:dyDescent="0.35">
      <c r="A496" s="50"/>
      <c r="B496" s="51"/>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47"/>
      <c r="AZ496" s="47"/>
    </row>
    <row r="497" spans="1:52" hidden="1" x14ac:dyDescent="0.35">
      <c r="A497" s="50"/>
      <c r="B497" s="51"/>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47"/>
      <c r="AZ497" s="47"/>
    </row>
    <row r="498" spans="1:52" hidden="1" x14ac:dyDescent="0.35">
      <c r="A498" s="50"/>
      <c r="B498" s="51"/>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c r="AW498" s="47"/>
      <c r="AX498" s="47"/>
      <c r="AY498" s="47"/>
      <c r="AZ498" s="47"/>
    </row>
    <row r="499" spans="1:52" hidden="1" x14ac:dyDescent="0.35">
      <c r="A499" s="50"/>
      <c r="B499" s="51"/>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c r="AW499" s="47"/>
      <c r="AX499" s="47"/>
      <c r="AY499" s="47"/>
      <c r="AZ499" s="47"/>
    </row>
    <row r="500" spans="1:52" hidden="1" x14ac:dyDescent="0.35">
      <c r="A500" s="50"/>
      <c r="B500" s="51"/>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47"/>
      <c r="AZ500" s="47"/>
    </row>
    <row r="501" spans="1:52" hidden="1" x14ac:dyDescent="0.35">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c r="AY501" s="44"/>
      <c r="AZ501" s="44"/>
    </row>
    <row r="502" spans="1:52" hidden="1" x14ac:dyDescent="0.35">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c r="AY502" s="44"/>
      <c r="AZ502" s="44"/>
    </row>
  </sheetData>
  <mergeCells count="19">
    <mergeCell ref="C4:C7"/>
    <mergeCell ref="D5:H5"/>
    <mergeCell ref="I5:M5"/>
    <mergeCell ref="N5:O5"/>
    <mergeCell ref="P5:Q5"/>
    <mergeCell ref="S6:S7"/>
    <mergeCell ref="T6:T7"/>
    <mergeCell ref="S5:T5"/>
    <mergeCell ref="E6:E7"/>
    <mergeCell ref="G6:G7"/>
    <mergeCell ref="H6:H7"/>
    <mergeCell ref="J6:J7"/>
    <mergeCell ref="L6:L7"/>
    <mergeCell ref="M6:M7"/>
    <mergeCell ref="N6:N7"/>
    <mergeCell ref="R5:R7"/>
    <mergeCell ref="Q6:Q7"/>
    <mergeCell ref="O6:O7"/>
    <mergeCell ref="P6:P7"/>
  </mergeCells>
  <pageMargins left="0.7" right="0.7" top="0.75" bottom="0.75" header="0.3" footer="0.3"/>
  <pageSetup orientation="portrait" r:id="rId1"/>
  <headerFooter>
    <oddHeader>&amp;L&amp;"Times New Roman,Regular"&amp;12&amp;K000000 </oddHeader>
    <oddFooter>&amp;LCentral Bank of Ireland, 2025</oddFooter>
    <evenHeader>&amp;L&amp;"Times New Roman,Regular"&amp;12&amp;K000000 </evenHeader>
    <firstHeader>&amp;L&amp;"Times New Roman,Regular"&amp;12&amp;K000000 </first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AZ502"/>
  <sheetViews>
    <sheetView topLeftCell="A265" workbookViewId="0">
      <selection activeCell="K277" sqref="K277"/>
    </sheetView>
  </sheetViews>
  <sheetFormatPr defaultColWidth="0" defaultRowHeight="14.5" zeroHeight="1" x14ac:dyDescent="0.35"/>
  <cols>
    <col min="1" max="1" width="9.1796875" customWidth="1"/>
    <col min="2" max="2" width="9" bestFit="1" customWidth="1"/>
    <col min="3" max="3" width="11" bestFit="1" customWidth="1"/>
    <col min="4" max="6" width="9.453125" bestFit="1" customWidth="1"/>
    <col min="7" max="7" width="9" bestFit="1" customWidth="1"/>
    <col min="8" max="8" width="9.453125" bestFit="1" customWidth="1"/>
    <col min="9" max="10" width="9" bestFit="1" customWidth="1"/>
    <col min="11" max="14" width="9.453125" bestFit="1" customWidth="1"/>
    <col min="15" max="15" width="9" bestFit="1" customWidth="1"/>
    <col min="16" max="16" width="9.453125" bestFit="1" customWidth="1"/>
    <col min="17" max="17" width="9" bestFit="1" customWidth="1"/>
    <col min="18" max="18" width="9.453125" bestFit="1" customWidth="1"/>
    <col min="19" max="19" width="9.1796875" customWidth="1"/>
    <col min="20" max="16384" width="9.1796875" hidden="1"/>
  </cols>
  <sheetData>
    <row r="1" spans="1:52" ht="15.5" x14ac:dyDescent="0.35">
      <c r="A1" s="1" t="s">
        <v>0</v>
      </c>
      <c r="B1" s="40"/>
      <c r="C1" s="40"/>
      <c r="D1" s="40"/>
      <c r="E1" s="40"/>
      <c r="F1" s="40"/>
      <c r="G1" s="40"/>
      <c r="H1" s="40"/>
      <c r="I1" s="40"/>
      <c r="J1" s="40"/>
      <c r="K1" s="40"/>
      <c r="L1" s="40"/>
      <c r="M1" s="40"/>
      <c r="N1" s="40"/>
      <c r="O1" s="40"/>
      <c r="P1" s="40"/>
      <c r="Q1" s="40"/>
      <c r="R1" s="40"/>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row>
    <row r="2" spans="1:52" x14ac:dyDescent="0.35">
      <c r="A2" s="5"/>
      <c r="B2" s="5"/>
      <c r="C2" s="41"/>
      <c r="D2" s="41"/>
      <c r="E2" s="41"/>
      <c r="F2" s="41"/>
      <c r="G2" s="41"/>
      <c r="H2" s="41"/>
      <c r="I2" s="41"/>
      <c r="J2" s="41"/>
      <c r="K2" s="41"/>
      <c r="L2" s="41"/>
      <c r="M2" s="41"/>
      <c r="N2" s="41"/>
      <c r="O2" s="41"/>
      <c r="P2" s="41"/>
      <c r="Q2" s="41"/>
      <c r="R2" s="41"/>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row>
    <row r="3" spans="1:52" ht="15" thickBot="1" x14ac:dyDescent="0.4">
      <c r="A3" s="5"/>
      <c r="B3" s="5"/>
      <c r="C3" s="41"/>
      <c r="D3" s="41"/>
      <c r="E3" s="41"/>
      <c r="F3" s="41"/>
      <c r="G3" s="41"/>
      <c r="H3" s="41"/>
      <c r="I3" s="41"/>
      <c r="J3" s="41"/>
      <c r="K3" s="41"/>
      <c r="L3" s="41"/>
      <c r="M3" s="41"/>
      <c r="N3" s="41"/>
      <c r="O3" s="41"/>
      <c r="P3" s="41"/>
      <c r="Q3" s="41"/>
      <c r="R3" s="41"/>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row>
    <row r="4" spans="1:52" ht="25.5" thickBot="1" x14ac:dyDescent="0.4">
      <c r="A4" s="5"/>
      <c r="B4" s="5"/>
      <c r="C4" s="74" t="s">
        <v>18</v>
      </c>
      <c r="D4" s="56"/>
      <c r="E4" s="56"/>
      <c r="F4" s="56"/>
      <c r="G4" s="56"/>
      <c r="H4" s="56"/>
      <c r="I4" s="56"/>
      <c r="J4" s="56"/>
      <c r="K4" s="56"/>
      <c r="L4" s="56"/>
      <c r="M4" s="56"/>
      <c r="N4" s="56"/>
      <c r="O4" s="56"/>
      <c r="P4" s="56"/>
      <c r="Q4" s="56"/>
      <c r="R4" s="57"/>
      <c r="S4" s="48"/>
      <c r="T4" s="48"/>
      <c r="U4" s="48"/>
      <c r="V4" s="48"/>
      <c r="W4" s="48"/>
      <c r="X4" s="48"/>
      <c r="Y4" s="48"/>
      <c r="Z4" s="48"/>
      <c r="AA4" s="48"/>
      <c r="AB4" s="48"/>
      <c r="AC4" s="48"/>
      <c r="AD4" s="48"/>
      <c r="AE4" s="48"/>
      <c r="AF4" s="48"/>
      <c r="AG4" s="48"/>
      <c r="AH4" s="48"/>
      <c r="AI4" s="48"/>
      <c r="AJ4" s="48"/>
      <c r="AK4" s="48"/>
      <c r="AL4" s="48"/>
      <c r="AM4" s="48"/>
      <c r="AN4" s="48"/>
      <c r="AO4" s="48"/>
      <c r="AP4" s="48"/>
      <c r="AQ4" s="48"/>
      <c r="AR4" s="48"/>
      <c r="AS4" s="48"/>
      <c r="AT4" s="48"/>
      <c r="AU4" s="48"/>
      <c r="AV4" s="48"/>
      <c r="AW4" s="48"/>
      <c r="AX4" s="48"/>
      <c r="AY4" s="48"/>
      <c r="AZ4" s="48"/>
    </row>
    <row r="5" spans="1:52" ht="15" customHeight="1" x14ac:dyDescent="0.35">
      <c r="A5" s="5"/>
      <c r="B5" s="5"/>
      <c r="C5" s="76"/>
      <c r="D5" s="68" t="s">
        <v>19</v>
      </c>
      <c r="E5" s="75"/>
      <c r="F5" s="69"/>
      <c r="G5" s="69"/>
      <c r="H5" s="70"/>
      <c r="I5" s="92" t="s">
        <v>20</v>
      </c>
      <c r="J5" s="105"/>
      <c r="K5" s="93"/>
      <c r="L5" s="92" t="s">
        <v>21</v>
      </c>
      <c r="M5" s="93"/>
      <c r="N5" s="92" t="s">
        <v>22</v>
      </c>
      <c r="O5" s="93"/>
      <c r="P5" s="94" t="s">
        <v>23</v>
      </c>
      <c r="Q5" s="92" t="s">
        <v>24</v>
      </c>
      <c r="R5" s="93"/>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row>
    <row r="6" spans="1:52" ht="15" customHeight="1" x14ac:dyDescent="0.35">
      <c r="A6" s="5"/>
      <c r="B6" s="6"/>
      <c r="C6" s="118"/>
      <c r="D6" s="82"/>
      <c r="E6" s="84" t="s">
        <v>8</v>
      </c>
      <c r="F6" s="71"/>
      <c r="G6" s="86" t="s">
        <v>9</v>
      </c>
      <c r="H6" s="88" t="s">
        <v>10</v>
      </c>
      <c r="I6" s="90" t="s">
        <v>25</v>
      </c>
      <c r="J6" s="97" t="s">
        <v>11</v>
      </c>
      <c r="K6" s="103" t="s">
        <v>12</v>
      </c>
      <c r="L6" s="101" t="s">
        <v>26</v>
      </c>
      <c r="M6" s="99" t="s">
        <v>27</v>
      </c>
      <c r="N6" s="101" t="s">
        <v>13</v>
      </c>
      <c r="O6" s="99" t="s">
        <v>14</v>
      </c>
      <c r="P6" s="95"/>
      <c r="Q6" s="101" t="s">
        <v>13</v>
      </c>
      <c r="R6" s="99" t="s">
        <v>14</v>
      </c>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row>
    <row r="7" spans="1:52" ht="25.5" thickBot="1" x14ac:dyDescent="0.4">
      <c r="A7" s="2"/>
      <c r="B7" s="42"/>
      <c r="C7" s="119"/>
      <c r="D7" s="83"/>
      <c r="E7" s="85"/>
      <c r="F7" s="55" t="s">
        <v>15</v>
      </c>
      <c r="G7" s="87"/>
      <c r="H7" s="89"/>
      <c r="I7" s="91"/>
      <c r="J7" s="98"/>
      <c r="K7" s="104"/>
      <c r="L7" s="102"/>
      <c r="M7" s="100"/>
      <c r="N7" s="102"/>
      <c r="O7" s="100"/>
      <c r="P7" s="96"/>
      <c r="Q7" s="102"/>
      <c r="R7" s="100"/>
      <c r="S7" s="48"/>
      <c r="T7" s="48"/>
      <c r="U7" s="48"/>
      <c r="V7" s="48"/>
      <c r="W7" s="48"/>
      <c r="X7" s="48"/>
      <c r="Y7" s="48"/>
      <c r="Z7" s="48"/>
      <c r="AA7" s="48"/>
      <c r="AB7" s="48"/>
      <c r="AC7" s="48"/>
      <c r="AD7" s="48"/>
      <c r="AE7" s="48"/>
      <c r="AF7" s="48"/>
      <c r="AG7" s="48"/>
      <c r="AH7" s="48"/>
      <c r="AI7" s="48"/>
      <c r="AJ7" s="48"/>
      <c r="AK7" s="48"/>
      <c r="AL7" s="48"/>
      <c r="AM7" s="48"/>
      <c r="AN7" s="48"/>
      <c r="AO7" s="48"/>
      <c r="AP7" s="48"/>
      <c r="AQ7" s="48"/>
      <c r="AR7" s="48"/>
      <c r="AS7" s="48"/>
      <c r="AT7" s="48"/>
      <c r="AU7" s="48"/>
      <c r="AV7" s="48"/>
      <c r="AW7" s="48"/>
      <c r="AX7" s="48"/>
      <c r="AY7" s="48"/>
      <c r="AZ7" s="48"/>
    </row>
    <row r="8" spans="1:52" x14ac:dyDescent="0.35">
      <c r="A8" s="7"/>
      <c r="B8" s="7"/>
      <c r="C8" s="20">
        <v>32</v>
      </c>
      <c r="D8" s="20">
        <v>33</v>
      </c>
      <c r="E8" s="20">
        <v>34</v>
      </c>
      <c r="F8" s="7">
        <v>1555</v>
      </c>
      <c r="G8" s="20">
        <v>35</v>
      </c>
      <c r="H8" s="7">
        <v>11</v>
      </c>
      <c r="I8" s="20">
        <v>36</v>
      </c>
      <c r="J8" s="20">
        <v>37</v>
      </c>
      <c r="K8" s="20">
        <v>38</v>
      </c>
      <c r="L8" s="20">
        <v>39</v>
      </c>
      <c r="M8" s="20">
        <v>40</v>
      </c>
      <c r="N8" s="20">
        <v>41</v>
      </c>
      <c r="O8" s="7">
        <v>42</v>
      </c>
      <c r="P8" s="43">
        <v>43</v>
      </c>
      <c r="Q8" s="7">
        <v>45</v>
      </c>
      <c r="R8" s="20">
        <v>46</v>
      </c>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row>
    <row r="9" spans="1:52" x14ac:dyDescent="0.35">
      <c r="A9" s="10"/>
      <c r="B9" s="10"/>
      <c r="C9" s="10"/>
      <c r="D9" s="10"/>
      <c r="E9" s="10"/>
      <c r="F9" s="10"/>
      <c r="G9" s="10"/>
      <c r="H9" s="10"/>
      <c r="I9" s="10"/>
      <c r="J9" s="10"/>
      <c r="K9" s="10"/>
      <c r="L9" s="10"/>
      <c r="M9" s="10"/>
      <c r="N9" s="10"/>
      <c r="O9" s="10"/>
      <c r="P9" s="21"/>
      <c r="Q9" s="10"/>
      <c r="R9" s="10"/>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row>
    <row r="10" spans="1:52" x14ac:dyDescent="0.35">
      <c r="A10" s="11" t="s">
        <v>16</v>
      </c>
      <c r="B10" s="33"/>
      <c r="C10" s="33"/>
      <c r="D10" s="33"/>
      <c r="E10" s="33"/>
      <c r="F10" s="33"/>
      <c r="G10" s="33"/>
      <c r="H10" s="28"/>
      <c r="I10" s="28"/>
      <c r="J10" s="28"/>
      <c r="K10" s="28"/>
      <c r="L10" s="28"/>
      <c r="M10" s="28"/>
      <c r="N10" s="28"/>
      <c r="O10" s="28"/>
      <c r="P10" s="28"/>
      <c r="Q10" s="28"/>
      <c r="R10" s="28"/>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row>
    <row r="11" spans="1:52" x14ac:dyDescent="0.35">
      <c r="A11" s="34"/>
      <c r="B11" s="33"/>
      <c r="C11" s="33"/>
      <c r="D11" s="33"/>
      <c r="E11" s="33"/>
      <c r="F11" s="33"/>
      <c r="G11" s="33"/>
      <c r="H11" s="28"/>
      <c r="I11" s="28"/>
      <c r="J11" s="28"/>
      <c r="K11" s="28"/>
      <c r="L11" s="28"/>
      <c r="M11" s="28"/>
      <c r="N11" s="28"/>
      <c r="O11" s="28"/>
      <c r="P11" s="28"/>
      <c r="Q11" s="28"/>
      <c r="R11" s="28"/>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row>
    <row r="12" spans="1:52" x14ac:dyDescent="0.35">
      <c r="A12" s="27">
        <v>37652</v>
      </c>
      <c r="B12" s="35">
        <v>37652</v>
      </c>
      <c r="C12" s="16">
        <v>477233</v>
      </c>
      <c r="D12" s="16">
        <v>137246</v>
      </c>
      <c r="E12" s="16">
        <v>36738</v>
      </c>
      <c r="F12" s="16">
        <v>18407</v>
      </c>
      <c r="G12" s="16">
        <v>1216</v>
      </c>
      <c r="H12" s="16">
        <v>99291</v>
      </c>
      <c r="I12" s="16">
        <v>2169</v>
      </c>
      <c r="J12" s="16">
        <v>6497</v>
      </c>
      <c r="K12" s="16">
        <v>35807</v>
      </c>
      <c r="L12" s="16">
        <v>76441</v>
      </c>
      <c r="M12" s="16">
        <v>114516</v>
      </c>
      <c r="N12" s="16">
        <v>22632</v>
      </c>
      <c r="O12" s="16">
        <v>11511</v>
      </c>
      <c r="P12" s="16">
        <v>10993</v>
      </c>
      <c r="Q12" s="16">
        <v>10554</v>
      </c>
      <c r="R12" s="16">
        <v>48867</v>
      </c>
      <c r="S12" s="120">
        <f>SUM(N12:O12)/C12</f>
        <v>7.1543669444485189E-2</v>
      </c>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c r="AS12" s="47"/>
      <c r="AT12" s="47"/>
      <c r="AU12" s="47"/>
      <c r="AV12" s="47"/>
      <c r="AW12" s="47"/>
      <c r="AX12" s="47"/>
      <c r="AY12" s="47"/>
      <c r="AZ12" s="47"/>
    </row>
    <row r="13" spans="1:52" x14ac:dyDescent="0.35">
      <c r="A13" s="27"/>
      <c r="B13" s="35">
        <v>37680</v>
      </c>
      <c r="C13" s="16">
        <v>494064</v>
      </c>
      <c r="D13" s="16">
        <v>140734</v>
      </c>
      <c r="E13" s="16">
        <v>38848</v>
      </c>
      <c r="F13" s="16">
        <v>19890</v>
      </c>
      <c r="G13" s="16">
        <v>1105</v>
      </c>
      <c r="H13" s="16">
        <v>100780</v>
      </c>
      <c r="I13" s="16">
        <v>2294</v>
      </c>
      <c r="J13" s="16">
        <v>6889</v>
      </c>
      <c r="K13" s="16">
        <v>36647</v>
      </c>
      <c r="L13" s="16">
        <v>81912</v>
      </c>
      <c r="M13" s="16">
        <v>115637</v>
      </c>
      <c r="N13" s="16">
        <v>22657</v>
      </c>
      <c r="O13" s="16">
        <v>11646</v>
      </c>
      <c r="P13" s="16">
        <v>11517</v>
      </c>
      <c r="Q13" s="16">
        <v>9758</v>
      </c>
      <c r="R13" s="16">
        <v>54373</v>
      </c>
      <c r="S13" s="120">
        <f t="shared" ref="S13:S76" si="0">SUM(N13:O13)/C13</f>
        <v>6.9430276239515532E-2</v>
      </c>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47"/>
      <c r="AX13" s="47"/>
      <c r="AY13" s="47"/>
      <c r="AZ13" s="47"/>
    </row>
    <row r="14" spans="1:52" x14ac:dyDescent="0.35">
      <c r="A14" s="27"/>
      <c r="B14" s="35">
        <v>37711</v>
      </c>
      <c r="C14" s="16">
        <v>494554</v>
      </c>
      <c r="D14" s="16">
        <v>137453</v>
      </c>
      <c r="E14" s="16">
        <v>35677</v>
      </c>
      <c r="F14" s="16">
        <v>17798</v>
      </c>
      <c r="G14" s="16">
        <v>1251</v>
      </c>
      <c r="H14" s="16">
        <v>100524</v>
      </c>
      <c r="I14" s="16">
        <v>2202</v>
      </c>
      <c r="J14" s="16">
        <v>11049</v>
      </c>
      <c r="K14" s="16">
        <v>36122</v>
      </c>
      <c r="L14" s="16">
        <v>84580</v>
      </c>
      <c r="M14" s="16">
        <v>113454</v>
      </c>
      <c r="N14" s="16">
        <v>22688</v>
      </c>
      <c r="O14" s="16">
        <v>11375</v>
      </c>
      <c r="P14" s="16">
        <v>12730</v>
      </c>
      <c r="Q14" s="16">
        <v>9666</v>
      </c>
      <c r="R14" s="16">
        <v>53234</v>
      </c>
      <c r="S14" s="120">
        <f t="shared" si="0"/>
        <v>6.8876199565669274E-2</v>
      </c>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row>
    <row r="15" spans="1:52" x14ac:dyDescent="0.35">
      <c r="A15" s="27"/>
      <c r="B15" s="35">
        <v>37741</v>
      </c>
      <c r="C15" s="16">
        <v>499978</v>
      </c>
      <c r="D15" s="16">
        <v>139318</v>
      </c>
      <c r="E15" s="16">
        <v>36250</v>
      </c>
      <c r="F15" s="16">
        <v>18257</v>
      </c>
      <c r="G15" s="16">
        <v>1606</v>
      </c>
      <c r="H15" s="16">
        <v>101462</v>
      </c>
      <c r="I15" s="16">
        <v>2311</v>
      </c>
      <c r="J15" s="16">
        <v>11717</v>
      </c>
      <c r="K15" s="16">
        <v>37441</v>
      </c>
      <c r="L15" s="16">
        <v>86966</v>
      </c>
      <c r="M15" s="16">
        <v>112933</v>
      </c>
      <c r="N15" s="16">
        <v>23425</v>
      </c>
      <c r="O15" s="16">
        <v>11671</v>
      </c>
      <c r="P15" s="16">
        <v>12461</v>
      </c>
      <c r="Q15" s="16">
        <v>9471</v>
      </c>
      <c r="R15" s="16">
        <v>52263</v>
      </c>
      <c r="S15" s="120">
        <f t="shared" si="0"/>
        <v>7.0195088583897697E-2</v>
      </c>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c r="AS15" s="47"/>
      <c r="AT15" s="47"/>
      <c r="AU15" s="47"/>
      <c r="AV15" s="47"/>
      <c r="AW15" s="47"/>
      <c r="AX15" s="47"/>
      <c r="AY15" s="47"/>
      <c r="AZ15" s="47"/>
    </row>
    <row r="16" spans="1:52" x14ac:dyDescent="0.35">
      <c r="A16" s="27"/>
      <c r="B16" s="35">
        <v>37771</v>
      </c>
      <c r="C16" s="16">
        <v>511965</v>
      </c>
      <c r="D16" s="16">
        <v>139714</v>
      </c>
      <c r="E16" s="16">
        <v>36832</v>
      </c>
      <c r="F16" s="16">
        <v>18133</v>
      </c>
      <c r="G16" s="16">
        <v>1521</v>
      </c>
      <c r="H16" s="16">
        <v>101362</v>
      </c>
      <c r="I16" s="16">
        <v>2986</v>
      </c>
      <c r="J16" s="16">
        <v>12707</v>
      </c>
      <c r="K16" s="16">
        <v>40865</v>
      </c>
      <c r="L16" s="16">
        <v>82891</v>
      </c>
      <c r="M16" s="16">
        <v>111856</v>
      </c>
      <c r="N16" s="16">
        <v>23249</v>
      </c>
      <c r="O16" s="16">
        <v>12025</v>
      </c>
      <c r="P16" s="16">
        <v>13383</v>
      </c>
      <c r="Q16" s="16">
        <v>10697</v>
      </c>
      <c r="R16" s="16">
        <v>61590</v>
      </c>
      <c r="S16" s="120">
        <f t="shared" si="0"/>
        <v>6.8899241159063609E-2</v>
      </c>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47"/>
      <c r="AZ16" s="47"/>
    </row>
    <row r="17" spans="1:52" x14ac:dyDescent="0.35">
      <c r="A17" s="27"/>
      <c r="B17" s="35">
        <v>37802</v>
      </c>
      <c r="C17" s="16">
        <v>519461</v>
      </c>
      <c r="D17" s="16">
        <v>139507</v>
      </c>
      <c r="E17" s="16">
        <v>35292</v>
      </c>
      <c r="F17" s="16">
        <v>18697</v>
      </c>
      <c r="G17" s="16">
        <v>1729</v>
      </c>
      <c r="H17" s="16">
        <v>102486</v>
      </c>
      <c r="I17" s="16">
        <v>2993</v>
      </c>
      <c r="J17" s="16">
        <v>13102</v>
      </c>
      <c r="K17" s="16">
        <v>42635</v>
      </c>
      <c r="L17" s="16">
        <v>89789</v>
      </c>
      <c r="M17" s="16">
        <v>113970</v>
      </c>
      <c r="N17" s="16">
        <v>22854</v>
      </c>
      <c r="O17" s="16">
        <v>12659</v>
      </c>
      <c r="P17" s="16">
        <v>13592</v>
      </c>
      <c r="Q17" s="16">
        <v>8951</v>
      </c>
      <c r="R17" s="16">
        <v>59409</v>
      </c>
      <c r="S17" s="120">
        <f t="shared" si="0"/>
        <v>6.8365093818400224E-2</v>
      </c>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row>
    <row r="18" spans="1:52" x14ac:dyDescent="0.35">
      <c r="A18" s="27"/>
      <c r="B18" s="35">
        <v>37833</v>
      </c>
      <c r="C18" s="16">
        <v>529687</v>
      </c>
      <c r="D18" s="16">
        <v>143033</v>
      </c>
      <c r="E18" s="16">
        <v>38874</v>
      </c>
      <c r="F18" s="16">
        <v>21066</v>
      </c>
      <c r="G18" s="16">
        <v>1766</v>
      </c>
      <c r="H18" s="16">
        <v>102392</v>
      </c>
      <c r="I18" s="16">
        <v>2974</v>
      </c>
      <c r="J18" s="16">
        <v>12411</v>
      </c>
      <c r="K18" s="16">
        <v>43258</v>
      </c>
      <c r="L18" s="16">
        <v>97828</v>
      </c>
      <c r="M18" s="16">
        <v>119483</v>
      </c>
      <c r="N18" s="16">
        <v>22895</v>
      </c>
      <c r="O18" s="16">
        <v>13253</v>
      </c>
      <c r="P18" s="16">
        <v>17872</v>
      </c>
      <c r="Q18" s="16">
        <v>8040</v>
      </c>
      <c r="R18" s="16">
        <v>48639</v>
      </c>
      <c r="S18" s="120">
        <f t="shared" si="0"/>
        <v>6.8244076218597016E-2</v>
      </c>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row>
    <row r="19" spans="1:52" x14ac:dyDescent="0.35">
      <c r="A19" s="27"/>
      <c r="B19" s="35">
        <v>37862</v>
      </c>
      <c r="C19" s="16">
        <v>539354</v>
      </c>
      <c r="D19" s="16">
        <v>149376</v>
      </c>
      <c r="E19" s="16">
        <v>44340</v>
      </c>
      <c r="F19" s="16">
        <v>25185</v>
      </c>
      <c r="G19" s="16">
        <v>1553</v>
      </c>
      <c r="H19" s="16">
        <v>103483</v>
      </c>
      <c r="I19" s="16">
        <v>3051</v>
      </c>
      <c r="J19" s="16">
        <v>11934</v>
      </c>
      <c r="K19" s="16">
        <v>43261</v>
      </c>
      <c r="L19" s="16">
        <v>96706</v>
      </c>
      <c r="M19" s="16">
        <v>123896</v>
      </c>
      <c r="N19" s="16">
        <v>23191</v>
      </c>
      <c r="O19" s="16">
        <v>13648</v>
      </c>
      <c r="P19" s="16">
        <v>16866</v>
      </c>
      <c r="Q19" s="16">
        <v>8668</v>
      </c>
      <c r="R19" s="16">
        <v>48758</v>
      </c>
      <c r="S19" s="120">
        <f t="shared" si="0"/>
        <v>6.8302079895578779E-2</v>
      </c>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c r="AS19" s="47"/>
      <c r="AT19" s="47"/>
      <c r="AU19" s="47"/>
      <c r="AV19" s="47"/>
      <c r="AW19" s="47"/>
      <c r="AX19" s="47"/>
      <c r="AY19" s="47"/>
      <c r="AZ19" s="47"/>
    </row>
    <row r="20" spans="1:52" x14ac:dyDescent="0.35">
      <c r="A20" s="27"/>
      <c r="B20" s="35">
        <v>37894</v>
      </c>
      <c r="C20" s="16">
        <v>554939</v>
      </c>
      <c r="D20" s="16">
        <v>152780</v>
      </c>
      <c r="E20" s="16">
        <v>45718</v>
      </c>
      <c r="F20" s="16">
        <v>27561</v>
      </c>
      <c r="G20" s="16">
        <v>1883</v>
      </c>
      <c r="H20" s="16">
        <v>105178</v>
      </c>
      <c r="I20" s="16">
        <v>4454</v>
      </c>
      <c r="J20" s="16">
        <v>11913</v>
      </c>
      <c r="K20" s="16">
        <v>44110</v>
      </c>
      <c r="L20" s="16">
        <v>99652</v>
      </c>
      <c r="M20" s="16">
        <v>124690</v>
      </c>
      <c r="N20" s="16">
        <v>22749</v>
      </c>
      <c r="O20" s="16">
        <v>13891</v>
      </c>
      <c r="P20" s="16">
        <v>17234</v>
      </c>
      <c r="Q20" s="16">
        <v>9216</v>
      </c>
      <c r="R20" s="16">
        <v>54250</v>
      </c>
      <c r="S20" s="120">
        <f t="shared" si="0"/>
        <v>6.6025274850028556E-2</v>
      </c>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c r="AS20" s="47"/>
      <c r="AT20" s="47"/>
      <c r="AU20" s="47"/>
      <c r="AV20" s="47"/>
      <c r="AW20" s="47"/>
      <c r="AX20" s="47"/>
      <c r="AY20" s="47"/>
      <c r="AZ20" s="47"/>
    </row>
    <row r="21" spans="1:52" x14ac:dyDescent="0.35">
      <c r="A21" s="27"/>
      <c r="B21" s="35">
        <v>37925</v>
      </c>
      <c r="C21" s="16">
        <v>558226</v>
      </c>
      <c r="D21" s="16">
        <v>158025</v>
      </c>
      <c r="E21" s="16">
        <v>48437</v>
      </c>
      <c r="F21" s="16">
        <v>29966</v>
      </c>
      <c r="G21" s="16">
        <v>1915</v>
      </c>
      <c r="H21" s="16">
        <v>107673</v>
      </c>
      <c r="I21" s="16">
        <v>4940</v>
      </c>
      <c r="J21" s="16">
        <v>14236</v>
      </c>
      <c r="K21" s="16">
        <v>47429</v>
      </c>
      <c r="L21" s="16">
        <v>95931</v>
      </c>
      <c r="M21" s="16">
        <v>126715</v>
      </c>
      <c r="N21" s="16">
        <v>23238</v>
      </c>
      <c r="O21" s="16">
        <v>14197</v>
      </c>
      <c r="P21" s="16">
        <v>16545</v>
      </c>
      <c r="Q21" s="16">
        <v>8490</v>
      </c>
      <c r="R21" s="16">
        <v>48479</v>
      </c>
      <c r="S21" s="120">
        <f t="shared" si="0"/>
        <v>6.7060652853862063E-2</v>
      </c>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row>
    <row r="22" spans="1:52" x14ac:dyDescent="0.35">
      <c r="A22" s="27"/>
      <c r="B22" s="35">
        <v>37953</v>
      </c>
      <c r="C22" s="16">
        <v>560042</v>
      </c>
      <c r="D22" s="16">
        <v>152717</v>
      </c>
      <c r="E22" s="16">
        <v>45628</v>
      </c>
      <c r="F22" s="16">
        <v>28394</v>
      </c>
      <c r="G22" s="16">
        <v>1514</v>
      </c>
      <c r="H22" s="16">
        <v>105575</v>
      </c>
      <c r="I22" s="16">
        <v>4598</v>
      </c>
      <c r="J22" s="16">
        <v>13557</v>
      </c>
      <c r="K22" s="16">
        <v>46914</v>
      </c>
      <c r="L22" s="16">
        <v>100915</v>
      </c>
      <c r="M22" s="16">
        <v>130920</v>
      </c>
      <c r="N22" s="16">
        <v>23143</v>
      </c>
      <c r="O22" s="16">
        <v>14252</v>
      </c>
      <c r="P22" s="16">
        <v>15718</v>
      </c>
      <c r="Q22" s="16">
        <v>10045</v>
      </c>
      <c r="R22" s="16">
        <v>47264</v>
      </c>
      <c r="S22" s="120">
        <f t="shared" si="0"/>
        <v>6.6771777830948398E-2</v>
      </c>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row>
    <row r="23" spans="1:52" x14ac:dyDescent="0.35">
      <c r="A23" s="27">
        <v>37986</v>
      </c>
      <c r="B23" s="35">
        <v>37986</v>
      </c>
      <c r="C23" s="16">
        <v>575168</v>
      </c>
      <c r="D23" s="16">
        <v>162126</v>
      </c>
      <c r="E23" s="16">
        <v>50534</v>
      </c>
      <c r="F23" s="16">
        <v>31655</v>
      </c>
      <c r="G23" s="16">
        <v>1938</v>
      </c>
      <c r="H23" s="16">
        <v>109654</v>
      </c>
      <c r="I23" s="16">
        <v>4599</v>
      </c>
      <c r="J23" s="16">
        <v>12575</v>
      </c>
      <c r="K23" s="16">
        <v>48345</v>
      </c>
      <c r="L23" s="16">
        <v>101433</v>
      </c>
      <c r="M23" s="16">
        <v>132076</v>
      </c>
      <c r="N23" s="16">
        <v>23398</v>
      </c>
      <c r="O23" s="16">
        <v>14170</v>
      </c>
      <c r="P23" s="16">
        <v>17535</v>
      </c>
      <c r="Q23" s="16">
        <v>10171</v>
      </c>
      <c r="R23" s="16">
        <v>48740</v>
      </c>
      <c r="S23" s="120">
        <f t="shared" si="0"/>
        <v>6.5316568376543899E-2</v>
      </c>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row>
    <row r="24" spans="1:52" x14ac:dyDescent="0.35">
      <c r="A24" s="27">
        <v>38016</v>
      </c>
      <c r="B24" s="35">
        <v>38016</v>
      </c>
      <c r="C24" s="16">
        <v>584048</v>
      </c>
      <c r="D24" s="16">
        <v>157420</v>
      </c>
      <c r="E24" s="16">
        <v>45559</v>
      </c>
      <c r="F24" s="16">
        <v>28643</v>
      </c>
      <c r="G24" s="16">
        <v>1998</v>
      </c>
      <c r="H24" s="16">
        <v>109863</v>
      </c>
      <c r="I24" s="16">
        <v>5569</v>
      </c>
      <c r="J24" s="16">
        <v>12540</v>
      </c>
      <c r="K24" s="16">
        <v>58512</v>
      </c>
      <c r="L24" s="16">
        <v>102551</v>
      </c>
      <c r="M24" s="16">
        <v>135318</v>
      </c>
      <c r="N24" s="16">
        <v>23941</v>
      </c>
      <c r="O24" s="16">
        <v>14245</v>
      </c>
      <c r="P24" s="16">
        <v>14877</v>
      </c>
      <c r="Q24" s="16">
        <v>9947</v>
      </c>
      <c r="R24" s="16">
        <v>49129</v>
      </c>
      <c r="S24" s="120">
        <f t="shared" si="0"/>
        <v>6.5381612470207934E-2</v>
      </c>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row>
    <row r="25" spans="1:52" x14ac:dyDescent="0.35">
      <c r="A25" s="27"/>
      <c r="B25" s="35">
        <v>38044</v>
      </c>
      <c r="C25" s="16">
        <v>602936</v>
      </c>
      <c r="D25" s="16">
        <v>160065</v>
      </c>
      <c r="E25" s="16">
        <v>47817</v>
      </c>
      <c r="F25" s="16">
        <v>30555</v>
      </c>
      <c r="G25" s="16">
        <v>1583</v>
      </c>
      <c r="H25" s="16">
        <v>110666</v>
      </c>
      <c r="I25" s="16">
        <v>6210</v>
      </c>
      <c r="J25" s="16">
        <v>13936</v>
      </c>
      <c r="K25" s="16">
        <v>62150</v>
      </c>
      <c r="L25" s="16">
        <v>103790</v>
      </c>
      <c r="M25" s="16">
        <v>137649</v>
      </c>
      <c r="N25" s="16">
        <v>24785</v>
      </c>
      <c r="O25" s="16">
        <v>14086</v>
      </c>
      <c r="P25" s="16">
        <v>16657</v>
      </c>
      <c r="Q25" s="16">
        <v>11420</v>
      </c>
      <c r="R25" s="16">
        <v>52189</v>
      </c>
      <c r="S25" s="120">
        <f t="shared" si="0"/>
        <v>6.446952910424987E-2</v>
      </c>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row>
    <row r="26" spans="1:52" x14ac:dyDescent="0.35">
      <c r="A26" s="27"/>
      <c r="B26" s="35">
        <v>38077</v>
      </c>
      <c r="C26" s="16">
        <v>628355</v>
      </c>
      <c r="D26" s="16">
        <v>161248</v>
      </c>
      <c r="E26" s="16">
        <v>48788</v>
      </c>
      <c r="F26" s="16">
        <v>31473</v>
      </c>
      <c r="G26" s="16">
        <v>1570</v>
      </c>
      <c r="H26" s="16">
        <v>110891</v>
      </c>
      <c r="I26" s="16">
        <v>6045</v>
      </c>
      <c r="J26" s="16">
        <v>18854</v>
      </c>
      <c r="K26" s="16">
        <v>63231</v>
      </c>
      <c r="L26" s="16">
        <v>103980</v>
      </c>
      <c r="M26" s="16">
        <v>149517</v>
      </c>
      <c r="N26" s="16">
        <v>25069</v>
      </c>
      <c r="O26" s="16">
        <v>14245</v>
      </c>
      <c r="P26" s="16">
        <v>15444</v>
      </c>
      <c r="Q26" s="16">
        <v>12402</v>
      </c>
      <c r="R26" s="16">
        <v>58319</v>
      </c>
      <c r="S26" s="120">
        <f t="shared" si="0"/>
        <v>6.2566542798258948E-2</v>
      </c>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row>
    <row r="27" spans="1:52" x14ac:dyDescent="0.35">
      <c r="A27" s="27"/>
      <c r="B27" s="35">
        <v>38107</v>
      </c>
      <c r="C27" s="16">
        <v>629524</v>
      </c>
      <c r="D27" s="16">
        <v>165043</v>
      </c>
      <c r="E27" s="16">
        <v>51595</v>
      </c>
      <c r="F27" s="16">
        <v>33889</v>
      </c>
      <c r="G27" s="16">
        <v>1474</v>
      </c>
      <c r="H27" s="16">
        <v>111975</v>
      </c>
      <c r="I27" s="16">
        <v>6457</v>
      </c>
      <c r="J27" s="16">
        <v>19904</v>
      </c>
      <c r="K27" s="16">
        <v>66484</v>
      </c>
      <c r="L27" s="16">
        <v>104580</v>
      </c>
      <c r="M27" s="16">
        <v>146756</v>
      </c>
      <c r="N27" s="16">
        <v>25421</v>
      </c>
      <c r="O27" s="16">
        <v>14454</v>
      </c>
      <c r="P27" s="16">
        <v>15658</v>
      </c>
      <c r="Q27" s="16">
        <v>11871</v>
      </c>
      <c r="R27" s="16">
        <v>52897</v>
      </c>
      <c r="S27" s="120">
        <f t="shared" si="0"/>
        <v>6.3341508822538931E-2</v>
      </c>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row>
    <row r="28" spans="1:52" x14ac:dyDescent="0.35">
      <c r="A28" s="27"/>
      <c r="B28" s="35">
        <v>38138</v>
      </c>
      <c r="C28" s="16">
        <v>644604</v>
      </c>
      <c r="D28" s="16">
        <v>167445</v>
      </c>
      <c r="E28" s="16">
        <v>52882</v>
      </c>
      <c r="F28" s="16">
        <v>34358</v>
      </c>
      <c r="G28" s="16">
        <v>1644</v>
      </c>
      <c r="H28" s="16">
        <v>112919</v>
      </c>
      <c r="I28" s="16">
        <v>5862</v>
      </c>
      <c r="J28" s="16">
        <v>19978</v>
      </c>
      <c r="K28" s="16">
        <v>68658</v>
      </c>
      <c r="L28" s="16">
        <v>106035</v>
      </c>
      <c r="M28" s="16">
        <v>157130</v>
      </c>
      <c r="N28" s="16">
        <v>26009</v>
      </c>
      <c r="O28" s="16">
        <v>14770</v>
      </c>
      <c r="P28" s="16">
        <v>15007</v>
      </c>
      <c r="Q28" s="16">
        <v>11073</v>
      </c>
      <c r="R28" s="16">
        <v>52638</v>
      </c>
      <c r="S28" s="120">
        <f t="shared" si="0"/>
        <v>6.3262095798350612E-2</v>
      </c>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row>
    <row r="29" spans="1:52" x14ac:dyDescent="0.35">
      <c r="A29" s="27"/>
      <c r="B29" s="35">
        <v>38168</v>
      </c>
      <c r="C29" s="16">
        <v>653151</v>
      </c>
      <c r="D29" s="16">
        <v>170967</v>
      </c>
      <c r="E29" s="16">
        <v>54793</v>
      </c>
      <c r="F29" s="16">
        <v>36793</v>
      </c>
      <c r="G29" s="16">
        <v>1557</v>
      </c>
      <c r="H29" s="16">
        <v>114617</v>
      </c>
      <c r="I29" s="16">
        <v>5447</v>
      </c>
      <c r="J29" s="16">
        <v>20440</v>
      </c>
      <c r="K29" s="16">
        <v>71876</v>
      </c>
      <c r="L29" s="16">
        <v>104649</v>
      </c>
      <c r="M29" s="16">
        <v>160291</v>
      </c>
      <c r="N29" s="16">
        <v>26370</v>
      </c>
      <c r="O29" s="16">
        <v>15496</v>
      </c>
      <c r="P29" s="16">
        <v>14679</v>
      </c>
      <c r="Q29" s="16">
        <v>11624</v>
      </c>
      <c r="R29" s="16">
        <v>51313</v>
      </c>
      <c r="S29" s="120">
        <f t="shared" si="0"/>
        <v>6.4098500959196267E-2</v>
      </c>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row>
    <row r="30" spans="1:52" x14ac:dyDescent="0.35">
      <c r="A30" s="27"/>
      <c r="B30" s="35">
        <v>38198</v>
      </c>
      <c r="C30" s="16">
        <v>671210</v>
      </c>
      <c r="D30" s="16">
        <v>184446</v>
      </c>
      <c r="E30" s="16">
        <v>65478</v>
      </c>
      <c r="F30" s="16">
        <v>46814</v>
      </c>
      <c r="G30" s="16">
        <v>1587</v>
      </c>
      <c r="H30" s="16">
        <v>117381</v>
      </c>
      <c r="I30" s="16">
        <v>5797</v>
      </c>
      <c r="J30" s="16">
        <v>20376</v>
      </c>
      <c r="K30" s="16">
        <v>75283</v>
      </c>
      <c r="L30" s="16">
        <v>113250</v>
      </c>
      <c r="M30" s="16">
        <v>154729</v>
      </c>
      <c r="N30" s="16">
        <v>27375</v>
      </c>
      <c r="O30" s="16">
        <v>15844</v>
      </c>
      <c r="P30" s="16">
        <v>14613</v>
      </c>
      <c r="Q30" s="16">
        <v>10966</v>
      </c>
      <c r="R30" s="16">
        <v>48531</v>
      </c>
      <c r="S30" s="120">
        <f t="shared" si="0"/>
        <v>6.4389684301485381E-2</v>
      </c>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row>
    <row r="31" spans="1:52" x14ac:dyDescent="0.35">
      <c r="A31" s="27"/>
      <c r="B31" s="35">
        <v>38230</v>
      </c>
      <c r="C31" s="16">
        <v>676396</v>
      </c>
      <c r="D31" s="16">
        <v>183562</v>
      </c>
      <c r="E31" s="16">
        <v>65172</v>
      </c>
      <c r="F31" s="16">
        <v>47754</v>
      </c>
      <c r="G31" s="16">
        <v>1737</v>
      </c>
      <c r="H31" s="16">
        <v>116653</v>
      </c>
      <c r="I31" s="16">
        <v>7466</v>
      </c>
      <c r="J31" s="16">
        <v>21475</v>
      </c>
      <c r="K31" s="16">
        <v>77078</v>
      </c>
      <c r="L31" s="16">
        <v>114037</v>
      </c>
      <c r="M31" s="16">
        <v>151978</v>
      </c>
      <c r="N31" s="16">
        <v>27579</v>
      </c>
      <c r="O31" s="16">
        <v>15773</v>
      </c>
      <c r="P31" s="16">
        <v>15328</v>
      </c>
      <c r="Q31" s="16">
        <v>10617</v>
      </c>
      <c r="R31" s="16">
        <v>51502</v>
      </c>
      <c r="S31" s="120">
        <f t="shared" si="0"/>
        <v>6.4092632126742322E-2</v>
      </c>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row>
    <row r="32" spans="1:52" x14ac:dyDescent="0.35">
      <c r="A32" s="27"/>
      <c r="B32" s="35">
        <v>38260</v>
      </c>
      <c r="C32" s="16">
        <v>689797</v>
      </c>
      <c r="D32" s="16">
        <v>186541</v>
      </c>
      <c r="E32" s="16">
        <v>66880</v>
      </c>
      <c r="F32" s="16">
        <v>49245</v>
      </c>
      <c r="G32" s="16">
        <v>1855</v>
      </c>
      <c r="H32" s="16">
        <v>117806</v>
      </c>
      <c r="I32" s="16">
        <v>8836</v>
      </c>
      <c r="J32" s="16">
        <v>22934</v>
      </c>
      <c r="K32" s="16">
        <v>76841</v>
      </c>
      <c r="L32" s="16">
        <v>113755</v>
      </c>
      <c r="M32" s="16">
        <v>154183</v>
      </c>
      <c r="N32" s="16">
        <v>27545</v>
      </c>
      <c r="O32" s="16">
        <v>15865</v>
      </c>
      <c r="P32" s="16">
        <v>16691</v>
      </c>
      <c r="Q32" s="16">
        <v>11447</v>
      </c>
      <c r="R32" s="16">
        <v>55160</v>
      </c>
      <c r="S32" s="120">
        <f t="shared" si="0"/>
        <v>6.2931558125071577E-2</v>
      </c>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row>
    <row r="33" spans="1:52" x14ac:dyDescent="0.35">
      <c r="A33" s="27"/>
      <c r="B33" s="35">
        <v>38289</v>
      </c>
      <c r="C33" s="16">
        <v>697895</v>
      </c>
      <c r="D33" s="16">
        <v>192054</v>
      </c>
      <c r="E33" s="16">
        <v>70391</v>
      </c>
      <c r="F33" s="16">
        <v>52247</v>
      </c>
      <c r="G33" s="16">
        <v>1965</v>
      </c>
      <c r="H33" s="16">
        <v>119698</v>
      </c>
      <c r="I33" s="16">
        <v>9598</v>
      </c>
      <c r="J33" s="16">
        <v>23996</v>
      </c>
      <c r="K33" s="16">
        <v>76593</v>
      </c>
      <c r="L33" s="16">
        <v>118150</v>
      </c>
      <c r="M33" s="16">
        <v>150431</v>
      </c>
      <c r="N33" s="16">
        <v>27869</v>
      </c>
      <c r="O33" s="16">
        <v>15830</v>
      </c>
      <c r="P33" s="16">
        <v>16211</v>
      </c>
      <c r="Q33" s="16">
        <v>11816</v>
      </c>
      <c r="R33" s="16">
        <v>55346</v>
      </c>
      <c r="S33" s="120">
        <f t="shared" si="0"/>
        <v>6.2615436419518694E-2</v>
      </c>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row>
    <row r="34" spans="1:52" x14ac:dyDescent="0.35">
      <c r="A34" s="27"/>
      <c r="B34" s="35">
        <v>38321</v>
      </c>
      <c r="C34" s="16">
        <v>702835</v>
      </c>
      <c r="D34" s="16">
        <v>193194</v>
      </c>
      <c r="E34" s="16">
        <v>71360</v>
      </c>
      <c r="F34" s="16">
        <v>53792</v>
      </c>
      <c r="G34" s="16">
        <v>2435</v>
      </c>
      <c r="H34" s="16">
        <v>119399</v>
      </c>
      <c r="I34" s="16">
        <v>9534</v>
      </c>
      <c r="J34" s="16">
        <v>25727</v>
      </c>
      <c r="K34" s="16">
        <v>79615</v>
      </c>
      <c r="L34" s="16">
        <v>117819</v>
      </c>
      <c r="M34" s="16">
        <v>149718</v>
      </c>
      <c r="N34" s="16">
        <v>27425</v>
      </c>
      <c r="O34" s="16">
        <v>16167</v>
      </c>
      <c r="P34" s="16">
        <v>18118</v>
      </c>
      <c r="Q34" s="16">
        <v>13365</v>
      </c>
      <c r="R34" s="16">
        <v>52154</v>
      </c>
      <c r="S34" s="120">
        <f t="shared" si="0"/>
        <v>6.2023092190912517E-2</v>
      </c>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row>
    <row r="35" spans="1:52" x14ac:dyDescent="0.35">
      <c r="A35" s="27">
        <v>38352</v>
      </c>
      <c r="B35" s="35">
        <v>38352</v>
      </c>
      <c r="C35" s="16">
        <v>722544</v>
      </c>
      <c r="D35" s="16">
        <v>199966</v>
      </c>
      <c r="E35" s="16">
        <v>74278</v>
      </c>
      <c r="F35" s="16">
        <v>57809</v>
      </c>
      <c r="G35" s="16">
        <v>2166</v>
      </c>
      <c r="H35" s="16">
        <v>123522</v>
      </c>
      <c r="I35" s="16">
        <v>7761</v>
      </c>
      <c r="J35" s="16">
        <v>27456</v>
      </c>
      <c r="K35" s="16">
        <v>82806</v>
      </c>
      <c r="L35" s="16">
        <v>117577</v>
      </c>
      <c r="M35" s="16">
        <v>157831</v>
      </c>
      <c r="N35" s="16">
        <v>27898</v>
      </c>
      <c r="O35" s="16">
        <v>16102</v>
      </c>
      <c r="P35" s="16">
        <v>18214</v>
      </c>
      <c r="Q35" s="16">
        <v>12529</v>
      </c>
      <c r="R35" s="16">
        <v>54403</v>
      </c>
      <c r="S35" s="120">
        <f t="shared" si="0"/>
        <v>6.0895945437232889E-2</v>
      </c>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row>
    <row r="36" spans="1:52" x14ac:dyDescent="0.35">
      <c r="A36" s="27">
        <v>38383</v>
      </c>
      <c r="B36" s="35">
        <v>38383</v>
      </c>
      <c r="C36" s="16">
        <v>751106</v>
      </c>
      <c r="D36" s="16">
        <v>201310</v>
      </c>
      <c r="E36" s="16">
        <v>75726</v>
      </c>
      <c r="F36" s="16">
        <v>57335</v>
      </c>
      <c r="G36" s="16">
        <v>2219</v>
      </c>
      <c r="H36" s="16">
        <v>123365</v>
      </c>
      <c r="I36" s="16">
        <v>8684</v>
      </c>
      <c r="J36" s="16">
        <v>31903</v>
      </c>
      <c r="K36" s="16">
        <v>90222</v>
      </c>
      <c r="L36" s="16">
        <v>126264</v>
      </c>
      <c r="M36" s="16">
        <v>160848</v>
      </c>
      <c r="N36" s="16">
        <v>27944</v>
      </c>
      <c r="O36" s="16">
        <v>16409</v>
      </c>
      <c r="P36" s="16">
        <v>17281</v>
      </c>
      <c r="Q36" s="16">
        <v>12864</v>
      </c>
      <c r="R36" s="16">
        <v>57375</v>
      </c>
      <c r="S36" s="120">
        <f t="shared" si="0"/>
        <v>5.9050253892260214E-2</v>
      </c>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row>
    <row r="37" spans="1:52" x14ac:dyDescent="0.35">
      <c r="A37" s="27"/>
      <c r="B37" s="35">
        <v>38411</v>
      </c>
      <c r="C37" s="16">
        <v>758327</v>
      </c>
      <c r="D37" s="16">
        <v>204585</v>
      </c>
      <c r="E37" s="16">
        <v>77304</v>
      </c>
      <c r="F37" s="16">
        <v>57275</v>
      </c>
      <c r="G37" s="16">
        <v>1835</v>
      </c>
      <c r="H37" s="16">
        <v>125446</v>
      </c>
      <c r="I37" s="16">
        <v>9186</v>
      </c>
      <c r="J37" s="16">
        <v>32441</v>
      </c>
      <c r="K37" s="16">
        <v>92675</v>
      </c>
      <c r="L37" s="16">
        <v>125486</v>
      </c>
      <c r="M37" s="16">
        <v>168866</v>
      </c>
      <c r="N37" s="16">
        <v>28280</v>
      </c>
      <c r="O37" s="16">
        <v>16367</v>
      </c>
      <c r="P37" s="16">
        <v>16110</v>
      </c>
      <c r="Q37" s="16">
        <v>11954</v>
      </c>
      <c r="R37" s="16">
        <v>52378</v>
      </c>
      <c r="S37" s="120">
        <f t="shared" si="0"/>
        <v>5.8875656543944763E-2</v>
      </c>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row>
    <row r="38" spans="1:52" x14ac:dyDescent="0.35">
      <c r="A38" s="27"/>
      <c r="B38" s="35">
        <v>38442</v>
      </c>
      <c r="C38" s="16">
        <v>775512</v>
      </c>
      <c r="D38" s="16">
        <v>206573</v>
      </c>
      <c r="E38" s="16">
        <v>78565</v>
      </c>
      <c r="F38" s="16">
        <v>59449</v>
      </c>
      <c r="G38" s="16">
        <v>1985</v>
      </c>
      <c r="H38" s="16">
        <v>126023</v>
      </c>
      <c r="I38" s="16">
        <v>9207</v>
      </c>
      <c r="J38" s="16">
        <v>32908</v>
      </c>
      <c r="K38" s="16">
        <v>95898</v>
      </c>
      <c r="L38" s="16">
        <v>125313</v>
      </c>
      <c r="M38" s="16">
        <v>176149</v>
      </c>
      <c r="N38" s="16">
        <v>27294</v>
      </c>
      <c r="O38" s="16">
        <v>17211</v>
      </c>
      <c r="P38" s="16">
        <v>18794</v>
      </c>
      <c r="Q38" s="16">
        <v>12912</v>
      </c>
      <c r="R38" s="16">
        <v>53253</v>
      </c>
      <c r="S38" s="120">
        <f t="shared" si="0"/>
        <v>5.738789341750998E-2</v>
      </c>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row>
    <row r="39" spans="1:52" x14ac:dyDescent="0.35">
      <c r="A39" s="27"/>
      <c r="B39" s="35">
        <v>38471</v>
      </c>
      <c r="C39" s="16">
        <v>790581</v>
      </c>
      <c r="D39" s="16">
        <v>209708</v>
      </c>
      <c r="E39" s="16">
        <v>80640</v>
      </c>
      <c r="F39" s="16">
        <v>60300</v>
      </c>
      <c r="G39" s="16">
        <v>1993</v>
      </c>
      <c r="H39" s="16">
        <v>127075</v>
      </c>
      <c r="I39" s="16">
        <v>9345</v>
      </c>
      <c r="J39" s="16">
        <v>33830</v>
      </c>
      <c r="K39" s="16">
        <v>100039</v>
      </c>
      <c r="L39" s="16">
        <v>126884</v>
      </c>
      <c r="M39" s="16">
        <v>178332</v>
      </c>
      <c r="N39" s="16">
        <v>27378</v>
      </c>
      <c r="O39" s="16">
        <v>17432</v>
      </c>
      <c r="P39" s="16">
        <v>17100</v>
      </c>
      <c r="Q39" s="16">
        <v>14013</v>
      </c>
      <c r="R39" s="16">
        <v>56519</v>
      </c>
      <c r="S39" s="120">
        <f t="shared" si="0"/>
        <v>5.6679834197887378E-2</v>
      </c>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row>
    <row r="40" spans="1:52" x14ac:dyDescent="0.35">
      <c r="A40" s="27"/>
      <c r="B40" s="35">
        <v>38503</v>
      </c>
      <c r="C40" s="16">
        <v>820078</v>
      </c>
      <c r="D40" s="16">
        <v>212750</v>
      </c>
      <c r="E40" s="16">
        <v>81130</v>
      </c>
      <c r="F40" s="16">
        <v>60953</v>
      </c>
      <c r="G40" s="16">
        <v>2160</v>
      </c>
      <c r="H40" s="16">
        <v>129459</v>
      </c>
      <c r="I40" s="16">
        <v>10788</v>
      </c>
      <c r="J40" s="16">
        <v>35208</v>
      </c>
      <c r="K40" s="16">
        <v>104847</v>
      </c>
      <c r="L40" s="16">
        <v>134331</v>
      </c>
      <c r="M40" s="16">
        <v>185048</v>
      </c>
      <c r="N40" s="16">
        <v>27733</v>
      </c>
      <c r="O40" s="16">
        <v>17736</v>
      </c>
      <c r="P40" s="16">
        <v>17301</v>
      </c>
      <c r="Q40" s="16">
        <v>12909</v>
      </c>
      <c r="R40" s="16">
        <v>61426</v>
      </c>
      <c r="S40" s="120">
        <f t="shared" si="0"/>
        <v>5.5444725989479048E-2</v>
      </c>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row>
    <row r="41" spans="1:52" x14ac:dyDescent="0.35">
      <c r="A41" s="27"/>
      <c r="B41" s="35">
        <v>38533</v>
      </c>
      <c r="C41" s="16">
        <v>843274</v>
      </c>
      <c r="D41" s="16">
        <v>216463</v>
      </c>
      <c r="E41" s="16">
        <v>82182</v>
      </c>
      <c r="F41" s="16">
        <v>62468</v>
      </c>
      <c r="G41" s="16">
        <v>1892</v>
      </c>
      <c r="H41" s="16">
        <v>132389</v>
      </c>
      <c r="I41" s="16">
        <v>11628</v>
      </c>
      <c r="J41" s="16">
        <v>36376</v>
      </c>
      <c r="K41" s="16">
        <v>102724</v>
      </c>
      <c r="L41" s="16">
        <v>141306</v>
      </c>
      <c r="M41" s="16">
        <v>188942</v>
      </c>
      <c r="N41" s="16">
        <v>29528</v>
      </c>
      <c r="O41" s="16">
        <v>17979</v>
      </c>
      <c r="P41" s="16">
        <v>19099</v>
      </c>
      <c r="Q41" s="16">
        <v>14904</v>
      </c>
      <c r="R41" s="16">
        <v>64326</v>
      </c>
      <c r="S41" s="120">
        <f t="shared" si="0"/>
        <v>5.6336374654027042E-2</v>
      </c>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row>
    <row r="42" spans="1:52" x14ac:dyDescent="0.35">
      <c r="A42" s="27"/>
      <c r="B42" s="35">
        <v>38562</v>
      </c>
      <c r="C42" s="16">
        <v>852813</v>
      </c>
      <c r="D42" s="16">
        <v>221297</v>
      </c>
      <c r="E42" s="16">
        <v>84854</v>
      </c>
      <c r="F42" s="16">
        <v>64408</v>
      </c>
      <c r="G42" s="16">
        <v>2245</v>
      </c>
      <c r="H42" s="16">
        <v>134198</v>
      </c>
      <c r="I42" s="16">
        <v>11798</v>
      </c>
      <c r="J42" s="16">
        <v>37096</v>
      </c>
      <c r="K42" s="16">
        <v>105243</v>
      </c>
      <c r="L42" s="16">
        <v>139886</v>
      </c>
      <c r="M42" s="16">
        <v>194343</v>
      </c>
      <c r="N42" s="16">
        <v>30924</v>
      </c>
      <c r="O42" s="16">
        <v>18131</v>
      </c>
      <c r="P42" s="16">
        <v>21188</v>
      </c>
      <c r="Q42" s="16">
        <v>15851</v>
      </c>
      <c r="R42" s="16">
        <v>57056</v>
      </c>
      <c r="S42" s="120">
        <f t="shared" si="0"/>
        <v>5.7521402699067671E-2</v>
      </c>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row>
    <row r="43" spans="1:52" x14ac:dyDescent="0.35">
      <c r="A43" s="27"/>
      <c r="B43" s="35">
        <v>38595</v>
      </c>
      <c r="C43" s="16">
        <v>870441</v>
      </c>
      <c r="D43" s="16">
        <v>226329</v>
      </c>
      <c r="E43" s="16">
        <v>87248</v>
      </c>
      <c r="F43" s="16">
        <v>67423</v>
      </c>
      <c r="G43" s="16">
        <v>2120</v>
      </c>
      <c r="H43" s="16">
        <v>136962</v>
      </c>
      <c r="I43" s="16">
        <v>12227</v>
      </c>
      <c r="J43" s="16">
        <v>38241</v>
      </c>
      <c r="K43" s="16">
        <v>107930</v>
      </c>
      <c r="L43" s="16">
        <v>137932</v>
      </c>
      <c r="M43" s="16">
        <v>200293</v>
      </c>
      <c r="N43" s="16">
        <v>30929</v>
      </c>
      <c r="O43" s="16">
        <v>18769</v>
      </c>
      <c r="P43" s="16">
        <v>20499</v>
      </c>
      <c r="Q43" s="16">
        <v>13857</v>
      </c>
      <c r="R43" s="16">
        <v>63434</v>
      </c>
      <c r="S43" s="120">
        <f t="shared" si="0"/>
        <v>5.7095196572771734E-2</v>
      </c>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row>
    <row r="44" spans="1:52" x14ac:dyDescent="0.35">
      <c r="A44" s="27"/>
      <c r="B44" s="35">
        <v>38625</v>
      </c>
      <c r="C44" s="16">
        <v>882408</v>
      </c>
      <c r="D44" s="16">
        <v>228321</v>
      </c>
      <c r="E44" s="16">
        <v>88639</v>
      </c>
      <c r="F44" s="16">
        <v>69916</v>
      </c>
      <c r="G44" s="16">
        <v>2159</v>
      </c>
      <c r="H44" s="16">
        <v>137524</v>
      </c>
      <c r="I44" s="16">
        <v>12467</v>
      </c>
      <c r="J44" s="16">
        <v>37931</v>
      </c>
      <c r="K44" s="16">
        <v>113199</v>
      </c>
      <c r="L44" s="16">
        <v>141161</v>
      </c>
      <c r="M44" s="16">
        <v>205659</v>
      </c>
      <c r="N44" s="16">
        <v>31702</v>
      </c>
      <c r="O44" s="16">
        <v>19799</v>
      </c>
      <c r="P44" s="16">
        <v>21878</v>
      </c>
      <c r="Q44" s="16">
        <v>14809</v>
      </c>
      <c r="R44" s="16">
        <v>55483</v>
      </c>
      <c r="S44" s="120">
        <f t="shared" si="0"/>
        <v>5.8364158076536027E-2</v>
      </c>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row>
    <row r="45" spans="1:52" x14ac:dyDescent="0.35">
      <c r="A45" s="27"/>
      <c r="B45" s="35">
        <v>38653</v>
      </c>
      <c r="C45" s="16">
        <v>911401</v>
      </c>
      <c r="D45" s="16">
        <v>235888</v>
      </c>
      <c r="E45" s="16">
        <v>92746</v>
      </c>
      <c r="F45" s="16">
        <v>73112</v>
      </c>
      <c r="G45" s="16">
        <v>2329</v>
      </c>
      <c r="H45" s="16">
        <v>140813</v>
      </c>
      <c r="I45" s="16">
        <v>11121</v>
      </c>
      <c r="J45" s="16">
        <v>41751</v>
      </c>
      <c r="K45" s="16">
        <v>114765</v>
      </c>
      <c r="L45" s="16">
        <v>147038</v>
      </c>
      <c r="M45" s="16">
        <v>213306</v>
      </c>
      <c r="N45" s="16">
        <v>32663</v>
      </c>
      <c r="O45" s="16">
        <v>20629</v>
      </c>
      <c r="P45" s="16">
        <v>21423</v>
      </c>
      <c r="Q45" s="16">
        <v>13130</v>
      </c>
      <c r="R45" s="16">
        <v>59686</v>
      </c>
      <c r="S45" s="120">
        <f t="shared" si="0"/>
        <v>5.8472615237420193E-2</v>
      </c>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row>
    <row r="46" spans="1:52" x14ac:dyDescent="0.35">
      <c r="A46" s="27"/>
      <c r="B46" s="35">
        <v>38686</v>
      </c>
      <c r="C46" s="16">
        <v>921003</v>
      </c>
      <c r="D46" s="16">
        <v>237801</v>
      </c>
      <c r="E46" s="16">
        <v>96114</v>
      </c>
      <c r="F46" s="16">
        <v>74834</v>
      </c>
      <c r="G46" s="16">
        <v>2826</v>
      </c>
      <c r="H46" s="16">
        <v>138862</v>
      </c>
      <c r="I46" s="16">
        <v>12933</v>
      </c>
      <c r="J46" s="16">
        <v>41574</v>
      </c>
      <c r="K46" s="16">
        <v>121009</v>
      </c>
      <c r="L46" s="16">
        <v>140023</v>
      </c>
      <c r="M46" s="16">
        <v>217390</v>
      </c>
      <c r="N46" s="16">
        <v>31967</v>
      </c>
      <c r="O46" s="16">
        <v>20403</v>
      </c>
      <c r="P46" s="16">
        <v>22809</v>
      </c>
      <c r="Q46" s="16">
        <v>15259</v>
      </c>
      <c r="R46" s="16">
        <v>59835</v>
      </c>
      <c r="S46" s="120">
        <f t="shared" si="0"/>
        <v>5.6861921188096021E-2</v>
      </c>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row>
    <row r="47" spans="1:52" x14ac:dyDescent="0.35">
      <c r="A47" s="27">
        <v>38716</v>
      </c>
      <c r="B47" s="35">
        <v>38716</v>
      </c>
      <c r="C47" s="16">
        <v>941907</v>
      </c>
      <c r="D47" s="16">
        <v>246010</v>
      </c>
      <c r="E47" s="16">
        <v>97858</v>
      </c>
      <c r="F47" s="16">
        <v>76968</v>
      </c>
      <c r="G47" s="16">
        <v>2533</v>
      </c>
      <c r="H47" s="16">
        <v>145619</v>
      </c>
      <c r="I47" s="16">
        <v>13178</v>
      </c>
      <c r="J47" s="16">
        <v>44132</v>
      </c>
      <c r="K47" s="16">
        <v>129095</v>
      </c>
      <c r="L47" s="16">
        <v>143544</v>
      </c>
      <c r="M47" s="16">
        <v>218875</v>
      </c>
      <c r="N47" s="16">
        <v>32255</v>
      </c>
      <c r="O47" s="16">
        <v>21240</v>
      </c>
      <c r="P47" s="16">
        <v>20990</v>
      </c>
      <c r="Q47" s="16">
        <v>13203</v>
      </c>
      <c r="R47" s="16">
        <v>59384</v>
      </c>
      <c r="S47" s="120">
        <f t="shared" si="0"/>
        <v>5.6794354432019294E-2</v>
      </c>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row>
    <row r="48" spans="1:52" x14ac:dyDescent="0.35">
      <c r="A48" s="27">
        <v>38748</v>
      </c>
      <c r="B48" s="35">
        <v>38748</v>
      </c>
      <c r="C48" s="16">
        <v>934468</v>
      </c>
      <c r="D48" s="16">
        <v>248460</v>
      </c>
      <c r="E48" s="16">
        <v>101125</v>
      </c>
      <c r="F48" s="16">
        <v>79040</v>
      </c>
      <c r="G48" s="16">
        <v>2729</v>
      </c>
      <c r="H48" s="16">
        <v>144605</v>
      </c>
      <c r="I48" s="16">
        <v>13402</v>
      </c>
      <c r="J48" s="16">
        <v>37097</v>
      </c>
      <c r="K48" s="16">
        <v>128259</v>
      </c>
      <c r="L48" s="16">
        <v>144961</v>
      </c>
      <c r="M48" s="16">
        <v>214777</v>
      </c>
      <c r="N48" s="16">
        <v>32637</v>
      </c>
      <c r="O48" s="16">
        <v>19443</v>
      </c>
      <c r="P48" s="16">
        <v>20282</v>
      </c>
      <c r="Q48" s="16">
        <v>15723</v>
      </c>
      <c r="R48" s="16">
        <v>59428</v>
      </c>
      <c r="S48" s="120">
        <f t="shared" si="0"/>
        <v>5.5732245512954963E-2</v>
      </c>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row>
    <row r="49" spans="1:52" x14ac:dyDescent="0.35">
      <c r="A49" s="27"/>
      <c r="B49" s="35">
        <v>38776</v>
      </c>
      <c r="C49" s="16">
        <v>972857</v>
      </c>
      <c r="D49" s="16">
        <v>271003</v>
      </c>
      <c r="E49" s="16">
        <v>121855</v>
      </c>
      <c r="F49" s="16">
        <v>100302</v>
      </c>
      <c r="G49" s="16">
        <v>2491</v>
      </c>
      <c r="H49" s="16">
        <v>146657</v>
      </c>
      <c r="I49" s="16">
        <v>14547</v>
      </c>
      <c r="J49" s="16">
        <v>35609</v>
      </c>
      <c r="K49" s="16">
        <v>131745</v>
      </c>
      <c r="L49" s="16">
        <v>147320</v>
      </c>
      <c r="M49" s="16">
        <v>218459</v>
      </c>
      <c r="N49" s="16">
        <v>33462</v>
      </c>
      <c r="O49" s="16">
        <v>19712</v>
      </c>
      <c r="P49" s="16">
        <v>21582</v>
      </c>
      <c r="Q49" s="16">
        <v>17497</v>
      </c>
      <c r="R49" s="16">
        <v>61921</v>
      </c>
      <c r="S49" s="120">
        <f t="shared" si="0"/>
        <v>5.4657570434298156E-2</v>
      </c>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row>
    <row r="50" spans="1:52" x14ac:dyDescent="0.35">
      <c r="A50" s="27"/>
      <c r="B50" s="35">
        <v>38807</v>
      </c>
      <c r="C50" s="16">
        <v>988467</v>
      </c>
      <c r="D50" s="16">
        <v>271833</v>
      </c>
      <c r="E50" s="16">
        <v>119047</v>
      </c>
      <c r="F50" s="16">
        <v>97954</v>
      </c>
      <c r="G50" s="16">
        <v>2532</v>
      </c>
      <c r="H50" s="16">
        <v>150254</v>
      </c>
      <c r="I50" s="16">
        <v>15599</v>
      </c>
      <c r="J50" s="16">
        <v>38497</v>
      </c>
      <c r="K50" s="16">
        <v>132795</v>
      </c>
      <c r="L50" s="16">
        <v>147716</v>
      </c>
      <c r="M50" s="16">
        <v>219566</v>
      </c>
      <c r="N50" s="16">
        <v>33888</v>
      </c>
      <c r="O50" s="16">
        <v>19314</v>
      </c>
      <c r="P50" s="16">
        <v>23728</v>
      </c>
      <c r="Q50" s="16">
        <v>16567</v>
      </c>
      <c r="R50" s="16">
        <v>68962</v>
      </c>
      <c r="S50" s="120">
        <f t="shared" si="0"/>
        <v>5.3822737633122807E-2</v>
      </c>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row>
    <row r="51" spans="1:52" x14ac:dyDescent="0.35">
      <c r="A51" s="27"/>
      <c r="B51" s="35">
        <v>38835</v>
      </c>
      <c r="C51" s="16">
        <v>1009129</v>
      </c>
      <c r="D51" s="16">
        <v>273011</v>
      </c>
      <c r="E51" s="16">
        <v>119418</v>
      </c>
      <c r="F51" s="16">
        <v>98416</v>
      </c>
      <c r="G51" s="16">
        <v>2428</v>
      </c>
      <c r="H51" s="16">
        <v>151165</v>
      </c>
      <c r="I51" s="16">
        <v>19100</v>
      </c>
      <c r="J51" s="16">
        <v>40735</v>
      </c>
      <c r="K51" s="16">
        <v>132858</v>
      </c>
      <c r="L51" s="16">
        <v>147010</v>
      </c>
      <c r="M51" s="16">
        <v>222553</v>
      </c>
      <c r="N51" s="16">
        <v>34383</v>
      </c>
      <c r="O51" s="16">
        <v>19060</v>
      </c>
      <c r="P51" s="16">
        <v>22125</v>
      </c>
      <c r="Q51" s="16">
        <v>23072</v>
      </c>
      <c r="R51" s="16">
        <v>75220</v>
      </c>
      <c r="S51" s="120">
        <f t="shared" si="0"/>
        <v>5.2959532428460583E-2</v>
      </c>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row>
    <row r="52" spans="1:52" x14ac:dyDescent="0.35">
      <c r="A52" s="27"/>
      <c r="B52" s="35">
        <v>38868</v>
      </c>
      <c r="C52" s="16">
        <v>1021519</v>
      </c>
      <c r="D52" s="16">
        <v>277549</v>
      </c>
      <c r="E52" s="16">
        <v>122178</v>
      </c>
      <c r="F52" s="16">
        <v>100504</v>
      </c>
      <c r="G52" s="16">
        <v>2393</v>
      </c>
      <c r="H52" s="16">
        <v>152978</v>
      </c>
      <c r="I52" s="16">
        <v>18950</v>
      </c>
      <c r="J52" s="16">
        <v>41128</v>
      </c>
      <c r="K52" s="16">
        <v>133704</v>
      </c>
      <c r="L52" s="16">
        <v>147473</v>
      </c>
      <c r="M52" s="16">
        <v>225128</v>
      </c>
      <c r="N52" s="16">
        <v>34691</v>
      </c>
      <c r="O52" s="16">
        <v>19113</v>
      </c>
      <c r="P52" s="16">
        <v>22784</v>
      </c>
      <c r="Q52" s="16">
        <v>22472</v>
      </c>
      <c r="R52" s="16">
        <v>78527</v>
      </c>
      <c r="S52" s="120">
        <f t="shared" si="0"/>
        <v>5.2670581751293903E-2</v>
      </c>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row>
    <row r="53" spans="1:52" x14ac:dyDescent="0.35">
      <c r="A53" s="27"/>
      <c r="B53" s="35">
        <v>38898</v>
      </c>
      <c r="C53" s="16">
        <v>1050968</v>
      </c>
      <c r="D53" s="16">
        <v>283373</v>
      </c>
      <c r="E53" s="16">
        <v>124231</v>
      </c>
      <c r="F53" s="16">
        <v>103113</v>
      </c>
      <c r="G53" s="16">
        <v>2438</v>
      </c>
      <c r="H53" s="16">
        <v>156704</v>
      </c>
      <c r="I53" s="16">
        <v>17574</v>
      </c>
      <c r="J53" s="16">
        <v>40273</v>
      </c>
      <c r="K53" s="16">
        <v>134876</v>
      </c>
      <c r="L53" s="16">
        <v>157561</v>
      </c>
      <c r="M53" s="16">
        <v>234590</v>
      </c>
      <c r="N53" s="16">
        <v>35323</v>
      </c>
      <c r="O53" s="16">
        <v>20115</v>
      </c>
      <c r="P53" s="16">
        <v>26001</v>
      </c>
      <c r="Q53" s="16">
        <v>23947</v>
      </c>
      <c r="R53" s="16">
        <v>77335</v>
      </c>
      <c r="S53" s="120">
        <f t="shared" si="0"/>
        <v>5.2749465254888828E-2</v>
      </c>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row>
    <row r="54" spans="1:52" x14ac:dyDescent="0.35">
      <c r="A54" s="27"/>
      <c r="B54" s="35">
        <v>38929</v>
      </c>
      <c r="C54" s="16">
        <v>1053388</v>
      </c>
      <c r="D54" s="16">
        <v>287000</v>
      </c>
      <c r="E54" s="16">
        <v>123987</v>
      </c>
      <c r="F54" s="16">
        <v>102888</v>
      </c>
      <c r="G54" s="16">
        <v>2956</v>
      </c>
      <c r="H54" s="16">
        <v>160057</v>
      </c>
      <c r="I54" s="16">
        <v>17773</v>
      </c>
      <c r="J54" s="16">
        <v>40413</v>
      </c>
      <c r="K54" s="16">
        <v>142284</v>
      </c>
      <c r="L54" s="16">
        <v>152216</v>
      </c>
      <c r="M54" s="16">
        <v>236848</v>
      </c>
      <c r="N54" s="16">
        <v>35801</v>
      </c>
      <c r="O54" s="16">
        <v>21448</v>
      </c>
      <c r="P54" s="16">
        <v>26270</v>
      </c>
      <c r="Q54" s="16">
        <v>20542</v>
      </c>
      <c r="R54" s="16">
        <v>72794</v>
      </c>
      <c r="S54" s="120">
        <f t="shared" si="0"/>
        <v>5.434749588945384E-2</v>
      </c>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row>
    <row r="55" spans="1:52" x14ac:dyDescent="0.35">
      <c r="A55" s="27"/>
      <c r="B55" s="35">
        <v>38960</v>
      </c>
      <c r="C55" s="16">
        <v>1071539</v>
      </c>
      <c r="D55" s="16">
        <v>290886</v>
      </c>
      <c r="E55" s="16">
        <v>126038</v>
      </c>
      <c r="F55" s="16">
        <v>105076</v>
      </c>
      <c r="G55" s="16">
        <v>2692</v>
      </c>
      <c r="H55" s="16">
        <v>162156</v>
      </c>
      <c r="I55" s="16">
        <v>18210</v>
      </c>
      <c r="J55" s="16">
        <v>41675</v>
      </c>
      <c r="K55" s="16">
        <v>149651</v>
      </c>
      <c r="L55" s="16">
        <v>152285</v>
      </c>
      <c r="M55" s="16">
        <v>237663</v>
      </c>
      <c r="N55" s="16">
        <v>36082</v>
      </c>
      <c r="O55" s="16">
        <v>21544</v>
      </c>
      <c r="P55" s="16">
        <v>28028</v>
      </c>
      <c r="Q55" s="16">
        <v>21114</v>
      </c>
      <c r="R55" s="16">
        <v>74401</v>
      </c>
      <c r="S55" s="120">
        <f t="shared" si="0"/>
        <v>5.3778723872859507E-2</v>
      </c>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row>
    <row r="56" spans="1:52" x14ac:dyDescent="0.35">
      <c r="A56" s="27"/>
      <c r="B56" s="35">
        <v>38989</v>
      </c>
      <c r="C56" s="16">
        <v>1092294</v>
      </c>
      <c r="D56" s="16">
        <v>296578</v>
      </c>
      <c r="E56" s="16">
        <v>129327</v>
      </c>
      <c r="F56" s="16">
        <v>108825</v>
      </c>
      <c r="G56" s="16">
        <v>3190</v>
      </c>
      <c r="H56" s="16">
        <v>164061</v>
      </c>
      <c r="I56" s="16">
        <v>19147</v>
      </c>
      <c r="J56" s="16">
        <v>42138</v>
      </c>
      <c r="K56" s="16">
        <v>157129</v>
      </c>
      <c r="L56" s="16">
        <v>148893</v>
      </c>
      <c r="M56" s="16">
        <v>242177</v>
      </c>
      <c r="N56" s="16">
        <v>36687</v>
      </c>
      <c r="O56" s="16">
        <v>21646</v>
      </c>
      <c r="P56" s="16">
        <v>30360</v>
      </c>
      <c r="Q56" s="16">
        <v>23039</v>
      </c>
      <c r="R56" s="16">
        <v>74500</v>
      </c>
      <c r="S56" s="120">
        <f t="shared" si="0"/>
        <v>5.3404120136153817E-2</v>
      </c>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row>
    <row r="57" spans="1:52" x14ac:dyDescent="0.35">
      <c r="A57" s="27"/>
      <c r="B57" s="35">
        <v>39021</v>
      </c>
      <c r="C57" s="16">
        <v>1119557</v>
      </c>
      <c r="D57" s="16">
        <v>305239</v>
      </c>
      <c r="E57" s="16">
        <v>135550</v>
      </c>
      <c r="F57" s="16">
        <v>114204</v>
      </c>
      <c r="G57" s="16">
        <v>3010</v>
      </c>
      <c r="H57" s="16">
        <v>166679</v>
      </c>
      <c r="I57" s="16">
        <v>19654</v>
      </c>
      <c r="J57" s="16">
        <v>41863</v>
      </c>
      <c r="K57" s="16">
        <v>165995</v>
      </c>
      <c r="L57" s="16">
        <v>148516</v>
      </c>
      <c r="M57" s="16">
        <v>255296</v>
      </c>
      <c r="N57" s="16">
        <v>39490</v>
      </c>
      <c r="O57" s="16">
        <v>23214</v>
      </c>
      <c r="P57" s="16">
        <v>28024</v>
      </c>
      <c r="Q57" s="16">
        <v>21838</v>
      </c>
      <c r="R57" s="16">
        <v>70430</v>
      </c>
      <c r="S57" s="120">
        <f t="shared" si="0"/>
        <v>5.6007867397550995E-2</v>
      </c>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row>
    <row r="58" spans="1:52" x14ac:dyDescent="0.35">
      <c r="A58" s="27"/>
      <c r="B58" s="35">
        <v>39051</v>
      </c>
      <c r="C58" s="16">
        <v>1152404</v>
      </c>
      <c r="D58" s="16">
        <v>310760</v>
      </c>
      <c r="E58" s="16">
        <v>142443</v>
      </c>
      <c r="F58" s="16">
        <v>119989</v>
      </c>
      <c r="G58" s="16">
        <v>3152</v>
      </c>
      <c r="H58" s="16">
        <v>165165</v>
      </c>
      <c r="I58" s="16">
        <v>20163</v>
      </c>
      <c r="J58" s="16">
        <v>44052</v>
      </c>
      <c r="K58" s="16">
        <v>170877</v>
      </c>
      <c r="L58" s="16">
        <v>146792</v>
      </c>
      <c r="M58" s="16">
        <v>276030</v>
      </c>
      <c r="N58" s="16">
        <v>39649</v>
      </c>
      <c r="O58" s="16">
        <v>21505</v>
      </c>
      <c r="P58" s="16">
        <v>27939</v>
      </c>
      <c r="Q58" s="16">
        <v>22423</v>
      </c>
      <c r="R58" s="16">
        <v>72213</v>
      </c>
      <c r="S58" s="120">
        <f t="shared" si="0"/>
        <v>5.3066459331970385E-2</v>
      </c>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row>
    <row r="59" spans="1:52" x14ac:dyDescent="0.35">
      <c r="A59" s="27">
        <v>39080</v>
      </c>
      <c r="B59" s="35">
        <v>39080</v>
      </c>
      <c r="C59" s="16">
        <v>1178128</v>
      </c>
      <c r="D59" s="16">
        <v>314835</v>
      </c>
      <c r="E59" s="16">
        <v>142142</v>
      </c>
      <c r="F59" s="16">
        <v>122792</v>
      </c>
      <c r="G59" s="16">
        <v>2966</v>
      </c>
      <c r="H59" s="16">
        <v>169727</v>
      </c>
      <c r="I59" s="16">
        <v>23456</v>
      </c>
      <c r="J59" s="16">
        <v>41452</v>
      </c>
      <c r="K59" s="16">
        <v>173633</v>
      </c>
      <c r="L59" s="16">
        <v>153153</v>
      </c>
      <c r="M59" s="16">
        <v>277337</v>
      </c>
      <c r="N59" s="16">
        <v>40064</v>
      </c>
      <c r="O59" s="16">
        <v>22480</v>
      </c>
      <c r="P59" s="16">
        <v>27044</v>
      </c>
      <c r="Q59" s="16">
        <v>23516</v>
      </c>
      <c r="R59" s="16">
        <v>81157</v>
      </c>
      <c r="S59" s="120">
        <f t="shared" si="0"/>
        <v>5.3087610174785763E-2</v>
      </c>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row>
    <row r="60" spans="1:52" x14ac:dyDescent="0.35">
      <c r="A60" s="27">
        <v>39113</v>
      </c>
      <c r="B60" s="35">
        <v>39113</v>
      </c>
      <c r="C60" s="16">
        <v>1184568</v>
      </c>
      <c r="D60" s="16">
        <v>309214</v>
      </c>
      <c r="E60" s="16">
        <v>136464</v>
      </c>
      <c r="F60" s="16">
        <v>118856</v>
      </c>
      <c r="G60" s="16">
        <v>3081</v>
      </c>
      <c r="H60" s="16">
        <v>169669</v>
      </c>
      <c r="I60" s="16">
        <v>25578</v>
      </c>
      <c r="J60" s="16">
        <v>43805</v>
      </c>
      <c r="K60" s="16">
        <v>172733</v>
      </c>
      <c r="L60" s="16">
        <v>157720</v>
      </c>
      <c r="M60" s="16">
        <v>281477</v>
      </c>
      <c r="N60" s="16">
        <v>41868</v>
      </c>
      <c r="O60" s="16">
        <v>22632</v>
      </c>
      <c r="P60" s="16">
        <v>23385</v>
      </c>
      <c r="Q60" s="16">
        <v>24281</v>
      </c>
      <c r="R60" s="16">
        <v>81875</v>
      </c>
      <c r="S60" s="120">
        <f t="shared" si="0"/>
        <v>5.445022995725024E-2</v>
      </c>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row>
    <row r="61" spans="1:52" x14ac:dyDescent="0.35">
      <c r="A61" s="27"/>
      <c r="B61" s="35">
        <v>39141</v>
      </c>
      <c r="C61" s="16">
        <v>1185046</v>
      </c>
      <c r="D61" s="16">
        <v>305430</v>
      </c>
      <c r="E61" s="16">
        <v>131178</v>
      </c>
      <c r="F61" s="16">
        <v>115263</v>
      </c>
      <c r="G61" s="16">
        <v>3137</v>
      </c>
      <c r="H61" s="16">
        <v>171115</v>
      </c>
      <c r="I61" s="16">
        <v>26388</v>
      </c>
      <c r="J61" s="16">
        <v>48688</v>
      </c>
      <c r="K61" s="16">
        <v>175924</v>
      </c>
      <c r="L61" s="16">
        <v>157584</v>
      </c>
      <c r="M61" s="16">
        <v>279745</v>
      </c>
      <c r="N61" s="16">
        <v>41523</v>
      </c>
      <c r="O61" s="16">
        <v>22635</v>
      </c>
      <c r="P61" s="16">
        <v>25411</v>
      </c>
      <c r="Q61" s="16">
        <v>24034</v>
      </c>
      <c r="R61" s="16">
        <v>77684</v>
      </c>
      <c r="S61" s="120">
        <f t="shared" si="0"/>
        <v>5.4139670527557582E-2</v>
      </c>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row>
    <row r="62" spans="1:52" x14ac:dyDescent="0.35">
      <c r="A62" s="27"/>
      <c r="B62" s="35">
        <v>39171</v>
      </c>
      <c r="C62" s="16">
        <v>1209777</v>
      </c>
      <c r="D62" s="16">
        <v>305180</v>
      </c>
      <c r="E62" s="16">
        <v>132772</v>
      </c>
      <c r="F62" s="16">
        <v>115134</v>
      </c>
      <c r="G62" s="16">
        <v>2904</v>
      </c>
      <c r="H62" s="16">
        <v>169504</v>
      </c>
      <c r="I62" s="16">
        <v>28344</v>
      </c>
      <c r="J62" s="16">
        <v>47206</v>
      </c>
      <c r="K62" s="16">
        <v>178641</v>
      </c>
      <c r="L62" s="16">
        <v>158737</v>
      </c>
      <c r="M62" s="16">
        <v>297319</v>
      </c>
      <c r="N62" s="16">
        <v>42003</v>
      </c>
      <c r="O62" s="16">
        <v>22988</v>
      </c>
      <c r="P62" s="16">
        <v>24020</v>
      </c>
      <c r="Q62" s="16">
        <v>22525</v>
      </c>
      <c r="R62" s="16">
        <v>82813</v>
      </c>
      <c r="S62" s="120">
        <f t="shared" si="0"/>
        <v>5.3721470981842108E-2</v>
      </c>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row>
    <row r="63" spans="1:52" x14ac:dyDescent="0.35">
      <c r="A63" s="27"/>
      <c r="B63" s="35">
        <v>39202</v>
      </c>
      <c r="C63" s="16">
        <v>1232537</v>
      </c>
      <c r="D63" s="16">
        <v>305986</v>
      </c>
      <c r="E63" s="16">
        <v>133237</v>
      </c>
      <c r="F63" s="16">
        <v>114830</v>
      </c>
      <c r="G63" s="16">
        <v>3045</v>
      </c>
      <c r="H63" s="16">
        <v>169704</v>
      </c>
      <c r="I63" s="16">
        <v>31717</v>
      </c>
      <c r="J63" s="16">
        <v>47928</v>
      </c>
      <c r="K63" s="16">
        <v>179282</v>
      </c>
      <c r="L63" s="16">
        <v>167866</v>
      </c>
      <c r="M63" s="16">
        <v>300296</v>
      </c>
      <c r="N63" s="16">
        <v>42784</v>
      </c>
      <c r="O63" s="16">
        <v>24698</v>
      </c>
      <c r="P63" s="16">
        <v>20718</v>
      </c>
      <c r="Q63" s="16">
        <v>22625</v>
      </c>
      <c r="R63" s="16">
        <v>88636</v>
      </c>
      <c r="S63" s="120">
        <f t="shared" si="0"/>
        <v>5.4750486192300919E-2</v>
      </c>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row>
    <row r="64" spans="1:52" x14ac:dyDescent="0.35">
      <c r="A64" s="27"/>
      <c r="B64" s="35">
        <v>39233</v>
      </c>
      <c r="C64" s="16">
        <v>1261135</v>
      </c>
      <c r="D64" s="16">
        <v>308048</v>
      </c>
      <c r="E64" s="16">
        <v>132664</v>
      </c>
      <c r="F64" s="16">
        <v>113017</v>
      </c>
      <c r="G64" s="16">
        <v>3244</v>
      </c>
      <c r="H64" s="16">
        <v>172140</v>
      </c>
      <c r="I64" s="16">
        <v>31696</v>
      </c>
      <c r="J64" s="16">
        <v>50160</v>
      </c>
      <c r="K64" s="16">
        <v>179498</v>
      </c>
      <c r="L64" s="16">
        <v>169363</v>
      </c>
      <c r="M64" s="16">
        <v>314505</v>
      </c>
      <c r="N64" s="16">
        <v>43888</v>
      </c>
      <c r="O64" s="16">
        <v>25806</v>
      </c>
      <c r="P64" s="16">
        <v>22318</v>
      </c>
      <c r="Q64" s="16">
        <v>24954</v>
      </c>
      <c r="R64" s="16">
        <v>90899</v>
      </c>
      <c r="S64" s="120">
        <f t="shared" si="0"/>
        <v>5.5262917927105346E-2</v>
      </c>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row>
    <row r="65" spans="1:52" x14ac:dyDescent="0.35">
      <c r="A65" s="27"/>
      <c r="B65" s="35">
        <v>39262</v>
      </c>
      <c r="C65" s="16">
        <v>1285222</v>
      </c>
      <c r="D65" s="16">
        <v>310389</v>
      </c>
      <c r="E65" s="16">
        <v>134005</v>
      </c>
      <c r="F65" s="16">
        <v>118384</v>
      </c>
      <c r="G65" s="16">
        <v>2950</v>
      </c>
      <c r="H65" s="16">
        <v>173433</v>
      </c>
      <c r="I65" s="16">
        <v>34480</v>
      </c>
      <c r="J65" s="16">
        <v>49842</v>
      </c>
      <c r="K65" s="16">
        <v>177139</v>
      </c>
      <c r="L65" s="16">
        <v>174867</v>
      </c>
      <c r="M65" s="16">
        <v>320719</v>
      </c>
      <c r="N65" s="16">
        <v>44621</v>
      </c>
      <c r="O65" s="16">
        <v>26987</v>
      </c>
      <c r="P65" s="16">
        <v>25535</v>
      </c>
      <c r="Q65" s="16">
        <v>26243</v>
      </c>
      <c r="R65" s="16">
        <v>94400</v>
      </c>
      <c r="S65" s="120">
        <f t="shared" si="0"/>
        <v>5.5716444318569085E-2</v>
      </c>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row>
    <row r="66" spans="1:52" x14ac:dyDescent="0.35">
      <c r="A66" s="27"/>
      <c r="B66" s="35">
        <v>39294</v>
      </c>
      <c r="C66" s="16">
        <v>1272634</v>
      </c>
      <c r="D66" s="16">
        <v>312611</v>
      </c>
      <c r="E66" s="16">
        <v>132466</v>
      </c>
      <c r="F66" s="16">
        <v>113728</v>
      </c>
      <c r="G66" s="16">
        <v>2777</v>
      </c>
      <c r="H66" s="16">
        <v>177368</v>
      </c>
      <c r="I66" s="16">
        <v>34218</v>
      </c>
      <c r="J66" s="16">
        <v>49737</v>
      </c>
      <c r="K66" s="16">
        <v>180280</v>
      </c>
      <c r="L66" s="16">
        <v>169864</v>
      </c>
      <c r="M66" s="16">
        <v>315186</v>
      </c>
      <c r="N66" s="16">
        <v>45123</v>
      </c>
      <c r="O66" s="16">
        <v>28383</v>
      </c>
      <c r="P66" s="16">
        <v>21696</v>
      </c>
      <c r="Q66" s="16">
        <v>24490</v>
      </c>
      <c r="R66" s="16">
        <v>91044</v>
      </c>
      <c r="S66" s="120">
        <f t="shared" si="0"/>
        <v>5.7758947191415597E-2</v>
      </c>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row>
    <row r="67" spans="1:52" x14ac:dyDescent="0.35">
      <c r="A67" s="27"/>
      <c r="B67" s="35">
        <v>39325</v>
      </c>
      <c r="C67" s="16">
        <v>1260182</v>
      </c>
      <c r="D67" s="16">
        <v>289652</v>
      </c>
      <c r="E67" s="16">
        <v>110557</v>
      </c>
      <c r="F67" s="16">
        <v>92887</v>
      </c>
      <c r="G67" s="16">
        <v>2493</v>
      </c>
      <c r="H67" s="16">
        <v>176602</v>
      </c>
      <c r="I67" s="16">
        <v>32319</v>
      </c>
      <c r="J67" s="16">
        <v>49590</v>
      </c>
      <c r="K67" s="16">
        <v>177089</v>
      </c>
      <c r="L67" s="16">
        <v>177831</v>
      </c>
      <c r="M67" s="16">
        <v>327858</v>
      </c>
      <c r="N67" s="16">
        <v>45778</v>
      </c>
      <c r="O67" s="16">
        <v>27826</v>
      </c>
      <c r="P67" s="16">
        <v>20116</v>
      </c>
      <c r="Q67" s="16">
        <v>25547</v>
      </c>
      <c r="R67" s="16">
        <v>86576</v>
      </c>
      <c r="S67" s="120">
        <f t="shared" si="0"/>
        <v>5.8407436386172788E-2</v>
      </c>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row>
    <row r="68" spans="1:52" x14ac:dyDescent="0.35">
      <c r="A68" s="27"/>
      <c r="B68" s="35">
        <v>39353</v>
      </c>
      <c r="C68" s="16">
        <v>1269767</v>
      </c>
      <c r="D68" s="16">
        <v>291246</v>
      </c>
      <c r="E68" s="16">
        <v>111559</v>
      </c>
      <c r="F68" s="16">
        <v>93902</v>
      </c>
      <c r="G68" s="16">
        <v>2355</v>
      </c>
      <c r="H68" s="16">
        <v>177333</v>
      </c>
      <c r="I68" s="16">
        <v>31428</v>
      </c>
      <c r="J68" s="16">
        <v>47042</v>
      </c>
      <c r="K68" s="16">
        <v>179537</v>
      </c>
      <c r="L68" s="16">
        <v>172950</v>
      </c>
      <c r="M68" s="16">
        <v>338013</v>
      </c>
      <c r="N68" s="16">
        <v>45919</v>
      </c>
      <c r="O68" s="16">
        <v>27541</v>
      </c>
      <c r="P68" s="16">
        <v>23801</v>
      </c>
      <c r="Q68" s="16">
        <v>26003</v>
      </c>
      <c r="R68" s="16">
        <v>86287</v>
      </c>
      <c r="S68" s="120">
        <f t="shared" si="0"/>
        <v>5.7853133685156412E-2</v>
      </c>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row>
    <row r="69" spans="1:52" x14ac:dyDescent="0.35">
      <c r="A69" s="27"/>
      <c r="B69" s="35">
        <v>39386</v>
      </c>
      <c r="C69" s="16">
        <v>1273656</v>
      </c>
      <c r="D69" s="16">
        <v>297291</v>
      </c>
      <c r="E69" s="16">
        <v>114022</v>
      </c>
      <c r="F69" s="16">
        <v>95632</v>
      </c>
      <c r="G69" s="16">
        <v>2495</v>
      </c>
      <c r="H69" s="16">
        <v>180775</v>
      </c>
      <c r="I69" s="16">
        <v>31095</v>
      </c>
      <c r="J69" s="16">
        <v>47435</v>
      </c>
      <c r="K69" s="16">
        <v>189897</v>
      </c>
      <c r="L69" s="16">
        <v>186099</v>
      </c>
      <c r="M69" s="16">
        <v>319521</v>
      </c>
      <c r="N69" s="16">
        <v>46175</v>
      </c>
      <c r="O69" s="16">
        <v>27763</v>
      </c>
      <c r="P69" s="16">
        <v>23208</v>
      </c>
      <c r="Q69" s="16">
        <v>28619</v>
      </c>
      <c r="R69" s="16">
        <v>76552</v>
      </c>
      <c r="S69" s="120">
        <f t="shared" si="0"/>
        <v>5.8051781642766961E-2</v>
      </c>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row>
    <row r="70" spans="1:52" x14ac:dyDescent="0.35">
      <c r="A70" s="27"/>
      <c r="B70" s="35">
        <v>39416</v>
      </c>
      <c r="C70" s="16">
        <v>1310064</v>
      </c>
      <c r="D70" s="16">
        <v>300813</v>
      </c>
      <c r="E70" s="16">
        <v>120769</v>
      </c>
      <c r="F70" s="16">
        <v>101268</v>
      </c>
      <c r="G70" s="16">
        <v>2128</v>
      </c>
      <c r="H70" s="16">
        <v>177915</v>
      </c>
      <c r="I70" s="16">
        <v>30329</v>
      </c>
      <c r="J70" s="16">
        <v>45015</v>
      </c>
      <c r="K70" s="16">
        <v>177703</v>
      </c>
      <c r="L70" s="16">
        <v>195687</v>
      </c>
      <c r="M70" s="16">
        <v>321409</v>
      </c>
      <c r="N70" s="16">
        <v>46749</v>
      </c>
      <c r="O70" s="16">
        <v>27470</v>
      </c>
      <c r="P70" s="16">
        <v>32570</v>
      </c>
      <c r="Q70" s="16">
        <v>68415</v>
      </c>
      <c r="R70" s="16">
        <v>63904</v>
      </c>
      <c r="S70" s="120">
        <f t="shared" si="0"/>
        <v>5.6652957412767622E-2</v>
      </c>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row>
    <row r="71" spans="1:52" x14ac:dyDescent="0.35">
      <c r="A71" s="27">
        <v>39447</v>
      </c>
      <c r="B71" s="35">
        <v>39447</v>
      </c>
      <c r="C71" s="16">
        <v>1337356</v>
      </c>
      <c r="D71" s="16">
        <v>302676</v>
      </c>
      <c r="E71" s="16">
        <v>119937</v>
      </c>
      <c r="F71" s="16">
        <v>103610</v>
      </c>
      <c r="G71" s="16">
        <v>2573</v>
      </c>
      <c r="H71" s="16">
        <v>180166</v>
      </c>
      <c r="I71" s="16">
        <v>30588</v>
      </c>
      <c r="J71" s="16">
        <v>46301</v>
      </c>
      <c r="K71" s="16">
        <v>177133</v>
      </c>
      <c r="L71" s="16">
        <v>191955</v>
      </c>
      <c r="M71" s="16">
        <v>341352</v>
      </c>
      <c r="N71" s="16">
        <v>44961</v>
      </c>
      <c r="O71" s="16">
        <v>29392</v>
      </c>
      <c r="P71" s="16">
        <v>40088</v>
      </c>
      <c r="Q71" s="16">
        <v>67180</v>
      </c>
      <c r="R71" s="16">
        <v>65729</v>
      </c>
      <c r="S71" s="120">
        <f t="shared" si="0"/>
        <v>5.559701380933723E-2</v>
      </c>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row>
    <row r="72" spans="1:52" x14ac:dyDescent="0.35">
      <c r="A72" s="27">
        <v>39478</v>
      </c>
      <c r="B72" s="35">
        <v>39478</v>
      </c>
      <c r="C72" s="16">
        <v>1399561</v>
      </c>
      <c r="D72" s="16">
        <v>300899</v>
      </c>
      <c r="E72" s="16">
        <v>118973</v>
      </c>
      <c r="F72" s="16">
        <v>101873</v>
      </c>
      <c r="G72" s="16">
        <v>2695</v>
      </c>
      <c r="H72" s="16">
        <v>179232</v>
      </c>
      <c r="I72" s="16">
        <v>30639</v>
      </c>
      <c r="J72" s="16">
        <v>46267</v>
      </c>
      <c r="K72" s="16">
        <v>186573</v>
      </c>
      <c r="L72" s="16">
        <v>202946</v>
      </c>
      <c r="M72" s="16">
        <v>357739</v>
      </c>
      <c r="N72" s="16">
        <v>45145</v>
      </c>
      <c r="O72" s="16">
        <v>30175</v>
      </c>
      <c r="P72" s="16">
        <v>28087</v>
      </c>
      <c r="Q72" s="16">
        <v>44984</v>
      </c>
      <c r="R72" s="16">
        <v>126106</v>
      </c>
      <c r="S72" s="120">
        <f t="shared" si="0"/>
        <v>5.3816875434511253E-2</v>
      </c>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row>
    <row r="73" spans="1:52" x14ac:dyDescent="0.35">
      <c r="A73" s="27"/>
      <c r="B73" s="35">
        <v>39507</v>
      </c>
      <c r="C73" s="16">
        <v>1400890</v>
      </c>
      <c r="D73" s="16">
        <v>298480</v>
      </c>
      <c r="E73" s="16">
        <v>122042</v>
      </c>
      <c r="F73" s="16">
        <v>102772</v>
      </c>
      <c r="G73" s="16">
        <v>2518</v>
      </c>
      <c r="H73" s="16">
        <v>173920</v>
      </c>
      <c r="I73" s="16">
        <v>30316</v>
      </c>
      <c r="J73" s="16">
        <v>45880</v>
      </c>
      <c r="K73" s="16">
        <v>184690</v>
      </c>
      <c r="L73" s="16">
        <v>197218</v>
      </c>
      <c r="M73" s="16">
        <v>361207</v>
      </c>
      <c r="N73" s="16">
        <v>44388</v>
      </c>
      <c r="O73" s="16">
        <v>30120</v>
      </c>
      <c r="P73" s="16">
        <v>28315</v>
      </c>
      <c r="Q73" s="16">
        <v>48501</v>
      </c>
      <c r="R73" s="16">
        <v>131776</v>
      </c>
      <c r="S73" s="120">
        <f t="shared" si="0"/>
        <v>5.3186188779989867E-2</v>
      </c>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row>
    <row r="74" spans="1:52" x14ac:dyDescent="0.35">
      <c r="A74" s="27"/>
      <c r="B74" s="35">
        <v>39538</v>
      </c>
      <c r="C74" s="16">
        <v>1401153</v>
      </c>
      <c r="D74" s="16">
        <v>295588</v>
      </c>
      <c r="E74" s="16">
        <v>117710</v>
      </c>
      <c r="F74" s="16">
        <v>101819</v>
      </c>
      <c r="G74" s="16">
        <v>2605</v>
      </c>
      <c r="H74" s="16">
        <v>175272</v>
      </c>
      <c r="I74" s="16">
        <v>29835</v>
      </c>
      <c r="J74" s="16">
        <v>45329</v>
      </c>
      <c r="K74" s="16">
        <v>178738</v>
      </c>
      <c r="L74" s="16">
        <v>197212</v>
      </c>
      <c r="M74" s="16">
        <v>362594</v>
      </c>
      <c r="N74" s="16">
        <v>44324</v>
      </c>
      <c r="O74" s="16">
        <v>28922</v>
      </c>
      <c r="P74" s="16">
        <v>34644</v>
      </c>
      <c r="Q74" s="16">
        <v>51401</v>
      </c>
      <c r="R74" s="16">
        <v>132566</v>
      </c>
      <c r="S74" s="120">
        <f t="shared" si="0"/>
        <v>5.227551880486999E-2</v>
      </c>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row>
    <row r="75" spans="1:52" x14ac:dyDescent="0.35">
      <c r="A75" s="27"/>
      <c r="B75" s="35">
        <v>39568</v>
      </c>
      <c r="C75" s="16">
        <v>1394258</v>
      </c>
      <c r="D75" s="16">
        <v>302455</v>
      </c>
      <c r="E75" s="16">
        <v>125229</v>
      </c>
      <c r="F75" s="16">
        <v>105555</v>
      </c>
      <c r="G75" s="16">
        <v>2755</v>
      </c>
      <c r="H75" s="16">
        <v>174471</v>
      </c>
      <c r="I75" s="16">
        <v>29773</v>
      </c>
      <c r="J75" s="16">
        <v>40209</v>
      </c>
      <c r="K75" s="16">
        <v>172128</v>
      </c>
      <c r="L75" s="16">
        <v>205971</v>
      </c>
      <c r="M75" s="16">
        <v>373197</v>
      </c>
      <c r="N75" s="16">
        <v>44782</v>
      </c>
      <c r="O75" s="16">
        <v>28910</v>
      </c>
      <c r="P75" s="16">
        <v>36127</v>
      </c>
      <c r="Q75" s="16">
        <v>43680</v>
      </c>
      <c r="R75" s="16">
        <v>117026</v>
      </c>
      <c r="S75" s="120">
        <f t="shared" si="0"/>
        <v>5.285391943241495E-2</v>
      </c>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row>
    <row r="76" spans="1:52" x14ac:dyDescent="0.35">
      <c r="A76" s="27"/>
      <c r="B76" s="35">
        <v>39598</v>
      </c>
      <c r="C76" s="16">
        <v>1442385</v>
      </c>
      <c r="D76" s="16">
        <v>319110</v>
      </c>
      <c r="E76" s="16">
        <v>141221</v>
      </c>
      <c r="F76" s="16">
        <v>118825</v>
      </c>
      <c r="G76" s="16">
        <v>2640</v>
      </c>
      <c r="H76" s="16">
        <v>175248</v>
      </c>
      <c r="I76" s="16">
        <v>29597</v>
      </c>
      <c r="J76" s="16">
        <v>42933</v>
      </c>
      <c r="K76" s="16">
        <v>180966</v>
      </c>
      <c r="L76" s="16">
        <v>204910</v>
      </c>
      <c r="M76" s="16">
        <v>364771</v>
      </c>
      <c r="N76" s="16">
        <v>44974</v>
      </c>
      <c r="O76" s="16">
        <v>29335</v>
      </c>
      <c r="P76" s="16">
        <v>37994</v>
      </c>
      <c r="Q76" s="16">
        <v>53050</v>
      </c>
      <c r="R76" s="16">
        <v>134745</v>
      </c>
      <c r="S76" s="120">
        <f t="shared" si="0"/>
        <v>5.1518145294078901E-2</v>
      </c>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row>
    <row r="77" spans="1:52" x14ac:dyDescent="0.35">
      <c r="A77" s="27"/>
      <c r="B77" s="35">
        <v>39629</v>
      </c>
      <c r="C77" s="16">
        <v>1429255</v>
      </c>
      <c r="D77" s="16">
        <v>311580</v>
      </c>
      <c r="E77" s="16">
        <v>132090</v>
      </c>
      <c r="F77" s="16">
        <v>111546</v>
      </c>
      <c r="G77" s="16">
        <v>2562</v>
      </c>
      <c r="H77" s="16">
        <v>176929</v>
      </c>
      <c r="I77" s="16">
        <v>29247</v>
      </c>
      <c r="J77" s="16">
        <v>41531</v>
      </c>
      <c r="K77" s="16">
        <v>176967</v>
      </c>
      <c r="L77" s="16">
        <v>211730</v>
      </c>
      <c r="M77" s="16">
        <v>359537</v>
      </c>
      <c r="N77" s="16">
        <v>45525</v>
      </c>
      <c r="O77" s="16">
        <v>29698</v>
      </c>
      <c r="P77" s="16">
        <v>38833</v>
      </c>
      <c r="Q77" s="16">
        <v>53630</v>
      </c>
      <c r="R77" s="16">
        <v>130977</v>
      </c>
      <c r="S77" s="120">
        <f t="shared" ref="S77:S140" si="1">SUM(N77:O77)/C77</f>
        <v>5.2630916106642972E-2</v>
      </c>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row>
    <row r="78" spans="1:52" x14ac:dyDescent="0.35">
      <c r="A78" s="27"/>
      <c r="B78" s="35">
        <v>39660</v>
      </c>
      <c r="C78" s="16">
        <v>1392678</v>
      </c>
      <c r="D78" s="16">
        <v>309207</v>
      </c>
      <c r="E78" s="16">
        <v>129262</v>
      </c>
      <c r="F78" s="16">
        <v>108900</v>
      </c>
      <c r="G78" s="16">
        <v>2727</v>
      </c>
      <c r="H78" s="16">
        <v>177219</v>
      </c>
      <c r="I78" s="16">
        <v>29119</v>
      </c>
      <c r="J78" s="16">
        <v>39327</v>
      </c>
      <c r="K78" s="16">
        <v>175179</v>
      </c>
      <c r="L78" s="16">
        <v>216159</v>
      </c>
      <c r="M78" s="16">
        <v>364202</v>
      </c>
      <c r="N78" s="16">
        <v>43910</v>
      </c>
      <c r="O78" s="16">
        <v>31169</v>
      </c>
      <c r="P78" s="16">
        <v>44408</v>
      </c>
      <c r="Q78" s="16">
        <v>33214</v>
      </c>
      <c r="R78" s="16">
        <v>106785</v>
      </c>
      <c r="S78" s="120">
        <f t="shared" si="1"/>
        <v>5.3909805425231098E-2</v>
      </c>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row>
    <row r="79" spans="1:52" x14ac:dyDescent="0.35">
      <c r="A79" s="27"/>
      <c r="B79" s="35">
        <v>39689</v>
      </c>
      <c r="C79" s="16">
        <v>1441585</v>
      </c>
      <c r="D79" s="16">
        <v>313656</v>
      </c>
      <c r="E79" s="16">
        <v>131358</v>
      </c>
      <c r="F79" s="16">
        <v>110976</v>
      </c>
      <c r="G79" s="16">
        <v>3094</v>
      </c>
      <c r="H79" s="16">
        <v>179204</v>
      </c>
      <c r="I79" s="16">
        <v>28538</v>
      </c>
      <c r="J79" s="16">
        <v>39780</v>
      </c>
      <c r="K79" s="16">
        <v>171307</v>
      </c>
      <c r="L79" s="16">
        <v>214585</v>
      </c>
      <c r="M79" s="16">
        <v>372397</v>
      </c>
      <c r="N79" s="16">
        <v>44603</v>
      </c>
      <c r="O79" s="16">
        <v>32086</v>
      </c>
      <c r="P79" s="16">
        <v>44447</v>
      </c>
      <c r="Q79" s="16">
        <v>31661</v>
      </c>
      <c r="R79" s="16">
        <v>148524</v>
      </c>
      <c r="S79" s="120">
        <f t="shared" si="1"/>
        <v>5.3197695592004636E-2</v>
      </c>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row>
    <row r="80" spans="1:52" x14ac:dyDescent="0.35">
      <c r="A80" s="27"/>
      <c r="B80" s="35">
        <v>39721</v>
      </c>
      <c r="C80" s="16">
        <v>1446359</v>
      </c>
      <c r="D80" s="16">
        <v>334041</v>
      </c>
      <c r="E80" s="16">
        <v>150159</v>
      </c>
      <c r="F80" s="16">
        <v>119960</v>
      </c>
      <c r="G80" s="16">
        <v>3147</v>
      </c>
      <c r="H80" s="16">
        <v>180735</v>
      </c>
      <c r="I80" s="16">
        <v>25852</v>
      </c>
      <c r="J80" s="16">
        <v>37941</v>
      </c>
      <c r="K80" s="16">
        <v>154384</v>
      </c>
      <c r="L80" s="16">
        <v>206546</v>
      </c>
      <c r="M80" s="16">
        <v>372158</v>
      </c>
      <c r="N80" s="16">
        <v>43772</v>
      </c>
      <c r="O80" s="16">
        <v>31958</v>
      </c>
      <c r="P80" s="16">
        <v>72281</v>
      </c>
      <c r="Q80" s="16">
        <v>33558</v>
      </c>
      <c r="R80" s="16">
        <v>133868</v>
      </c>
      <c r="S80" s="120">
        <f t="shared" si="1"/>
        <v>5.2359061616099462E-2</v>
      </c>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row>
    <row r="81" spans="1:52" x14ac:dyDescent="0.35">
      <c r="A81" s="27"/>
      <c r="B81" s="35">
        <v>39752</v>
      </c>
      <c r="C81" s="16">
        <v>1452718</v>
      </c>
      <c r="D81" s="16">
        <v>342754</v>
      </c>
      <c r="E81" s="16">
        <v>162731</v>
      </c>
      <c r="F81" s="16">
        <v>141588</v>
      </c>
      <c r="G81" s="16">
        <v>3244</v>
      </c>
      <c r="H81" s="16">
        <v>176779</v>
      </c>
      <c r="I81" s="16">
        <v>27055</v>
      </c>
      <c r="J81" s="16">
        <v>35092</v>
      </c>
      <c r="K81" s="16">
        <v>140862</v>
      </c>
      <c r="L81" s="16">
        <v>224831</v>
      </c>
      <c r="M81" s="16">
        <v>394635</v>
      </c>
      <c r="N81" s="16">
        <v>44295</v>
      </c>
      <c r="O81" s="16">
        <v>32881</v>
      </c>
      <c r="P81" s="16">
        <v>89521</v>
      </c>
      <c r="Q81" s="16">
        <v>31780</v>
      </c>
      <c r="R81" s="16">
        <v>89011</v>
      </c>
      <c r="S81" s="120">
        <f t="shared" si="1"/>
        <v>5.3125245229975811E-2</v>
      </c>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row>
    <row r="82" spans="1:52" x14ac:dyDescent="0.35">
      <c r="A82" s="27"/>
      <c r="B82" s="35">
        <v>39780</v>
      </c>
      <c r="C82" s="16">
        <v>1460830</v>
      </c>
      <c r="D82" s="16">
        <v>350544</v>
      </c>
      <c r="E82" s="16">
        <v>171990</v>
      </c>
      <c r="F82" s="16">
        <v>149410</v>
      </c>
      <c r="G82" s="16">
        <v>3237</v>
      </c>
      <c r="H82" s="16">
        <v>175316</v>
      </c>
      <c r="I82" s="16">
        <v>31341</v>
      </c>
      <c r="J82" s="16">
        <v>34014</v>
      </c>
      <c r="K82" s="16">
        <v>126668</v>
      </c>
      <c r="L82" s="16">
        <v>239634</v>
      </c>
      <c r="M82" s="16">
        <v>385428</v>
      </c>
      <c r="N82" s="16">
        <v>42603</v>
      </c>
      <c r="O82" s="16">
        <v>32671</v>
      </c>
      <c r="P82" s="16">
        <v>93508</v>
      </c>
      <c r="Q82" s="16">
        <v>32348</v>
      </c>
      <c r="R82" s="16">
        <v>92072</v>
      </c>
      <c r="S82" s="120">
        <f t="shared" si="1"/>
        <v>5.1528240794616757E-2</v>
      </c>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row>
    <row r="83" spans="1:52" x14ac:dyDescent="0.35">
      <c r="A83" s="27">
        <v>39813</v>
      </c>
      <c r="B83" s="35">
        <v>39813</v>
      </c>
      <c r="C83" s="16">
        <v>1412197</v>
      </c>
      <c r="D83" s="16">
        <v>351052</v>
      </c>
      <c r="E83" s="16">
        <v>171691</v>
      </c>
      <c r="F83" s="16">
        <v>150781</v>
      </c>
      <c r="G83" s="16">
        <v>3155</v>
      </c>
      <c r="H83" s="16">
        <v>176207</v>
      </c>
      <c r="I83" s="16">
        <v>36636</v>
      </c>
      <c r="J83" s="16">
        <v>32547</v>
      </c>
      <c r="K83" s="16">
        <v>117945</v>
      </c>
      <c r="L83" s="16">
        <v>243773</v>
      </c>
      <c r="M83" s="16">
        <v>356898</v>
      </c>
      <c r="N83" s="16">
        <v>41952</v>
      </c>
      <c r="O83" s="16">
        <v>31698</v>
      </c>
      <c r="P83" s="16">
        <v>98125</v>
      </c>
      <c r="Q83" s="16">
        <v>37333</v>
      </c>
      <c r="R83" s="16">
        <v>64238</v>
      </c>
      <c r="S83" s="120">
        <f t="shared" si="1"/>
        <v>5.2152780384039907E-2</v>
      </c>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row>
    <row r="84" spans="1:52" x14ac:dyDescent="0.35">
      <c r="A84" s="27">
        <v>39843</v>
      </c>
      <c r="B84" s="35">
        <v>39843</v>
      </c>
      <c r="C84" s="16">
        <v>1421325</v>
      </c>
      <c r="D84" s="16">
        <v>364585</v>
      </c>
      <c r="E84" s="16">
        <v>177476</v>
      </c>
      <c r="F84" s="16">
        <v>147859</v>
      </c>
      <c r="G84" s="16">
        <v>3449</v>
      </c>
      <c r="H84" s="16">
        <v>183660</v>
      </c>
      <c r="I84" s="16">
        <v>40899</v>
      </c>
      <c r="J84" s="16">
        <v>32083</v>
      </c>
      <c r="K84" s="16">
        <v>122826</v>
      </c>
      <c r="L84" s="16">
        <v>253229</v>
      </c>
      <c r="M84" s="16">
        <v>361897</v>
      </c>
      <c r="N84" s="16">
        <v>47650</v>
      </c>
      <c r="O84" s="16">
        <v>33140</v>
      </c>
      <c r="P84" s="16">
        <v>97475</v>
      </c>
      <c r="Q84" s="16">
        <v>29301</v>
      </c>
      <c r="R84" s="16">
        <v>38240</v>
      </c>
      <c r="S84" s="120">
        <f t="shared" si="1"/>
        <v>5.6841327634425627E-2</v>
      </c>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row>
    <row r="85" spans="1:52" x14ac:dyDescent="0.35">
      <c r="A85" s="27"/>
      <c r="B85" s="35">
        <v>39871</v>
      </c>
      <c r="C85" s="16">
        <v>1415103</v>
      </c>
      <c r="D85" s="16">
        <v>364555</v>
      </c>
      <c r="E85" s="16">
        <v>177980</v>
      </c>
      <c r="F85" s="16">
        <v>148562</v>
      </c>
      <c r="G85" s="16">
        <v>3206</v>
      </c>
      <c r="H85" s="16">
        <v>183369</v>
      </c>
      <c r="I85" s="16">
        <v>42718</v>
      </c>
      <c r="J85" s="16">
        <v>30324</v>
      </c>
      <c r="K85" s="16">
        <v>119376</v>
      </c>
      <c r="L85" s="16">
        <v>245104</v>
      </c>
      <c r="M85" s="16">
        <v>344665</v>
      </c>
      <c r="N85" s="16">
        <v>48959</v>
      </c>
      <c r="O85" s="16">
        <v>33202</v>
      </c>
      <c r="P85" s="16">
        <v>113020</v>
      </c>
      <c r="Q85" s="16">
        <v>32679</v>
      </c>
      <c r="R85" s="16">
        <v>40501</v>
      </c>
      <c r="S85" s="120">
        <f t="shared" si="1"/>
        <v>5.8060084672281805E-2</v>
      </c>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row>
    <row r="86" spans="1:52" x14ac:dyDescent="0.35">
      <c r="A86" s="27"/>
      <c r="B86" s="35">
        <v>39903</v>
      </c>
      <c r="C86" s="16">
        <v>1396436</v>
      </c>
      <c r="D86" s="16">
        <v>359395</v>
      </c>
      <c r="E86" s="16">
        <v>173927</v>
      </c>
      <c r="F86" s="16">
        <v>149723</v>
      </c>
      <c r="G86" s="16">
        <v>3276</v>
      </c>
      <c r="H86" s="16">
        <v>182192</v>
      </c>
      <c r="I86" s="16">
        <v>42008</v>
      </c>
      <c r="J86" s="16">
        <v>31070</v>
      </c>
      <c r="K86" s="16">
        <v>107841</v>
      </c>
      <c r="L86" s="16">
        <v>239582</v>
      </c>
      <c r="M86" s="16">
        <v>323638</v>
      </c>
      <c r="N86" s="16">
        <v>47009</v>
      </c>
      <c r="O86" s="16">
        <v>31780</v>
      </c>
      <c r="P86" s="16">
        <v>130804</v>
      </c>
      <c r="Q86" s="16">
        <v>40383</v>
      </c>
      <c r="R86" s="16">
        <v>42926</v>
      </c>
      <c r="S86" s="120">
        <f t="shared" si="1"/>
        <v>5.6421490136318454E-2</v>
      </c>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row>
    <row r="87" spans="1:52" x14ac:dyDescent="0.35">
      <c r="A87" s="27"/>
      <c r="B87" s="35">
        <v>39933</v>
      </c>
      <c r="C87" s="16">
        <v>1406261</v>
      </c>
      <c r="D87" s="16">
        <v>371279</v>
      </c>
      <c r="E87" s="16">
        <v>185343</v>
      </c>
      <c r="F87" s="16">
        <v>159375</v>
      </c>
      <c r="G87" s="16">
        <v>3369</v>
      </c>
      <c r="H87" s="16">
        <v>182567</v>
      </c>
      <c r="I87" s="16">
        <v>41981</v>
      </c>
      <c r="J87" s="16">
        <v>30451</v>
      </c>
      <c r="K87" s="16">
        <v>101474</v>
      </c>
      <c r="L87" s="16">
        <v>239186</v>
      </c>
      <c r="M87" s="16">
        <v>332598</v>
      </c>
      <c r="N87" s="16">
        <v>45882</v>
      </c>
      <c r="O87" s="16">
        <v>31955</v>
      </c>
      <c r="P87" s="16">
        <v>129572</v>
      </c>
      <c r="Q87" s="16">
        <v>42676</v>
      </c>
      <c r="R87" s="16">
        <v>39206</v>
      </c>
      <c r="S87" s="120">
        <f t="shared" si="1"/>
        <v>5.5350322593032159E-2</v>
      </c>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row>
    <row r="88" spans="1:52" x14ac:dyDescent="0.35">
      <c r="A88" s="27"/>
      <c r="B88" s="35">
        <v>39962</v>
      </c>
      <c r="C88" s="16">
        <v>1405956</v>
      </c>
      <c r="D88" s="16">
        <v>376437</v>
      </c>
      <c r="E88" s="16">
        <v>190404</v>
      </c>
      <c r="F88" s="16">
        <v>160150</v>
      </c>
      <c r="G88" s="16">
        <v>3254</v>
      </c>
      <c r="H88" s="16">
        <v>182779</v>
      </c>
      <c r="I88" s="16">
        <v>44417</v>
      </c>
      <c r="J88" s="16">
        <v>30696</v>
      </c>
      <c r="K88" s="16">
        <v>99224</v>
      </c>
      <c r="L88" s="16">
        <v>230898</v>
      </c>
      <c r="M88" s="16">
        <v>333831</v>
      </c>
      <c r="N88" s="16">
        <v>49197</v>
      </c>
      <c r="O88" s="16">
        <v>32423</v>
      </c>
      <c r="P88" s="16">
        <v>125957</v>
      </c>
      <c r="Q88" s="16">
        <v>43756</v>
      </c>
      <c r="R88" s="16">
        <v>39120</v>
      </c>
      <c r="S88" s="120">
        <f t="shared" si="1"/>
        <v>5.8053025841491482E-2</v>
      </c>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row>
    <row r="89" spans="1:52" x14ac:dyDescent="0.35">
      <c r="A89" s="27"/>
      <c r="B89" s="35">
        <v>39994</v>
      </c>
      <c r="C89" s="16">
        <v>1394400</v>
      </c>
      <c r="D89" s="16">
        <v>365824</v>
      </c>
      <c r="E89" s="16">
        <v>178925</v>
      </c>
      <c r="F89" s="16">
        <v>147798</v>
      </c>
      <c r="G89" s="16">
        <v>3059</v>
      </c>
      <c r="H89" s="16">
        <v>183839</v>
      </c>
      <c r="I89" s="16">
        <v>45427</v>
      </c>
      <c r="J89" s="16">
        <v>29784</v>
      </c>
      <c r="K89" s="16">
        <v>93838</v>
      </c>
      <c r="L89" s="16">
        <v>222961</v>
      </c>
      <c r="M89" s="16">
        <v>328685</v>
      </c>
      <c r="N89" s="16">
        <v>53177</v>
      </c>
      <c r="O89" s="16">
        <v>31015</v>
      </c>
      <c r="P89" s="16">
        <v>137392</v>
      </c>
      <c r="Q89" s="16">
        <v>41628</v>
      </c>
      <c r="R89" s="16">
        <v>44669</v>
      </c>
      <c r="S89" s="120">
        <f t="shared" si="1"/>
        <v>6.0378657487091224E-2</v>
      </c>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row>
    <row r="90" spans="1:52" x14ac:dyDescent="0.35">
      <c r="A90" s="27"/>
      <c r="B90" s="35">
        <v>40025</v>
      </c>
      <c r="C90" s="16">
        <v>1389191</v>
      </c>
      <c r="D90" s="16">
        <v>365832</v>
      </c>
      <c r="E90" s="16">
        <v>177665</v>
      </c>
      <c r="F90" s="16">
        <v>145914</v>
      </c>
      <c r="G90" s="16">
        <v>3180</v>
      </c>
      <c r="H90" s="16">
        <v>184987</v>
      </c>
      <c r="I90" s="16">
        <v>46314</v>
      </c>
      <c r="J90" s="16">
        <v>31424</v>
      </c>
      <c r="K90" s="16">
        <v>95819</v>
      </c>
      <c r="L90" s="16">
        <v>221985</v>
      </c>
      <c r="M90" s="16">
        <v>344501</v>
      </c>
      <c r="N90" s="16">
        <v>54737</v>
      </c>
      <c r="O90" s="16">
        <v>31362</v>
      </c>
      <c r="P90" s="16">
        <v>114848</v>
      </c>
      <c r="Q90" s="16">
        <v>39952</v>
      </c>
      <c r="R90" s="16">
        <v>42418</v>
      </c>
      <c r="S90" s="120">
        <f t="shared" si="1"/>
        <v>6.1977798589250864E-2</v>
      </c>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row>
    <row r="91" spans="1:52" x14ac:dyDescent="0.35">
      <c r="A91" s="27"/>
      <c r="B91" s="35">
        <v>40056</v>
      </c>
      <c r="C91" s="16">
        <v>1377798</v>
      </c>
      <c r="D91" s="16">
        <v>369799</v>
      </c>
      <c r="E91" s="16">
        <v>179508</v>
      </c>
      <c r="F91" s="16">
        <v>150067</v>
      </c>
      <c r="G91" s="16">
        <v>3147</v>
      </c>
      <c r="H91" s="16">
        <v>187144</v>
      </c>
      <c r="I91" s="16">
        <v>48590</v>
      </c>
      <c r="J91" s="16">
        <v>30421</v>
      </c>
      <c r="K91" s="16">
        <v>99170</v>
      </c>
      <c r="L91" s="16">
        <v>227651</v>
      </c>
      <c r="M91" s="16">
        <v>337254</v>
      </c>
      <c r="N91" s="16">
        <v>56833</v>
      </c>
      <c r="O91" s="16">
        <v>29945</v>
      </c>
      <c r="P91" s="16">
        <v>101206</v>
      </c>
      <c r="Q91" s="16">
        <v>35390</v>
      </c>
      <c r="R91" s="16">
        <v>41539</v>
      </c>
      <c r="S91" s="120">
        <f t="shared" si="1"/>
        <v>6.2983107828578647E-2</v>
      </c>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row>
    <row r="92" spans="1:52" x14ac:dyDescent="0.35">
      <c r="A92" s="27"/>
      <c r="B92" s="35">
        <v>40086</v>
      </c>
      <c r="C92" s="16">
        <v>1340049</v>
      </c>
      <c r="D92" s="16">
        <v>354874</v>
      </c>
      <c r="E92" s="16">
        <v>168768</v>
      </c>
      <c r="F92" s="16">
        <v>142886</v>
      </c>
      <c r="G92" s="16">
        <v>3324</v>
      </c>
      <c r="H92" s="16">
        <v>182782</v>
      </c>
      <c r="I92" s="16">
        <v>50665</v>
      </c>
      <c r="J92" s="16">
        <v>28442</v>
      </c>
      <c r="K92" s="16">
        <v>100918</v>
      </c>
      <c r="L92" s="16">
        <v>218519</v>
      </c>
      <c r="M92" s="16">
        <v>333111</v>
      </c>
      <c r="N92" s="16">
        <v>56788</v>
      </c>
      <c r="O92" s="16">
        <v>28788</v>
      </c>
      <c r="P92" s="16">
        <v>88339</v>
      </c>
      <c r="Q92" s="16">
        <v>38649</v>
      </c>
      <c r="R92" s="16">
        <v>40955</v>
      </c>
      <c r="S92" s="120">
        <f t="shared" si="1"/>
        <v>6.38603513752109E-2</v>
      </c>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row>
    <row r="93" spans="1:52" x14ac:dyDescent="0.35">
      <c r="A93" s="27"/>
      <c r="B93" s="35">
        <v>40116</v>
      </c>
      <c r="C93" s="16">
        <v>1330006</v>
      </c>
      <c r="D93" s="16">
        <v>357966</v>
      </c>
      <c r="E93" s="16">
        <v>169338</v>
      </c>
      <c r="F93" s="16">
        <v>144119</v>
      </c>
      <c r="G93" s="16">
        <v>3262</v>
      </c>
      <c r="H93" s="16">
        <v>185365</v>
      </c>
      <c r="I93" s="16">
        <v>49777</v>
      </c>
      <c r="J93" s="16">
        <v>27858</v>
      </c>
      <c r="K93" s="16">
        <v>102055</v>
      </c>
      <c r="L93" s="16">
        <v>215262</v>
      </c>
      <c r="M93" s="16">
        <v>329541</v>
      </c>
      <c r="N93" s="16">
        <v>56654</v>
      </c>
      <c r="O93" s="16">
        <v>29255</v>
      </c>
      <c r="P93" s="16">
        <v>87404</v>
      </c>
      <c r="Q93" s="16">
        <v>33598</v>
      </c>
      <c r="R93" s="16">
        <v>40639</v>
      </c>
      <c r="S93" s="120">
        <f t="shared" si="1"/>
        <v>6.4592941685977359E-2</v>
      </c>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row>
    <row r="94" spans="1:52" x14ac:dyDescent="0.35">
      <c r="A94" s="27"/>
      <c r="B94" s="35">
        <v>40147</v>
      </c>
      <c r="C94" s="16">
        <v>1317479</v>
      </c>
      <c r="D94" s="16">
        <v>356276</v>
      </c>
      <c r="E94" s="16">
        <v>168071</v>
      </c>
      <c r="F94" s="16">
        <v>145798</v>
      </c>
      <c r="G94" s="16">
        <v>3502</v>
      </c>
      <c r="H94" s="16">
        <v>184703</v>
      </c>
      <c r="I94" s="16">
        <v>51340</v>
      </c>
      <c r="J94" s="16">
        <v>28753</v>
      </c>
      <c r="K94" s="16">
        <v>99505</v>
      </c>
      <c r="L94" s="16">
        <v>210470</v>
      </c>
      <c r="M94" s="16">
        <v>330124</v>
      </c>
      <c r="N94" s="16">
        <v>55885</v>
      </c>
      <c r="O94" s="16">
        <v>29352</v>
      </c>
      <c r="P94" s="16">
        <v>77984</v>
      </c>
      <c r="Q94" s="16">
        <v>35330</v>
      </c>
      <c r="R94" s="16">
        <v>42459</v>
      </c>
      <c r="S94" s="120">
        <f t="shared" si="1"/>
        <v>6.4697046404534719E-2</v>
      </c>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row>
    <row r="95" spans="1:52" x14ac:dyDescent="0.35">
      <c r="A95" s="27">
        <v>40178</v>
      </c>
      <c r="B95" s="35">
        <v>40178</v>
      </c>
      <c r="C95" s="16">
        <v>1323584</v>
      </c>
      <c r="D95" s="16">
        <v>358312</v>
      </c>
      <c r="E95" s="16">
        <v>171275</v>
      </c>
      <c r="F95" s="16">
        <v>146930</v>
      </c>
      <c r="G95" s="16">
        <v>3276</v>
      </c>
      <c r="H95" s="16">
        <v>183761</v>
      </c>
      <c r="I95" s="16">
        <v>50754</v>
      </c>
      <c r="J95" s="16">
        <v>26979</v>
      </c>
      <c r="K95" s="16">
        <v>101448</v>
      </c>
      <c r="L95" s="16">
        <v>199688</v>
      </c>
      <c r="M95" s="16">
        <v>324936</v>
      </c>
      <c r="N95" s="16">
        <v>59174</v>
      </c>
      <c r="O95" s="16">
        <v>30841</v>
      </c>
      <c r="P95" s="16">
        <v>90899</v>
      </c>
      <c r="Q95" s="16">
        <v>42193</v>
      </c>
      <c r="R95" s="16">
        <v>38361</v>
      </c>
      <c r="S95" s="120">
        <f t="shared" si="1"/>
        <v>6.8008528359363662E-2</v>
      </c>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row>
    <row r="96" spans="1:52" x14ac:dyDescent="0.35">
      <c r="A96" s="27">
        <v>40207</v>
      </c>
      <c r="B96" s="35">
        <v>40207</v>
      </c>
      <c r="C96" s="16">
        <v>1337057</v>
      </c>
      <c r="D96" s="16">
        <v>361644</v>
      </c>
      <c r="E96" s="16">
        <v>175054</v>
      </c>
      <c r="F96" s="16">
        <v>147128</v>
      </c>
      <c r="G96" s="16">
        <v>3066</v>
      </c>
      <c r="H96" s="16">
        <v>183525</v>
      </c>
      <c r="I96" s="16">
        <v>50106</v>
      </c>
      <c r="J96" s="16">
        <v>28230</v>
      </c>
      <c r="K96" s="16">
        <v>104252</v>
      </c>
      <c r="L96" s="16">
        <v>203782</v>
      </c>
      <c r="M96" s="16">
        <v>321327</v>
      </c>
      <c r="N96" s="16">
        <v>59904</v>
      </c>
      <c r="O96" s="16">
        <v>31669</v>
      </c>
      <c r="P96" s="16">
        <v>95773</v>
      </c>
      <c r="Q96" s="16">
        <v>40104</v>
      </c>
      <c r="R96" s="16">
        <v>40267</v>
      </c>
      <c r="S96" s="120">
        <f t="shared" si="1"/>
        <v>6.8488478800828978E-2</v>
      </c>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row>
    <row r="97" spans="1:52" x14ac:dyDescent="0.35">
      <c r="A97" s="27"/>
      <c r="B97" s="35">
        <v>40235</v>
      </c>
      <c r="C97" s="16">
        <v>1310404</v>
      </c>
      <c r="D97" s="16">
        <v>350036</v>
      </c>
      <c r="E97" s="16">
        <v>161843</v>
      </c>
      <c r="F97" s="16">
        <v>137345</v>
      </c>
      <c r="G97" s="16">
        <v>2808</v>
      </c>
      <c r="H97" s="16">
        <v>185385</v>
      </c>
      <c r="I97" s="16">
        <v>50215</v>
      </c>
      <c r="J97" s="16">
        <v>28487</v>
      </c>
      <c r="K97" s="16">
        <v>104813</v>
      </c>
      <c r="L97" s="16">
        <v>201455</v>
      </c>
      <c r="M97" s="16">
        <v>322282</v>
      </c>
      <c r="N97" s="16">
        <v>58369</v>
      </c>
      <c r="O97" s="16">
        <v>31441</v>
      </c>
      <c r="P97" s="16">
        <v>83048</v>
      </c>
      <c r="Q97" s="16">
        <v>40118</v>
      </c>
      <c r="R97" s="16">
        <v>40140</v>
      </c>
      <c r="S97" s="120">
        <f t="shared" si="1"/>
        <v>6.8536115579622775E-2</v>
      </c>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row>
    <row r="98" spans="1:52" x14ac:dyDescent="0.35">
      <c r="A98" s="27"/>
      <c r="B98" s="35">
        <v>40268</v>
      </c>
      <c r="C98" s="16">
        <v>1316908</v>
      </c>
      <c r="D98" s="16">
        <v>351492</v>
      </c>
      <c r="E98" s="16">
        <v>164851</v>
      </c>
      <c r="F98" s="16">
        <v>141283</v>
      </c>
      <c r="G98" s="16">
        <v>3016</v>
      </c>
      <c r="H98" s="16">
        <v>183625</v>
      </c>
      <c r="I98" s="16">
        <v>56009</v>
      </c>
      <c r="J98" s="16">
        <v>29055</v>
      </c>
      <c r="K98" s="16">
        <v>104852</v>
      </c>
      <c r="L98" s="16">
        <v>203104</v>
      </c>
      <c r="M98" s="16">
        <v>319444</v>
      </c>
      <c r="N98" s="16">
        <v>57917</v>
      </c>
      <c r="O98" s="16">
        <v>30337</v>
      </c>
      <c r="P98" s="16">
        <v>82573</v>
      </c>
      <c r="Q98" s="16">
        <v>40828</v>
      </c>
      <c r="R98" s="16">
        <v>41296</v>
      </c>
      <c r="S98" s="120">
        <f t="shared" si="1"/>
        <v>6.7016070978382691E-2</v>
      </c>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row>
    <row r="99" spans="1:52" x14ac:dyDescent="0.35">
      <c r="A99" s="27"/>
      <c r="B99" s="35">
        <v>40298</v>
      </c>
      <c r="C99" s="16">
        <v>1307198</v>
      </c>
      <c r="D99" s="16">
        <v>353113</v>
      </c>
      <c r="E99" s="16">
        <v>165391</v>
      </c>
      <c r="F99" s="16">
        <v>142037</v>
      </c>
      <c r="G99" s="16">
        <v>3165</v>
      </c>
      <c r="H99" s="16">
        <v>184556</v>
      </c>
      <c r="I99" s="16">
        <v>56379</v>
      </c>
      <c r="J99" s="16">
        <v>28469</v>
      </c>
      <c r="K99" s="16">
        <v>106924</v>
      </c>
      <c r="L99" s="16">
        <v>208378</v>
      </c>
      <c r="M99" s="16">
        <v>306162</v>
      </c>
      <c r="N99" s="16">
        <v>54637</v>
      </c>
      <c r="O99" s="16">
        <v>31236</v>
      </c>
      <c r="P99" s="16">
        <v>79293</v>
      </c>
      <c r="Q99" s="16">
        <v>40125</v>
      </c>
      <c r="R99" s="16">
        <v>42483</v>
      </c>
      <c r="S99" s="120">
        <f t="shared" si="1"/>
        <v>6.5692419970042798E-2</v>
      </c>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row>
    <row r="100" spans="1:52" x14ac:dyDescent="0.35">
      <c r="A100" s="27" t="s">
        <v>17</v>
      </c>
      <c r="B100" s="35">
        <v>40329</v>
      </c>
      <c r="C100" s="16">
        <v>1344794</v>
      </c>
      <c r="D100" s="16">
        <v>357307</v>
      </c>
      <c r="E100" s="16">
        <v>169902</v>
      </c>
      <c r="F100" s="16">
        <v>145503</v>
      </c>
      <c r="G100" s="16">
        <v>3418</v>
      </c>
      <c r="H100" s="16">
        <v>183987</v>
      </c>
      <c r="I100" s="16">
        <v>55809</v>
      </c>
      <c r="J100" s="16">
        <v>28197</v>
      </c>
      <c r="K100" s="16">
        <v>102592</v>
      </c>
      <c r="L100" s="16">
        <v>223587</v>
      </c>
      <c r="M100" s="16">
        <v>314698</v>
      </c>
      <c r="N100" s="16">
        <v>54908</v>
      </c>
      <c r="O100" s="16">
        <v>32043</v>
      </c>
      <c r="P100" s="16">
        <v>90473</v>
      </c>
      <c r="Q100" s="16">
        <v>40819</v>
      </c>
      <c r="R100" s="16">
        <v>44360</v>
      </c>
      <c r="S100" s="120">
        <f t="shared" si="1"/>
        <v>6.4657486574151879E-2</v>
      </c>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row>
    <row r="101" spans="1:52" x14ac:dyDescent="0.35">
      <c r="A101" s="27" t="s">
        <v>17</v>
      </c>
      <c r="B101" s="35">
        <v>40359</v>
      </c>
      <c r="C101" s="36">
        <v>1342980</v>
      </c>
      <c r="D101" s="36">
        <v>351821</v>
      </c>
      <c r="E101" s="36">
        <v>168405</v>
      </c>
      <c r="F101" s="36">
        <v>155893</v>
      </c>
      <c r="G101" s="36">
        <v>2995</v>
      </c>
      <c r="H101" s="37">
        <v>180420</v>
      </c>
      <c r="I101" s="37">
        <v>54951</v>
      </c>
      <c r="J101" s="37">
        <v>26685</v>
      </c>
      <c r="K101" s="37">
        <v>99261</v>
      </c>
      <c r="L101" s="37">
        <v>226949</v>
      </c>
      <c r="M101" s="37">
        <v>312566</v>
      </c>
      <c r="N101" s="37">
        <v>62133</v>
      </c>
      <c r="O101" s="37">
        <v>30346</v>
      </c>
      <c r="P101" s="37">
        <v>92340</v>
      </c>
      <c r="Q101" s="37">
        <v>40109</v>
      </c>
      <c r="R101" s="37">
        <v>45819</v>
      </c>
      <c r="S101" s="120">
        <f t="shared" si="1"/>
        <v>6.8861040372902055E-2</v>
      </c>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row>
    <row r="102" spans="1:52" x14ac:dyDescent="0.35">
      <c r="A102" s="27" t="s">
        <v>17</v>
      </c>
      <c r="B102" s="35">
        <v>40389</v>
      </c>
      <c r="C102" s="36">
        <v>1317279</v>
      </c>
      <c r="D102" s="36">
        <v>350249</v>
      </c>
      <c r="E102" s="36">
        <v>167786</v>
      </c>
      <c r="F102" s="36">
        <v>155568</v>
      </c>
      <c r="G102" s="36">
        <v>3118</v>
      </c>
      <c r="H102" s="37">
        <v>179345</v>
      </c>
      <c r="I102" s="37">
        <v>53925</v>
      </c>
      <c r="J102" s="37">
        <v>26469</v>
      </c>
      <c r="K102" s="37">
        <v>92857</v>
      </c>
      <c r="L102" s="37">
        <v>226149</v>
      </c>
      <c r="M102" s="37">
        <v>306975</v>
      </c>
      <c r="N102" s="37">
        <v>60643</v>
      </c>
      <c r="O102" s="37">
        <v>29864</v>
      </c>
      <c r="P102" s="37">
        <v>89454</v>
      </c>
      <c r="Q102" s="37">
        <v>36783</v>
      </c>
      <c r="R102" s="37">
        <v>43911</v>
      </c>
      <c r="S102" s="120">
        <f t="shared" si="1"/>
        <v>6.8707540316060606E-2</v>
      </c>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row>
    <row r="103" spans="1:52" x14ac:dyDescent="0.35">
      <c r="A103" s="27" t="s">
        <v>17</v>
      </c>
      <c r="B103" s="35">
        <v>40421</v>
      </c>
      <c r="C103" s="36">
        <v>1342229</v>
      </c>
      <c r="D103" s="36">
        <v>351679</v>
      </c>
      <c r="E103" s="36">
        <v>169916</v>
      </c>
      <c r="F103" s="36">
        <v>157494</v>
      </c>
      <c r="G103" s="36">
        <v>3068</v>
      </c>
      <c r="H103" s="37">
        <v>178696</v>
      </c>
      <c r="I103" s="37">
        <v>54028</v>
      </c>
      <c r="J103" s="37">
        <v>26358</v>
      </c>
      <c r="K103" s="37">
        <v>94829</v>
      </c>
      <c r="L103" s="37">
        <v>228358</v>
      </c>
      <c r="M103" s="37">
        <v>313361</v>
      </c>
      <c r="N103" s="37">
        <v>59054</v>
      </c>
      <c r="O103" s="37">
        <v>29826</v>
      </c>
      <c r="P103" s="37">
        <v>95062</v>
      </c>
      <c r="Q103" s="37">
        <v>36692</v>
      </c>
      <c r="R103" s="37">
        <v>52982</v>
      </c>
      <c r="S103" s="120">
        <f t="shared" si="1"/>
        <v>6.6218208666330408E-2</v>
      </c>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row>
    <row r="104" spans="1:52" x14ac:dyDescent="0.35">
      <c r="A104" s="27" t="s">
        <v>17</v>
      </c>
      <c r="B104" s="35">
        <v>40451</v>
      </c>
      <c r="C104" s="36">
        <v>1311672</v>
      </c>
      <c r="D104" s="36">
        <v>355063</v>
      </c>
      <c r="E104" s="36">
        <v>176672</v>
      </c>
      <c r="F104" s="36">
        <v>164532</v>
      </c>
      <c r="G104" s="36">
        <v>3132</v>
      </c>
      <c r="H104" s="37">
        <v>175259</v>
      </c>
      <c r="I104" s="37">
        <v>47202</v>
      </c>
      <c r="J104" s="37">
        <v>23525</v>
      </c>
      <c r="K104" s="37">
        <v>77353</v>
      </c>
      <c r="L104" s="37">
        <v>215333</v>
      </c>
      <c r="M104" s="37">
        <v>292055</v>
      </c>
      <c r="N104" s="37">
        <v>57868</v>
      </c>
      <c r="O104" s="37">
        <v>29526</v>
      </c>
      <c r="P104" s="37">
        <v>121138</v>
      </c>
      <c r="Q104" s="37">
        <v>47912</v>
      </c>
      <c r="R104" s="37">
        <v>44697</v>
      </c>
      <c r="S104" s="120">
        <f t="shared" si="1"/>
        <v>6.6627937472172924E-2</v>
      </c>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row>
    <row r="105" spans="1:52" x14ac:dyDescent="0.35">
      <c r="A105" s="27" t="s">
        <v>17</v>
      </c>
      <c r="B105" s="35">
        <v>40480</v>
      </c>
      <c r="C105" s="36">
        <v>1240482</v>
      </c>
      <c r="D105" s="36">
        <v>343001</v>
      </c>
      <c r="E105" s="36">
        <v>163092</v>
      </c>
      <c r="F105" s="36">
        <v>151772</v>
      </c>
      <c r="G105" s="36">
        <v>3214</v>
      </c>
      <c r="H105" s="37">
        <v>176695</v>
      </c>
      <c r="I105" s="37">
        <v>39602</v>
      </c>
      <c r="J105" s="37">
        <v>22982</v>
      </c>
      <c r="K105" s="37">
        <v>72487</v>
      </c>
      <c r="L105" s="37">
        <v>179938</v>
      </c>
      <c r="M105" s="37">
        <v>272475</v>
      </c>
      <c r="N105" s="37">
        <v>57129</v>
      </c>
      <c r="O105" s="37">
        <v>29302</v>
      </c>
      <c r="P105" s="37">
        <v>130039</v>
      </c>
      <c r="Q105" s="37">
        <v>51513</v>
      </c>
      <c r="R105" s="37">
        <v>42013</v>
      </c>
      <c r="S105" s="120">
        <f t="shared" si="1"/>
        <v>6.9675335877505684E-2</v>
      </c>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row>
    <row r="106" spans="1:52" x14ac:dyDescent="0.35">
      <c r="A106" s="27" t="s">
        <v>17</v>
      </c>
      <c r="B106" s="35">
        <v>40512</v>
      </c>
      <c r="C106" s="36">
        <v>1228246</v>
      </c>
      <c r="D106" s="36">
        <v>332129</v>
      </c>
      <c r="E106" s="36">
        <v>156630</v>
      </c>
      <c r="F106" s="36">
        <v>145209</v>
      </c>
      <c r="G106" s="36">
        <v>3338</v>
      </c>
      <c r="H106" s="37">
        <v>172161</v>
      </c>
      <c r="I106" s="37">
        <v>35334</v>
      </c>
      <c r="J106" s="37">
        <v>22862</v>
      </c>
      <c r="K106" s="37">
        <v>71579</v>
      </c>
      <c r="L106" s="37">
        <v>178122</v>
      </c>
      <c r="M106" s="37">
        <v>247289</v>
      </c>
      <c r="N106" s="37">
        <v>63022</v>
      </c>
      <c r="O106" s="37">
        <v>27106</v>
      </c>
      <c r="P106" s="37">
        <v>138199</v>
      </c>
      <c r="Q106" s="37">
        <v>69690</v>
      </c>
      <c r="R106" s="37">
        <v>42915</v>
      </c>
      <c r="S106" s="120">
        <f t="shared" si="1"/>
        <v>7.3379437018317173E-2</v>
      </c>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row>
    <row r="107" spans="1:52" x14ac:dyDescent="0.35">
      <c r="A107" s="27">
        <v>40543</v>
      </c>
      <c r="B107" s="35">
        <v>40543</v>
      </c>
      <c r="C107" s="36">
        <v>1168008</v>
      </c>
      <c r="D107" s="36">
        <v>346605</v>
      </c>
      <c r="E107" s="36">
        <v>174895</v>
      </c>
      <c r="F107" s="36">
        <v>166152</v>
      </c>
      <c r="G107" s="36">
        <v>3410</v>
      </c>
      <c r="H107" s="37">
        <v>168299</v>
      </c>
      <c r="I107" s="37">
        <v>33885</v>
      </c>
      <c r="J107" s="37">
        <v>22418</v>
      </c>
      <c r="K107" s="37">
        <v>63510</v>
      </c>
      <c r="L107" s="37">
        <v>151799</v>
      </c>
      <c r="M107" s="37">
        <v>195287</v>
      </c>
      <c r="N107" s="37">
        <v>84793</v>
      </c>
      <c r="O107" s="37">
        <v>26304</v>
      </c>
      <c r="P107" s="37">
        <v>132010</v>
      </c>
      <c r="Q107" s="37">
        <v>72924</v>
      </c>
      <c r="R107" s="37">
        <v>38474</v>
      </c>
      <c r="S107" s="120">
        <f t="shared" si="1"/>
        <v>9.5116643036691526E-2</v>
      </c>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row>
    <row r="108" spans="1:52" x14ac:dyDescent="0.35">
      <c r="A108" s="27">
        <v>40574</v>
      </c>
      <c r="B108" s="35">
        <v>40574</v>
      </c>
      <c r="C108" s="36">
        <v>1121751</v>
      </c>
      <c r="D108" s="36">
        <v>325832</v>
      </c>
      <c r="E108" s="36">
        <v>155971</v>
      </c>
      <c r="F108" s="36">
        <v>147698</v>
      </c>
      <c r="G108" s="36">
        <v>2949</v>
      </c>
      <c r="H108" s="37">
        <v>166912</v>
      </c>
      <c r="I108" s="37">
        <v>33627</v>
      </c>
      <c r="J108" s="37">
        <v>21799</v>
      </c>
      <c r="K108" s="37">
        <v>62007</v>
      </c>
      <c r="L108" s="37">
        <v>153336</v>
      </c>
      <c r="M108" s="37">
        <v>180885</v>
      </c>
      <c r="N108" s="37">
        <v>79838</v>
      </c>
      <c r="O108" s="37">
        <v>25684</v>
      </c>
      <c r="P108" s="37">
        <v>126010</v>
      </c>
      <c r="Q108" s="37">
        <v>77297</v>
      </c>
      <c r="R108" s="37">
        <v>35436</v>
      </c>
      <c r="S108" s="120">
        <f t="shared" si="1"/>
        <v>9.4069004618672056E-2</v>
      </c>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row>
    <row r="109" spans="1:52" x14ac:dyDescent="0.35">
      <c r="A109" s="27" t="s">
        <v>17</v>
      </c>
      <c r="B109" s="35">
        <v>40602</v>
      </c>
      <c r="C109" s="36">
        <v>1114576</v>
      </c>
      <c r="D109" s="36">
        <v>328298</v>
      </c>
      <c r="E109" s="36">
        <v>159993</v>
      </c>
      <c r="F109" s="36">
        <v>151193</v>
      </c>
      <c r="G109" s="36">
        <v>3142</v>
      </c>
      <c r="H109" s="37">
        <v>165163</v>
      </c>
      <c r="I109" s="37">
        <v>34477</v>
      </c>
      <c r="J109" s="37">
        <v>21470</v>
      </c>
      <c r="K109" s="37">
        <v>60006</v>
      </c>
      <c r="L109" s="37">
        <v>147882</v>
      </c>
      <c r="M109" s="37">
        <v>171235</v>
      </c>
      <c r="N109" s="37">
        <v>82568</v>
      </c>
      <c r="O109" s="37">
        <v>25210</v>
      </c>
      <c r="P109" s="37">
        <v>116137</v>
      </c>
      <c r="Q109" s="37">
        <v>93207</v>
      </c>
      <c r="R109" s="37">
        <v>34086</v>
      </c>
      <c r="S109" s="120">
        <f t="shared" si="1"/>
        <v>9.6698654914514584E-2</v>
      </c>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row>
    <row r="110" spans="1:52" x14ac:dyDescent="0.35">
      <c r="A110" s="27" t="s">
        <v>17</v>
      </c>
      <c r="B110" s="35">
        <v>40633</v>
      </c>
      <c r="C110" s="37">
        <v>1084828</v>
      </c>
      <c r="D110" s="37">
        <v>319475</v>
      </c>
      <c r="E110" s="37">
        <v>147589</v>
      </c>
      <c r="F110" s="37">
        <v>139334</v>
      </c>
      <c r="G110" s="37">
        <v>8902</v>
      </c>
      <c r="H110" s="37">
        <v>162983</v>
      </c>
      <c r="I110" s="37">
        <v>32451</v>
      </c>
      <c r="J110" s="37">
        <v>20866</v>
      </c>
      <c r="K110" s="37">
        <v>56958</v>
      </c>
      <c r="L110" s="37">
        <v>145118</v>
      </c>
      <c r="M110" s="37">
        <v>166102</v>
      </c>
      <c r="N110" s="37">
        <v>79980</v>
      </c>
      <c r="O110" s="37">
        <v>23936</v>
      </c>
      <c r="P110" s="37">
        <v>111120</v>
      </c>
      <c r="Q110" s="37">
        <v>97328</v>
      </c>
      <c r="R110" s="37">
        <v>31495</v>
      </c>
      <c r="S110" s="120">
        <f t="shared" si="1"/>
        <v>9.5790300397851094E-2</v>
      </c>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row>
    <row r="111" spans="1:52" x14ac:dyDescent="0.35">
      <c r="A111" s="27" t="s">
        <v>17</v>
      </c>
      <c r="B111" s="35">
        <v>40662</v>
      </c>
      <c r="C111" s="37">
        <v>1052086</v>
      </c>
      <c r="D111" s="37">
        <v>319505</v>
      </c>
      <c r="E111" s="37">
        <v>132878</v>
      </c>
      <c r="F111" s="37">
        <v>124135</v>
      </c>
      <c r="G111" s="37">
        <v>21690</v>
      </c>
      <c r="H111" s="37">
        <v>164937</v>
      </c>
      <c r="I111" s="37">
        <v>32026</v>
      </c>
      <c r="J111" s="37">
        <v>20465</v>
      </c>
      <c r="K111" s="37">
        <v>56583</v>
      </c>
      <c r="L111" s="37">
        <v>135611</v>
      </c>
      <c r="M111" s="37">
        <v>163391</v>
      </c>
      <c r="N111" s="37">
        <v>81306</v>
      </c>
      <c r="O111" s="37">
        <v>23843</v>
      </c>
      <c r="P111" s="37">
        <v>106130</v>
      </c>
      <c r="Q111" s="37">
        <v>80674</v>
      </c>
      <c r="R111" s="37">
        <v>32552</v>
      </c>
      <c r="S111" s="120">
        <f t="shared" si="1"/>
        <v>9.9943350638636005E-2</v>
      </c>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row>
    <row r="112" spans="1:52" x14ac:dyDescent="0.35">
      <c r="A112" s="27" t="s">
        <v>17</v>
      </c>
      <c r="B112" s="35">
        <v>40694</v>
      </c>
      <c r="C112" s="37">
        <v>1038964</v>
      </c>
      <c r="D112" s="37">
        <v>300727</v>
      </c>
      <c r="E112" s="37">
        <v>106640</v>
      </c>
      <c r="F112" s="37">
        <v>99472</v>
      </c>
      <c r="G112" s="37">
        <v>21592</v>
      </c>
      <c r="H112" s="37">
        <v>172495</v>
      </c>
      <c r="I112" s="37">
        <v>32070</v>
      </c>
      <c r="J112" s="37">
        <v>22445</v>
      </c>
      <c r="K112" s="37">
        <v>55853</v>
      </c>
      <c r="L112" s="37">
        <v>133141</v>
      </c>
      <c r="M112" s="37">
        <v>167116</v>
      </c>
      <c r="N112" s="37">
        <v>84149</v>
      </c>
      <c r="O112" s="37">
        <v>23639</v>
      </c>
      <c r="P112" s="37">
        <v>102335</v>
      </c>
      <c r="Q112" s="37">
        <v>83727</v>
      </c>
      <c r="R112" s="37">
        <v>33762</v>
      </c>
      <c r="S112" s="120">
        <f t="shared" si="1"/>
        <v>0.10374565432488518</v>
      </c>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row>
    <row r="113" spans="1:52" x14ac:dyDescent="0.35">
      <c r="A113" s="27" t="s">
        <v>17</v>
      </c>
      <c r="B113" s="35">
        <v>40724</v>
      </c>
      <c r="C113" s="37">
        <v>1023188</v>
      </c>
      <c r="D113" s="37">
        <v>300675</v>
      </c>
      <c r="E113" s="37">
        <v>110985</v>
      </c>
      <c r="F113" s="37">
        <v>103874</v>
      </c>
      <c r="G113" s="37">
        <v>21538</v>
      </c>
      <c r="H113" s="37">
        <v>168153</v>
      </c>
      <c r="I113" s="37">
        <v>31742</v>
      </c>
      <c r="J113" s="37">
        <v>21501</v>
      </c>
      <c r="K113" s="37">
        <v>52278</v>
      </c>
      <c r="L113" s="37">
        <v>131593</v>
      </c>
      <c r="M113" s="37">
        <v>159409</v>
      </c>
      <c r="N113" s="37">
        <v>88413</v>
      </c>
      <c r="O113" s="37">
        <v>22192</v>
      </c>
      <c r="P113" s="37">
        <v>100363</v>
      </c>
      <c r="Q113" s="37">
        <v>84045</v>
      </c>
      <c r="R113" s="37">
        <v>30977</v>
      </c>
      <c r="S113" s="120">
        <f t="shared" si="1"/>
        <v>0.10809841397670809</v>
      </c>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row>
    <row r="114" spans="1:52" x14ac:dyDescent="0.35">
      <c r="A114" s="27" t="s">
        <v>17</v>
      </c>
      <c r="B114" s="35">
        <v>40753</v>
      </c>
      <c r="C114" s="37">
        <v>1029197</v>
      </c>
      <c r="D114" s="37">
        <v>281576</v>
      </c>
      <c r="E114" s="37">
        <v>111908</v>
      </c>
      <c r="F114" s="37">
        <v>105317</v>
      </c>
      <c r="G114" s="37">
        <v>2290</v>
      </c>
      <c r="H114" s="37">
        <v>167378</v>
      </c>
      <c r="I114" s="37">
        <v>32177</v>
      </c>
      <c r="J114" s="37">
        <v>21288</v>
      </c>
      <c r="K114" s="37">
        <v>50454</v>
      </c>
      <c r="L114" s="37">
        <v>133577</v>
      </c>
      <c r="M114" s="37">
        <v>162342</v>
      </c>
      <c r="N114" s="37">
        <v>109465</v>
      </c>
      <c r="O114" s="37">
        <v>21479</v>
      </c>
      <c r="P114" s="37">
        <v>97593</v>
      </c>
      <c r="Q114" s="37">
        <v>85396</v>
      </c>
      <c r="R114" s="37">
        <v>33851</v>
      </c>
      <c r="S114" s="120">
        <f t="shared" si="1"/>
        <v>0.1272292865214337</v>
      </c>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row>
    <row r="115" spans="1:52" x14ac:dyDescent="0.35">
      <c r="A115" s="27" t="s">
        <v>17</v>
      </c>
      <c r="B115" s="35">
        <v>40786</v>
      </c>
      <c r="C115" s="37">
        <v>1027999</v>
      </c>
      <c r="D115" s="37">
        <v>281620</v>
      </c>
      <c r="E115" s="37">
        <v>113107</v>
      </c>
      <c r="F115" s="37">
        <v>106893</v>
      </c>
      <c r="G115" s="37">
        <v>2361</v>
      </c>
      <c r="H115" s="37">
        <v>166152</v>
      </c>
      <c r="I115" s="37">
        <v>31396</v>
      </c>
      <c r="J115" s="37">
        <v>21946</v>
      </c>
      <c r="K115" s="37">
        <v>48276</v>
      </c>
      <c r="L115" s="37">
        <v>136254</v>
      </c>
      <c r="M115" s="37">
        <v>162074</v>
      </c>
      <c r="N115" s="37">
        <v>108627</v>
      </c>
      <c r="O115" s="37">
        <v>20202</v>
      </c>
      <c r="P115" s="37">
        <v>94838</v>
      </c>
      <c r="Q115" s="37">
        <v>87869</v>
      </c>
      <c r="R115" s="37">
        <v>34897</v>
      </c>
      <c r="S115" s="120">
        <f t="shared" si="1"/>
        <v>0.12532016081727707</v>
      </c>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row>
    <row r="116" spans="1:52" x14ac:dyDescent="0.35">
      <c r="A116" s="27" t="s">
        <v>17</v>
      </c>
      <c r="B116" s="35">
        <v>40816</v>
      </c>
      <c r="C116" s="37">
        <v>1046213</v>
      </c>
      <c r="D116" s="37">
        <v>282226</v>
      </c>
      <c r="E116" s="37">
        <v>115482</v>
      </c>
      <c r="F116" s="37">
        <v>109205</v>
      </c>
      <c r="G116" s="37">
        <v>2752</v>
      </c>
      <c r="H116" s="37">
        <v>163992</v>
      </c>
      <c r="I116" s="37">
        <v>31053</v>
      </c>
      <c r="J116" s="37">
        <v>21739</v>
      </c>
      <c r="K116" s="37">
        <v>47645</v>
      </c>
      <c r="L116" s="37">
        <v>141904</v>
      </c>
      <c r="M116" s="37">
        <v>166440</v>
      </c>
      <c r="N116" s="37">
        <v>110831</v>
      </c>
      <c r="O116" s="37">
        <v>19826</v>
      </c>
      <c r="P116" s="37">
        <v>100355</v>
      </c>
      <c r="Q116" s="37">
        <v>84669</v>
      </c>
      <c r="R116" s="37">
        <v>39525</v>
      </c>
      <c r="S116" s="120">
        <f t="shared" si="1"/>
        <v>0.12488565903883816</v>
      </c>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row>
    <row r="117" spans="1:52" x14ac:dyDescent="0.35">
      <c r="A117" s="27" t="s">
        <v>17</v>
      </c>
      <c r="B117" s="35">
        <v>40844</v>
      </c>
      <c r="C117" s="37">
        <v>1031458</v>
      </c>
      <c r="D117" s="37">
        <v>283180</v>
      </c>
      <c r="E117" s="37">
        <v>117722</v>
      </c>
      <c r="F117" s="37">
        <v>109603</v>
      </c>
      <c r="G117" s="37">
        <v>2465</v>
      </c>
      <c r="H117" s="37">
        <v>162993</v>
      </c>
      <c r="I117" s="37">
        <v>31951</v>
      </c>
      <c r="J117" s="37">
        <v>20913</v>
      </c>
      <c r="K117" s="37">
        <v>46004</v>
      </c>
      <c r="L117" s="37">
        <v>141808</v>
      </c>
      <c r="M117" s="37">
        <v>162228</v>
      </c>
      <c r="N117" s="37">
        <v>109283</v>
      </c>
      <c r="O117" s="37">
        <v>19011</v>
      </c>
      <c r="P117" s="37">
        <v>100940</v>
      </c>
      <c r="Q117" s="37">
        <v>78167</v>
      </c>
      <c r="R117" s="37">
        <v>37973</v>
      </c>
      <c r="S117" s="120">
        <f t="shared" si="1"/>
        <v>0.12438121571600588</v>
      </c>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row>
    <row r="118" spans="1:52" x14ac:dyDescent="0.35">
      <c r="A118" s="27" t="s">
        <v>17</v>
      </c>
      <c r="B118" s="35">
        <v>40877</v>
      </c>
      <c r="C118" s="37">
        <v>1028538</v>
      </c>
      <c r="D118" s="37">
        <v>282550</v>
      </c>
      <c r="E118" s="37">
        <v>117899</v>
      </c>
      <c r="F118" s="37">
        <v>108648</v>
      </c>
      <c r="G118" s="37">
        <v>2514</v>
      </c>
      <c r="H118" s="37">
        <v>162137</v>
      </c>
      <c r="I118" s="37">
        <v>33047</v>
      </c>
      <c r="J118" s="37">
        <v>20486</v>
      </c>
      <c r="K118" s="37">
        <v>45115</v>
      </c>
      <c r="L118" s="37">
        <v>143452</v>
      </c>
      <c r="M118" s="37">
        <v>156460</v>
      </c>
      <c r="N118" s="37">
        <v>109570</v>
      </c>
      <c r="O118" s="37">
        <v>18561</v>
      </c>
      <c r="P118" s="37">
        <v>103925</v>
      </c>
      <c r="Q118" s="37">
        <v>66492</v>
      </c>
      <c r="R118" s="37">
        <v>48880</v>
      </c>
      <c r="S118" s="120">
        <f t="shared" si="1"/>
        <v>0.12457585427081935</v>
      </c>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row>
    <row r="119" spans="1:52" x14ac:dyDescent="0.35">
      <c r="A119" s="27">
        <v>40907</v>
      </c>
      <c r="B119" s="35">
        <v>40907</v>
      </c>
      <c r="C119" s="37">
        <v>1025896</v>
      </c>
      <c r="D119" s="37">
        <v>277536</v>
      </c>
      <c r="E119" s="37">
        <v>112228</v>
      </c>
      <c r="F119" s="37">
        <v>103493</v>
      </c>
      <c r="G119" s="37">
        <v>2725</v>
      </c>
      <c r="H119" s="37">
        <v>162584</v>
      </c>
      <c r="I119" s="37">
        <v>30503</v>
      </c>
      <c r="J119" s="37">
        <v>20446</v>
      </c>
      <c r="K119" s="37">
        <v>44536</v>
      </c>
      <c r="L119" s="37">
        <v>141710</v>
      </c>
      <c r="M119" s="37">
        <v>157376</v>
      </c>
      <c r="N119" s="37">
        <v>109522</v>
      </c>
      <c r="O119" s="37">
        <v>17828</v>
      </c>
      <c r="P119" s="37">
        <v>108407</v>
      </c>
      <c r="Q119" s="37">
        <v>67869</v>
      </c>
      <c r="R119" s="37">
        <v>50164</v>
      </c>
      <c r="S119" s="120">
        <f t="shared" si="1"/>
        <v>0.1241353899420604</v>
      </c>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row>
    <row r="120" spans="1:52" x14ac:dyDescent="0.35">
      <c r="A120" s="27">
        <v>40939</v>
      </c>
      <c r="B120" s="35">
        <v>40939</v>
      </c>
      <c r="C120" s="37">
        <v>1003946</v>
      </c>
      <c r="D120" s="37">
        <v>272552</v>
      </c>
      <c r="E120" s="37">
        <v>107942</v>
      </c>
      <c r="F120" s="37">
        <v>98999</v>
      </c>
      <c r="G120" s="37">
        <v>2573</v>
      </c>
      <c r="H120" s="37">
        <v>162037</v>
      </c>
      <c r="I120" s="37">
        <v>29991</v>
      </c>
      <c r="J120" s="37">
        <v>20384</v>
      </c>
      <c r="K120" s="37">
        <v>41467</v>
      </c>
      <c r="L120" s="37">
        <v>147917</v>
      </c>
      <c r="M120" s="37">
        <v>152368</v>
      </c>
      <c r="N120" s="37">
        <v>107500</v>
      </c>
      <c r="O120" s="37">
        <v>18745</v>
      </c>
      <c r="P120" s="37">
        <v>94905</v>
      </c>
      <c r="Q120" s="37">
        <v>70889</v>
      </c>
      <c r="R120" s="37">
        <v>47227</v>
      </c>
      <c r="S120" s="120">
        <f t="shared" si="1"/>
        <v>0.12574879525392799</v>
      </c>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47"/>
      <c r="AZ120" s="47"/>
    </row>
    <row r="121" spans="1:52" x14ac:dyDescent="0.35">
      <c r="A121" s="27" t="s">
        <v>17</v>
      </c>
      <c r="B121" s="35">
        <v>40968</v>
      </c>
      <c r="C121" s="37">
        <v>968241</v>
      </c>
      <c r="D121" s="37">
        <v>268551</v>
      </c>
      <c r="E121" s="37">
        <v>103868</v>
      </c>
      <c r="F121" s="37">
        <v>95327</v>
      </c>
      <c r="G121" s="37">
        <v>2429</v>
      </c>
      <c r="H121" s="37">
        <v>162254</v>
      </c>
      <c r="I121" s="37">
        <v>29040</v>
      </c>
      <c r="J121" s="37">
        <v>17367</v>
      </c>
      <c r="K121" s="37">
        <v>40815</v>
      </c>
      <c r="L121" s="37">
        <v>136263</v>
      </c>
      <c r="M121" s="37">
        <v>153431</v>
      </c>
      <c r="N121" s="37">
        <v>107565</v>
      </c>
      <c r="O121" s="37">
        <v>18805</v>
      </c>
      <c r="P121" s="37">
        <v>87021</v>
      </c>
      <c r="Q121" s="37">
        <v>65548</v>
      </c>
      <c r="R121" s="37">
        <v>43835</v>
      </c>
      <c r="S121" s="120">
        <f t="shared" si="1"/>
        <v>0.13051502673404658</v>
      </c>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47"/>
      <c r="AZ121" s="47"/>
    </row>
    <row r="122" spans="1:52" x14ac:dyDescent="0.35">
      <c r="A122" s="38" t="s">
        <v>17</v>
      </c>
      <c r="B122" s="39">
        <v>40998</v>
      </c>
      <c r="C122" s="37">
        <v>948885</v>
      </c>
      <c r="D122" s="37">
        <v>267267</v>
      </c>
      <c r="E122" s="37">
        <v>101791</v>
      </c>
      <c r="F122" s="37">
        <v>93476</v>
      </c>
      <c r="G122" s="37">
        <v>2335</v>
      </c>
      <c r="H122" s="37">
        <v>163141</v>
      </c>
      <c r="I122" s="37">
        <v>27008</v>
      </c>
      <c r="J122" s="37">
        <v>16943</v>
      </c>
      <c r="K122" s="37">
        <v>40317</v>
      </c>
      <c r="L122" s="37">
        <v>126195</v>
      </c>
      <c r="M122" s="37">
        <v>149663</v>
      </c>
      <c r="N122" s="37">
        <v>110719</v>
      </c>
      <c r="O122" s="37">
        <v>17536</v>
      </c>
      <c r="P122" s="37">
        <v>87749</v>
      </c>
      <c r="Q122" s="37">
        <v>65227</v>
      </c>
      <c r="R122" s="37">
        <v>40260</v>
      </c>
      <c r="S122" s="120">
        <f t="shared" si="1"/>
        <v>0.13516390289655753</v>
      </c>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47"/>
      <c r="AZ122" s="47"/>
    </row>
    <row r="123" spans="1:52" x14ac:dyDescent="0.35">
      <c r="A123" s="38"/>
      <c r="B123" s="39">
        <v>41029</v>
      </c>
      <c r="C123" s="37">
        <v>940272</v>
      </c>
      <c r="D123" s="37">
        <v>265257</v>
      </c>
      <c r="E123" s="37">
        <v>95660</v>
      </c>
      <c r="F123" s="37">
        <v>87586</v>
      </c>
      <c r="G123" s="37">
        <v>2328</v>
      </c>
      <c r="H123" s="37">
        <v>167270</v>
      </c>
      <c r="I123" s="37">
        <v>26387</v>
      </c>
      <c r="J123" s="37">
        <v>16786</v>
      </c>
      <c r="K123" s="37">
        <v>38852</v>
      </c>
      <c r="L123" s="37">
        <v>124066</v>
      </c>
      <c r="M123" s="37">
        <v>148923</v>
      </c>
      <c r="N123" s="37">
        <v>111148</v>
      </c>
      <c r="O123" s="37">
        <v>17556</v>
      </c>
      <c r="P123" s="37">
        <v>89759</v>
      </c>
      <c r="Q123" s="37">
        <v>60981</v>
      </c>
      <c r="R123" s="37">
        <v>40555</v>
      </c>
      <c r="S123" s="120">
        <f t="shared" si="1"/>
        <v>0.13687954123913079</v>
      </c>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47"/>
      <c r="AZ123" s="47"/>
    </row>
    <row r="124" spans="1:52" x14ac:dyDescent="0.35">
      <c r="A124" s="38" t="s">
        <v>17</v>
      </c>
      <c r="B124" s="39">
        <v>41060</v>
      </c>
      <c r="C124" s="37">
        <v>954021</v>
      </c>
      <c r="D124" s="37">
        <v>266837</v>
      </c>
      <c r="E124" s="37">
        <v>96833</v>
      </c>
      <c r="F124" s="37">
        <v>88377</v>
      </c>
      <c r="G124" s="37">
        <v>2668</v>
      </c>
      <c r="H124" s="37">
        <v>167336</v>
      </c>
      <c r="I124" s="37">
        <v>26395</v>
      </c>
      <c r="J124" s="37">
        <v>15564</v>
      </c>
      <c r="K124" s="37">
        <v>38570</v>
      </c>
      <c r="L124" s="37">
        <v>125423</v>
      </c>
      <c r="M124" s="37">
        <v>153121</v>
      </c>
      <c r="N124" s="37">
        <v>112206</v>
      </c>
      <c r="O124" s="37">
        <v>17174</v>
      </c>
      <c r="P124" s="37">
        <v>88010</v>
      </c>
      <c r="Q124" s="37">
        <v>64973</v>
      </c>
      <c r="R124" s="37">
        <v>45748</v>
      </c>
      <c r="S124" s="120">
        <f t="shared" si="1"/>
        <v>0.13561546339126707</v>
      </c>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47"/>
      <c r="AZ124" s="47"/>
    </row>
    <row r="125" spans="1:52" x14ac:dyDescent="0.35">
      <c r="A125" s="38" t="s">
        <v>17</v>
      </c>
      <c r="B125" s="39">
        <v>41089</v>
      </c>
      <c r="C125" s="37">
        <v>953296</v>
      </c>
      <c r="D125" s="37">
        <v>264317</v>
      </c>
      <c r="E125" s="37">
        <v>97718</v>
      </c>
      <c r="F125" s="37">
        <v>86558</v>
      </c>
      <c r="G125" s="37">
        <v>2589</v>
      </c>
      <c r="H125" s="37">
        <v>164009</v>
      </c>
      <c r="I125" s="37">
        <v>25696</v>
      </c>
      <c r="J125" s="37">
        <v>15959</v>
      </c>
      <c r="K125" s="37">
        <v>37501</v>
      </c>
      <c r="L125" s="37">
        <v>130596</v>
      </c>
      <c r="M125" s="37">
        <v>150800</v>
      </c>
      <c r="N125" s="37">
        <v>116970</v>
      </c>
      <c r="O125" s="37">
        <v>16901</v>
      </c>
      <c r="P125" s="37">
        <v>90244</v>
      </c>
      <c r="Q125" s="37">
        <v>63265</v>
      </c>
      <c r="R125" s="37">
        <v>41049</v>
      </c>
      <c r="S125" s="120">
        <f t="shared" si="1"/>
        <v>0.14042962521609237</v>
      </c>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47"/>
      <c r="AZ125" s="47"/>
    </row>
    <row r="126" spans="1:52" x14ac:dyDescent="0.35">
      <c r="A126" s="38" t="s">
        <v>17</v>
      </c>
      <c r="B126" s="39">
        <v>41121</v>
      </c>
      <c r="C126" s="37">
        <v>929724</v>
      </c>
      <c r="D126" s="37">
        <v>240780</v>
      </c>
      <c r="E126" s="37">
        <v>72042</v>
      </c>
      <c r="F126" s="37">
        <v>61191</v>
      </c>
      <c r="G126" s="37">
        <v>2731</v>
      </c>
      <c r="H126" s="37">
        <v>166007</v>
      </c>
      <c r="I126" s="37">
        <v>25746</v>
      </c>
      <c r="J126" s="37">
        <v>16246</v>
      </c>
      <c r="K126" s="37">
        <v>37448</v>
      </c>
      <c r="L126" s="37">
        <v>127260</v>
      </c>
      <c r="M126" s="37">
        <v>151962</v>
      </c>
      <c r="N126" s="37">
        <v>116432</v>
      </c>
      <c r="O126" s="37">
        <v>17223</v>
      </c>
      <c r="P126" s="37">
        <v>86410</v>
      </c>
      <c r="Q126" s="37">
        <v>66606</v>
      </c>
      <c r="R126" s="37">
        <v>43610</v>
      </c>
      <c r="S126" s="120">
        <f t="shared" si="1"/>
        <v>0.143757717344072</v>
      </c>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47"/>
      <c r="AZ126" s="47"/>
    </row>
    <row r="127" spans="1:52" x14ac:dyDescent="0.35">
      <c r="A127" s="38" t="s">
        <v>17</v>
      </c>
      <c r="B127" s="39">
        <v>41152</v>
      </c>
      <c r="C127" s="37">
        <v>915320</v>
      </c>
      <c r="D127" s="37">
        <v>242437</v>
      </c>
      <c r="E127" s="37">
        <v>71887</v>
      </c>
      <c r="F127" s="37">
        <v>60876</v>
      </c>
      <c r="G127" s="37">
        <v>2679</v>
      </c>
      <c r="H127" s="37">
        <v>167872</v>
      </c>
      <c r="I127" s="37">
        <v>25040</v>
      </c>
      <c r="J127" s="37">
        <v>16343</v>
      </c>
      <c r="K127" s="37">
        <v>37946</v>
      </c>
      <c r="L127" s="37">
        <v>122607</v>
      </c>
      <c r="M127" s="37">
        <v>143260</v>
      </c>
      <c r="N127" s="37">
        <v>116560</v>
      </c>
      <c r="O127" s="37">
        <v>17544</v>
      </c>
      <c r="P127" s="37">
        <v>85782</v>
      </c>
      <c r="Q127" s="37">
        <v>65014</v>
      </c>
      <c r="R127" s="37">
        <v>42787</v>
      </c>
      <c r="S127" s="120">
        <f t="shared" si="1"/>
        <v>0.14651050998557882</v>
      </c>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47"/>
      <c r="AZ127" s="47"/>
    </row>
    <row r="128" spans="1:52" x14ac:dyDescent="0.35">
      <c r="A128" s="38" t="s">
        <v>17</v>
      </c>
      <c r="B128" s="39">
        <v>41180</v>
      </c>
      <c r="C128" s="37">
        <v>912098</v>
      </c>
      <c r="D128" s="37">
        <v>240417</v>
      </c>
      <c r="E128" s="37">
        <v>70856</v>
      </c>
      <c r="F128" s="37">
        <v>59970</v>
      </c>
      <c r="G128" s="37">
        <v>2879</v>
      </c>
      <c r="H128" s="37">
        <v>166682</v>
      </c>
      <c r="I128" s="37">
        <v>24814</v>
      </c>
      <c r="J128" s="37">
        <v>16626</v>
      </c>
      <c r="K128" s="37">
        <v>36752</v>
      </c>
      <c r="L128" s="37">
        <v>128930</v>
      </c>
      <c r="M128" s="37">
        <v>140125</v>
      </c>
      <c r="N128" s="37">
        <v>117408</v>
      </c>
      <c r="O128" s="37">
        <v>17261</v>
      </c>
      <c r="P128" s="37">
        <v>82977</v>
      </c>
      <c r="Q128" s="37">
        <v>64278</v>
      </c>
      <c r="R128" s="37">
        <v>42509</v>
      </c>
      <c r="S128" s="120">
        <f t="shared" si="1"/>
        <v>0.14764751156125766</v>
      </c>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47"/>
      <c r="AZ128" s="47"/>
    </row>
    <row r="129" spans="1:52" x14ac:dyDescent="0.35">
      <c r="A129" s="38" t="s">
        <v>17</v>
      </c>
      <c r="B129" s="39">
        <v>41213</v>
      </c>
      <c r="C129" s="37">
        <v>910247</v>
      </c>
      <c r="D129" s="37">
        <v>242189</v>
      </c>
      <c r="E129" s="37">
        <v>70491</v>
      </c>
      <c r="F129" s="37">
        <v>59614</v>
      </c>
      <c r="G129" s="37">
        <v>3562</v>
      </c>
      <c r="H129" s="37">
        <v>168136</v>
      </c>
      <c r="I129" s="37">
        <v>23519</v>
      </c>
      <c r="J129" s="37">
        <v>17337</v>
      </c>
      <c r="K129" s="37">
        <v>39948</v>
      </c>
      <c r="L129" s="37">
        <v>123986</v>
      </c>
      <c r="M129" s="37">
        <v>137882</v>
      </c>
      <c r="N129" s="37">
        <v>117764</v>
      </c>
      <c r="O129" s="37">
        <v>17373</v>
      </c>
      <c r="P129" s="37">
        <v>84371</v>
      </c>
      <c r="Q129" s="37">
        <v>63999</v>
      </c>
      <c r="R129" s="37">
        <v>41880</v>
      </c>
      <c r="S129" s="120">
        <f t="shared" si="1"/>
        <v>0.14846190100049766</v>
      </c>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47"/>
      <c r="AZ129" s="47"/>
    </row>
    <row r="130" spans="1:52" x14ac:dyDescent="0.35">
      <c r="A130" s="38" t="s">
        <v>17</v>
      </c>
      <c r="B130" s="39">
        <v>41243</v>
      </c>
      <c r="C130" s="37">
        <v>899528</v>
      </c>
      <c r="D130" s="37">
        <v>244181</v>
      </c>
      <c r="E130" s="37">
        <v>72719</v>
      </c>
      <c r="F130" s="37">
        <v>61878</v>
      </c>
      <c r="G130" s="37">
        <v>4957</v>
      </c>
      <c r="H130" s="37">
        <v>166504</v>
      </c>
      <c r="I130" s="37">
        <v>22087</v>
      </c>
      <c r="J130" s="37">
        <v>18568</v>
      </c>
      <c r="K130" s="37">
        <v>40872</v>
      </c>
      <c r="L130" s="37">
        <v>116170</v>
      </c>
      <c r="M130" s="37">
        <v>136136</v>
      </c>
      <c r="N130" s="37">
        <v>117831</v>
      </c>
      <c r="O130" s="37">
        <v>17812</v>
      </c>
      <c r="P130" s="37">
        <v>77973</v>
      </c>
      <c r="Q130" s="37">
        <v>65185</v>
      </c>
      <c r="R130" s="37">
        <v>42715</v>
      </c>
      <c r="S130" s="120">
        <f t="shared" si="1"/>
        <v>0.15079352727208048</v>
      </c>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row>
    <row r="131" spans="1:52" x14ac:dyDescent="0.35">
      <c r="A131" s="38">
        <v>41274</v>
      </c>
      <c r="B131" s="39">
        <v>41274</v>
      </c>
      <c r="C131" s="37">
        <v>872679</v>
      </c>
      <c r="D131" s="37">
        <v>240937</v>
      </c>
      <c r="E131" s="37">
        <v>68484</v>
      </c>
      <c r="F131" s="37">
        <v>57781</v>
      </c>
      <c r="G131" s="37">
        <v>5978</v>
      </c>
      <c r="H131" s="37">
        <v>166475</v>
      </c>
      <c r="I131" s="37">
        <v>23454</v>
      </c>
      <c r="J131" s="37">
        <v>18102</v>
      </c>
      <c r="K131" s="37">
        <v>39808</v>
      </c>
      <c r="L131" s="37">
        <v>112963</v>
      </c>
      <c r="M131" s="37">
        <v>128475</v>
      </c>
      <c r="N131" s="37">
        <v>118214</v>
      </c>
      <c r="O131" s="37">
        <v>18095</v>
      </c>
      <c r="P131" s="37">
        <v>71410</v>
      </c>
      <c r="Q131" s="37">
        <v>61674</v>
      </c>
      <c r="R131" s="37">
        <v>39548</v>
      </c>
      <c r="S131" s="120">
        <f t="shared" si="1"/>
        <v>0.15619603542654287</v>
      </c>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47"/>
      <c r="AZ131" s="47"/>
    </row>
    <row r="132" spans="1:52" x14ac:dyDescent="0.35">
      <c r="A132" s="38">
        <v>41305</v>
      </c>
      <c r="B132" s="39">
        <v>41305</v>
      </c>
      <c r="C132" s="37">
        <v>858988</v>
      </c>
      <c r="D132" s="37">
        <v>240393</v>
      </c>
      <c r="E132" s="37">
        <v>67146</v>
      </c>
      <c r="F132" s="37">
        <v>56262</v>
      </c>
      <c r="G132" s="37">
        <v>5797</v>
      </c>
      <c r="H132" s="37">
        <v>167450</v>
      </c>
      <c r="I132" s="37">
        <v>22616</v>
      </c>
      <c r="J132" s="37">
        <v>18249</v>
      </c>
      <c r="K132" s="37">
        <v>41059</v>
      </c>
      <c r="L132" s="37">
        <v>113850</v>
      </c>
      <c r="M132" s="37">
        <v>121638</v>
      </c>
      <c r="N132" s="37">
        <v>116867</v>
      </c>
      <c r="O132" s="37">
        <v>18600</v>
      </c>
      <c r="P132" s="37">
        <v>67067</v>
      </c>
      <c r="Q132" s="37">
        <v>60602</v>
      </c>
      <c r="R132" s="37">
        <v>38048</v>
      </c>
      <c r="S132" s="120">
        <f t="shared" si="1"/>
        <v>0.1577053462912171</v>
      </c>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row>
    <row r="133" spans="1:52" x14ac:dyDescent="0.35">
      <c r="A133" s="38" t="s">
        <v>17</v>
      </c>
      <c r="B133" s="39">
        <v>41333</v>
      </c>
      <c r="C133" s="37">
        <v>821285</v>
      </c>
      <c r="D133" s="37">
        <v>237062</v>
      </c>
      <c r="E133" s="37">
        <v>62854</v>
      </c>
      <c r="F133" s="37">
        <v>55027</v>
      </c>
      <c r="G133" s="37">
        <v>7091</v>
      </c>
      <c r="H133" s="37">
        <v>167117</v>
      </c>
      <c r="I133" s="37">
        <v>20707</v>
      </c>
      <c r="J133" s="37">
        <v>18738</v>
      </c>
      <c r="K133" s="37">
        <v>40763</v>
      </c>
      <c r="L133" s="37">
        <v>121233</v>
      </c>
      <c r="M133" s="37">
        <v>120419</v>
      </c>
      <c r="N133" s="37">
        <v>112595</v>
      </c>
      <c r="O133" s="37">
        <v>18095</v>
      </c>
      <c r="P133" s="37">
        <v>60032</v>
      </c>
      <c r="Q133" s="37">
        <v>33771</v>
      </c>
      <c r="R133" s="37">
        <v>37870</v>
      </c>
      <c r="S133" s="120">
        <f t="shared" si="1"/>
        <v>0.15912868249146156</v>
      </c>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row>
    <row r="134" spans="1:52" x14ac:dyDescent="0.35">
      <c r="A134" s="38" t="s">
        <v>17</v>
      </c>
      <c r="B134" s="39">
        <v>41361</v>
      </c>
      <c r="C134" s="37">
        <v>804148</v>
      </c>
      <c r="D134" s="37">
        <v>252200</v>
      </c>
      <c r="E134" s="37">
        <v>63052</v>
      </c>
      <c r="F134" s="37">
        <v>55506</v>
      </c>
      <c r="G134" s="37">
        <v>9610</v>
      </c>
      <c r="H134" s="37">
        <v>179537</v>
      </c>
      <c r="I134" s="37">
        <v>19273</v>
      </c>
      <c r="J134" s="37">
        <v>18742</v>
      </c>
      <c r="K134" s="37">
        <v>40258</v>
      </c>
      <c r="L134" s="37">
        <v>113021</v>
      </c>
      <c r="M134" s="37">
        <v>121212</v>
      </c>
      <c r="N134" s="37">
        <v>113017</v>
      </c>
      <c r="O134" s="37">
        <v>18912</v>
      </c>
      <c r="P134" s="37">
        <v>53051</v>
      </c>
      <c r="Q134" s="37">
        <v>20692</v>
      </c>
      <c r="R134" s="37">
        <v>33770</v>
      </c>
      <c r="S134" s="120">
        <f t="shared" si="1"/>
        <v>0.16406059581072141</v>
      </c>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row>
    <row r="135" spans="1:52" x14ac:dyDescent="0.35">
      <c r="A135" s="38" t="s">
        <v>17</v>
      </c>
      <c r="B135" s="39">
        <v>41394</v>
      </c>
      <c r="C135" s="37">
        <v>796266</v>
      </c>
      <c r="D135" s="37">
        <v>254559</v>
      </c>
      <c r="E135" s="37">
        <v>63074</v>
      </c>
      <c r="F135" s="37">
        <v>55485</v>
      </c>
      <c r="G135" s="37">
        <v>11237</v>
      </c>
      <c r="H135" s="37">
        <v>180247</v>
      </c>
      <c r="I135" s="37">
        <v>16304</v>
      </c>
      <c r="J135" s="37">
        <v>18744</v>
      </c>
      <c r="K135" s="37">
        <v>38221</v>
      </c>
      <c r="L135" s="37">
        <v>105073</v>
      </c>
      <c r="M135" s="37">
        <v>123273</v>
      </c>
      <c r="N135" s="37">
        <v>112899</v>
      </c>
      <c r="O135" s="37">
        <v>18874</v>
      </c>
      <c r="P135" s="37">
        <v>52756</v>
      </c>
      <c r="Q135" s="37">
        <v>21798</v>
      </c>
      <c r="R135" s="37">
        <v>33766</v>
      </c>
      <c r="S135" s="120">
        <f t="shared" si="1"/>
        <v>0.1654886683595683</v>
      </c>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row>
    <row r="136" spans="1:52" x14ac:dyDescent="0.35">
      <c r="A136" s="38" t="s">
        <v>17</v>
      </c>
      <c r="B136" s="39">
        <v>41425</v>
      </c>
      <c r="C136" s="37">
        <v>800098</v>
      </c>
      <c r="D136" s="37">
        <v>257566</v>
      </c>
      <c r="E136" s="37">
        <v>64828</v>
      </c>
      <c r="F136" s="37">
        <v>57645</v>
      </c>
      <c r="G136" s="37">
        <v>12700</v>
      </c>
      <c r="H136" s="37">
        <v>180037</v>
      </c>
      <c r="I136" s="37">
        <v>16090</v>
      </c>
      <c r="J136" s="37">
        <v>17614</v>
      </c>
      <c r="K136" s="37">
        <v>38011</v>
      </c>
      <c r="L136" s="37">
        <v>112316</v>
      </c>
      <c r="M136" s="37">
        <v>124574</v>
      </c>
      <c r="N136" s="37">
        <v>113036</v>
      </c>
      <c r="O136" s="37">
        <v>18962</v>
      </c>
      <c r="P136" s="37">
        <v>46901</v>
      </c>
      <c r="Q136" s="37">
        <v>23079</v>
      </c>
      <c r="R136" s="37">
        <v>31949</v>
      </c>
      <c r="S136" s="120">
        <f t="shared" si="1"/>
        <v>0.16497729028194047</v>
      </c>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row>
    <row r="137" spans="1:52" x14ac:dyDescent="0.35">
      <c r="A137" s="38" t="s">
        <v>17</v>
      </c>
      <c r="B137" s="39">
        <v>41453</v>
      </c>
      <c r="C137" s="37">
        <v>785824</v>
      </c>
      <c r="D137" s="37">
        <v>258181</v>
      </c>
      <c r="E137" s="37">
        <v>65743</v>
      </c>
      <c r="F137" s="37">
        <v>58487</v>
      </c>
      <c r="G137" s="37">
        <v>12667</v>
      </c>
      <c r="H137" s="37">
        <v>179771</v>
      </c>
      <c r="I137" s="37">
        <v>16534</v>
      </c>
      <c r="J137" s="37">
        <v>17385</v>
      </c>
      <c r="K137" s="37">
        <v>37831</v>
      </c>
      <c r="L137" s="37">
        <v>104835</v>
      </c>
      <c r="M137" s="37">
        <v>123338</v>
      </c>
      <c r="N137" s="37">
        <v>112751</v>
      </c>
      <c r="O137" s="37">
        <v>18984</v>
      </c>
      <c r="P137" s="37">
        <v>46111</v>
      </c>
      <c r="Q137" s="37">
        <v>21045</v>
      </c>
      <c r="R137" s="37">
        <v>28830</v>
      </c>
      <c r="S137" s="120">
        <f t="shared" si="1"/>
        <v>0.16763931872785764</v>
      </c>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row>
    <row r="138" spans="1:52" x14ac:dyDescent="0.35">
      <c r="A138" s="38" t="s">
        <v>17</v>
      </c>
      <c r="B138" s="39">
        <v>41486</v>
      </c>
      <c r="C138" s="37">
        <v>769871</v>
      </c>
      <c r="D138" s="37">
        <v>256410</v>
      </c>
      <c r="E138" s="37">
        <v>63567</v>
      </c>
      <c r="F138" s="37">
        <v>56311</v>
      </c>
      <c r="G138" s="37">
        <v>13422</v>
      </c>
      <c r="H138" s="37">
        <v>179422</v>
      </c>
      <c r="I138" s="37">
        <v>16412</v>
      </c>
      <c r="J138" s="37">
        <v>16314</v>
      </c>
      <c r="K138" s="37">
        <v>33302</v>
      </c>
      <c r="L138" s="37">
        <v>100991</v>
      </c>
      <c r="M138" s="37">
        <v>120505</v>
      </c>
      <c r="N138" s="37">
        <v>113157</v>
      </c>
      <c r="O138" s="37">
        <v>19071</v>
      </c>
      <c r="P138" s="37">
        <v>44211</v>
      </c>
      <c r="Q138" s="37">
        <v>21767</v>
      </c>
      <c r="R138" s="37">
        <v>27731</v>
      </c>
      <c r="S138" s="120">
        <f t="shared" si="1"/>
        <v>0.17175344960389469</v>
      </c>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row>
    <row r="139" spans="1:52" x14ac:dyDescent="0.35">
      <c r="A139" s="38" t="s">
        <v>17</v>
      </c>
      <c r="B139" s="39">
        <v>41516</v>
      </c>
      <c r="C139" s="37">
        <v>764018</v>
      </c>
      <c r="D139" s="37">
        <v>256092</v>
      </c>
      <c r="E139" s="37">
        <v>62566</v>
      </c>
      <c r="F139" s="37">
        <v>55494</v>
      </c>
      <c r="G139" s="37">
        <v>13249</v>
      </c>
      <c r="H139" s="37">
        <v>180277</v>
      </c>
      <c r="I139" s="37">
        <v>16394</v>
      </c>
      <c r="J139" s="37">
        <v>16282</v>
      </c>
      <c r="K139" s="37">
        <v>31863</v>
      </c>
      <c r="L139" s="37">
        <v>102614</v>
      </c>
      <c r="M139" s="37">
        <v>116370</v>
      </c>
      <c r="N139" s="37">
        <v>113288</v>
      </c>
      <c r="O139" s="37">
        <v>18802</v>
      </c>
      <c r="P139" s="37">
        <v>43276</v>
      </c>
      <c r="Q139" s="37">
        <v>21895</v>
      </c>
      <c r="R139" s="37">
        <v>27142</v>
      </c>
      <c r="S139" s="120">
        <f t="shared" si="1"/>
        <v>0.17288859686551888</v>
      </c>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row>
    <row r="140" spans="1:52" x14ac:dyDescent="0.35">
      <c r="A140" s="38" t="s">
        <v>17</v>
      </c>
      <c r="B140" s="39">
        <v>41547</v>
      </c>
      <c r="C140" s="37">
        <v>764059</v>
      </c>
      <c r="D140" s="37">
        <v>258531</v>
      </c>
      <c r="E140" s="37">
        <v>64052</v>
      </c>
      <c r="F140" s="37">
        <v>56663</v>
      </c>
      <c r="G140" s="37">
        <v>13995</v>
      </c>
      <c r="H140" s="37">
        <v>180483</v>
      </c>
      <c r="I140" s="37">
        <v>15893</v>
      </c>
      <c r="J140" s="37">
        <v>16421</v>
      </c>
      <c r="K140" s="37">
        <v>31521</v>
      </c>
      <c r="L140" s="37">
        <v>96653</v>
      </c>
      <c r="M140" s="37">
        <v>120287</v>
      </c>
      <c r="N140" s="37">
        <v>112727</v>
      </c>
      <c r="O140" s="37">
        <v>18389</v>
      </c>
      <c r="P140" s="37">
        <v>42576</v>
      </c>
      <c r="Q140" s="37">
        <v>23609</v>
      </c>
      <c r="R140" s="37">
        <v>27453</v>
      </c>
      <c r="S140" s="120">
        <f t="shared" si="1"/>
        <v>0.17160454886337312</v>
      </c>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row>
    <row r="141" spans="1:52" x14ac:dyDescent="0.35">
      <c r="A141" s="38" t="s">
        <v>17</v>
      </c>
      <c r="B141" s="39">
        <v>41578</v>
      </c>
      <c r="C141" s="37">
        <v>750517</v>
      </c>
      <c r="D141" s="37">
        <v>254783</v>
      </c>
      <c r="E141" s="37">
        <v>60554</v>
      </c>
      <c r="F141" s="37">
        <v>53210</v>
      </c>
      <c r="G141" s="37">
        <v>13811</v>
      </c>
      <c r="H141" s="37">
        <v>180417</v>
      </c>
      <c r="I141" s="37">
        <v>15406</v>
      </c>
      <c r="J141" s="37">
        <v>16780</v>
      </c>
      <c r="K141" s="37">
        <v>31926</v>
      </c>
      <c r="L141" s="37">
        <v>94391</v>
      </c>
      <c r="M141" s="37">
        <v>118081</v>
      </c>
      <c r="N141" s="37">
        <v>113095</v>
      </c>
      <c r="O141" s="37">
        <v>18040</v>
      </c>
      <c r="P141" s="37">
        <v>40511</v>
      </c>
      <c r="Q141" s="37">
        <v>18472</v>
      </c>
      <c r="R141" s="37">
        <v>29032</v>
      </c>
      <c r="S141" s="120">
        <f t="shared" ref="S141:S204" si="2">SUM(N141:O141)/C141</f>
        <v>0.17472622205759497</v>
      </c>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47"/>
      <c r="AZ141" s="47"/>
    </row>
    <row r="142" spans="1:52" x14ac:dyDescent="0.35">
      <c r="A142" s="38" t="s">
        <v>17</v>
      </c>
      <c r="B142" s="39">
        <v>41607</v>
      </c>
      <c r="C142" s="37">
        <v>754546</v>
      </c>
      <c r="D142" s="37">
        <v>255452</v>
      </c>
      <c r="E142" s="37">
        <v>61447</v>
      </c>
      <c r="F142" s="37">
        <v>54185</v>
      </c>
      <c r="G142" s="37">
        <v>13804</v>
      </c>
      <c r="H142" s="37">
        <v>180200</v>
      </c>
      <c r="I142" s="37">
        <v>16125</v>
      </c>
      <c r="J142" s="37">
        <v>17157</v>
      </c>
      <c r="K142" s="37">
        <v>30622</v>
      </c>
      <c r="L142" s="37">
        <v>98597</v>
      </c>
      <c r="M142" s="37">
        <v>118376</v>
      </c>
      <c r="N142" s="37">
        <v>111865</v>
      </c>
      <c r="O142" s="37">
        <v>18436</v>
      </c>
      <c r="P142" s="37">
        <v>39651</v>
      </c>
      <c r="Q142" s="37">
        <v>18009</v>
      </c>
      <c r="R142" s="37">
        <v>30256</v>
      </c>
      <c r="S142" s="120">
        <f t="shared" si="2"/>
        <v>0.17268794745449581</v>
      </c>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row>
    <row r="143" spans="1:52" x14ac:dyDescent="0.35">
      <c r="A143" s="38">
        <v>41639</v>
      </c>
      <c r="B143" s="39">
        <v>41639</v>
      </c>
      <c r="C143" s="37">
        <v>740621</v>
      </c>
      <c r="D143" s="37">
        <v>255033</v>
      </c>
      <c r="E143" s="37">
        <v>60902</v>
      </c>
      <c r="F143" s="37">
        <v>53865</v>
      </c>
      <c r="G143" s="37">
        <v>13773</v>
      </c>
      <c r="H143" s="37">
        <v>180358</v>
      </c>
      <c r="I143" s="37">
        <v>16107</v>
      </c>
      <c r="J143" s="37">
        <v>16844</v>
      </c>
      <c r="K143" s="37">
        <v>28153</v>
      </c>
      <c r="L143" s="37">
        <v>91462</v>
      </c>
      <c r="M143" s="37">
        <v>120088</v>
      </c>
      <c r="N143" s="37">
        <v>112855</v>
      </c>
      <c r="O143" s="37">
        <v>16404</v>
      </c>
      <c r="P143" s="37">
        <v>39046</v>
      </c>
      <c r="Q143" s="37">
        <v>17103</v>
      </c>
      <c r="R143" s="37">
        <v>27527</v>
      </c>
      <c r="S143" s="120">
        <f t="shared" si="2"/>
        <v>0.17452786242896165</v>
      </c>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row>
    <row r="144" spans="1:52" x14ac:dyDescent="0.35">
      <c r="A144" s="38">
        <v>41670</v>
      </c>
      <c r="B144" s="39">
        <v>41670</v>
      </c>
      <c r="C144" s="37">
        <v>727905</v>
      </c>
      <c r="D144" s="37">
        <v>255025</v>
      </c>
      <c r="E144" s="37">
        <v>62260</v>
      </c>
      <c r="F144" s="37">
        <v>55209</v>
      </c>
      <c r="G144" s="37">
        <v>12805</v>
      </c>
      <c r="H144" s="37">
        <v>179960</v>
      </c>
      <c r="I144" s="37">
        <v>16862</v>
      </c>
      <c r="J144" s="37">
        <v>17631</v>
      </c>
      <c r="K144" s="37">
        <v>29125</v>
      </c>
      <c r="L144" s="37">
        <v>90517</v>
      </c>
      <c r="M144" s="37">
        <v>115050</v>
      </c>
      <c r="N144" s="37">
        <v>113516</v>
      </c>
      <c r="O144" s="37">
        <v>13232</v>
      </c>
      <c r="P144" s="37">
        <v>37126</v>
      </c>
      <c r="Q144" s="37">
        <v>16601</v>
      </c>
      <c r="R144" s="37">
        <v>23221</v>
      </c>
      <c r="S144" s="120">
        <f t="shared" si="2"/>
        <v>0.17412711823658308</v>
      </c>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row>
    <row r="145" spans="1:52" x14ac:dyDescent="0.35">
      <c r="A145" s="38" t="s">
        <v>17</v>
      </c>
      <c r="B145" s="39">
        <v>41698</v>
      </c>
      <c r="C145" s="37">
        <v>734799</v>
      </c>
      <c r="D145" s="37">
        <v>253680</v>
      </c>
      <c r="E145" s="37">
        <v>60216</v>
      </c>
      <c r="F145" s="37">
        <v>53182</v>
      </c>
      <c r="G145" s="37">
        <v>13909</v>
      </c>
      <c r="H145" s="37">
        <v>179556</v>
      </c>
      <c r="I145" s="37">
        <v>16661</v>
      </c>
      <c r="J145" s="37">
        <v>17815</v>
      </c>
      <c r="K145" s="37">
        <v>29760</v>
      </c>
      <c r="L145" s="37">
        <v>98636</v>
      </c>
      <c r="M145" s="37">
        <v>112650</v>
      </c>
      <c r="N145" s="37">
        <v>113401</v>
      </c>
      <c r="O145" s="37">
        <v>14023</v>
      </c>
      <c r="P145" s="37">
        <v>36601</v>
      </c>
      <c r="Q145" s="37">
        <v>16717</v>
      </c>
      <c r="R145" s="37">
        <v>24855</v>
      </c>
      <c r="S145" s="120">
        <f t="shared" si="2"/>
        <v>0.17341340965352431</v>
      </c>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row>
    <row r="146" spans="1:52" x14ac:dyDescent="0.35">
      <c r="A146" s="38" t="s">
        <v>17</v>
      </c>
      <c r="B146" s="39">
        <v>41729</v>
      </c>
      <c r="C146" s="37">
        <v>722575</v>
      </c>
      <c r="D146" s="37">
        <v>252148</v>
      </c>
      <c r="E146" s="37">
        <v>60436</v>
      </c>
      <c r="F146" s="37">
        <v>53625</v>
      </c>
      <c r="G146" s="37">
        <v>13171</v>
      </c>
      <c r="H146" s="37">
        <v>178541</v>
      </c>
      <c r="I146" s="37">
        <v>16901</v>
      </c>
      <c r="J146" s="37">
        <v>16985</v>
      </c>
      <c r="K146" s="37">
        <v>28724</v>
      </c>
      <c r="L146" s="37">
        <v>94771</v>
      </c>
      <c r="M146" s="37">
        <v>112307</v>
      </c>
      <c r="N146" s="37">
        <v>112504</v>
      </c>
      <c r="O146" s="37">
        <v>14130</v>
      </c>
      <c r="P146" s="37">
        <v>33481</v>
      </c>
      <c r="Q146" s="37">
        <v>16767</v>
      </c>
      <c r="R146" s="37">
        <v>23858</v>
      </c>
      <c r="S146" s="120">
        <f t="shared" si="2"/>
        <v>0.17525377988444107</v>
      </c>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row>
    <row r="147" spans="1:52" x14ac:dyDescent="0.35">
      <c r="A147" s="38" t="s">
        <v>17</v>
      </c>
      <c r="B147" s="39">
        <v>41759</v>
      </c>
      <c r="C147" s="37">
        <v>720736</v>
      </c>
      <c r="D147" s="37">
        <v>252231</v>
      </c>
      <c r="E147" s="37">
        <v>59727</v>
      </c>
      <c r="F147" s="37">
        <v>52949</v>
      </c>
      <c r="G147" s="37">
        <v>13571</v>
      </c>
      <c r="H147" s="37">
        <v>178933</v>
      </c>
      <c r="I147" s="37">
        <v>17135</v>
      </c>
      <c r="J147" s="37">
        <v>17331</v>
      </c>
      <c r="K147" s="37">
        <v>28501</v>
      </c>
      <c r="L147" s="37">
        <v>92276</v>
      </c>
      <c r="M147" s="37">
        <v>112694</v>
      </c>
      <c r="N147" s="37">
        <v>112540</v>
      </c>
      <c r="O147" s="37">
        <v>13961</v>
      </c>
      <c r="P147" s="37">
        <v>32326</v>
      </c>
      <c r="Q147" s="37">
        <v>16529</v>
      </c>
      <c r="R147" s="37">
        <v>25211</v>
      </c>
      <c r="S147" s="120">
        <f t="shared" si="2"/>
        <v>0.17551641655196909</v>
      </c>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row>
    <row r="148" spans="1:52" x14ac:dyDescent="0.35">
      <c r="A148" s="38" t="s">
        <v>17</v>
      </c>
      <c r="B148" s="39">
        <v>41789</v>
      </c>
      <c r="C148" s="37">
        <v>718147</v>
      </c>
      <c r="D148" s="37">
        <v>245900</v>
      </c>
      <c r="E148" s="37">
        <v>58606</v>
      </c>
      <c r="F148" s="37">
        <v>51490</v>
      </c>
      <c r="G148" s="37">
        <v>13703</v>
      </c>
      <c r="H148" s="37">
        <v>173592</v>
      </c>
      <c r="I148" s="37">
        <v>17781</v>
      </c>
      <c r="J148" s="37">
        <v>16909</v>
      </c>
      <c r="K148" s="37">
        <v>28437</v>
      </c>
      <c r="L148" s="37">
        <v>99116</v>
      </c>
      <c r="M148" s="37">
        <v>112387</v>
      </c>
      <c r="N148" s="37">
        <v>110923</v>
      </c>
      <c r="O148" s="37">
        <v>13994</v>
      </c>
      <c r="P148" s="37">
        <v>30036</v>
      </c>
      <c r="Q148" s="37">
        <v>15911</v>
      </c>
      <c r="R148" s="37">
        <v>26753</v>
      </c>
      <c r="S148" s="120">
        <f t="shared" si="2"/>
        <v>0.17394349624798267</v>
      </c>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row>
    <row r="149" spans="1:52" x14ac:dyDescent="0.35">
      <c r="A149" s="38" t="s">
        <v>17</v>
      </c>
      <c r="B149" s="39">
        <v>41820</v>
      </c>
      <c r="C149" s="37">
        <v>725018</v>
      </c>
      <c r="D149" s="37">
        <v>244218</v>
      </c>
      <c r="E149" s="37">
        <v>56660</v>
      </c>
      <c r="F149" s="37">
        <v>49555</v>
      </c>
      <c r="G149" s="37">
        <v>14108</v>
      </c>
      <c r="H149" s="37">
        <v>173451</v>
      </c>
      <c r="I149" s="37">
        <v>17311</v>
      </c>
      <c r="J149" s="37">
        <v>17078</v>
      </c>
      <c r="K149" s="37">
        <v>27648</v>
      </c>
      <c r="L149" s="37">
        <v>100218</v>
      </c>
      <c r="M149" s="37">
        <v>114992</v>
      </c>
      <c r="N149" s="37">
        <v>106728</v>
      </c>
      <c r="O149" s="37">
        <v>13967</v>
      </c>
      <c r="P149" s="37">
        <v>23246</v>
      </c>
      <c r="Q149" s="37">
        <v>24870</v>
      </c>
      <c r="R149" s="37">
        <v>34741</v>
      </c>
      <c r="S149" s="120">
        <f t="shared" si="2"/>
        <v>0.1664717289777633</v>
      </c>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row>
    <row r="150" spans="1:52" x14ac:dyDescent="0.35">
      <c r="A150" s="38" t="s">
        <v>17</v>
      </c>
      <c r="B150" s="39">
        <v>41851</v>
      </c>
      <c r="C150" s="37">
        <v>706902</v>
      </c>
      <c r="D150" s="37">
        <v>243355</v>
      </c>
      <c r="E150" s="37">
        <v>59911</v>
      </c>
      <c r="F150" s="37">
        <v>52495</v>
      </c>
      <c r="G150" s="37">
        <v>12909</v>
      </c>
      <c r="H150" s="37">
        <v>170535</v>
      </c>
      <c r="I150" s="37">
        <v>17202</v>
      </c>
      <c r="J150" s="37">
        <v>17129</v>
      </c>
      <c r="K150" s="37">
        <v>27683</v>
      </c>
      <c r="L150" s="37">
        <v>91430</v>
      </c>
      <c r="M150" s="37">
        <v>114142</v>
      </c>
      <c r="N150" s="37">
        <v>102914</v>
      </c>
      <c r="O150" s="37">
        <v>13726</v>
      </c>
      <c r="P150" s="37">
        <v>23161</v>
      </c>
      <c r="Q150" s="37">
        <v>22338</v>
      </c>
      <c r="R150" s="37">
        <v>33822</v>
      </c>
      <c r="S150" s="120">
        <f t="shared" si="2"/>
        <v>0.16500165510919476</v>
      </c>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row>
    <row r="151" spans="1:52" x14ac:dyDescent="0.35">
      <c r="A151" s="38" t="s">
        <v>17</v>
      </c>
      <c r="B151" s="39">
        <v>41880</v>
      </c>
      <c r="C151" s="37">
        <v>708968</v>
      </c>
      <c r="D151" s="37">
        <v>242640</v>
      </c>
      <c r="E151" s="37">
        <v>58993</v>
      </c>
      <c r="F151" s="37">
        <v>52023</v>
      </c>
      <c r="G151" s="37">
        <v>12695</v>
      </c>
      <c r="H151" s="37">
        <v>170952</v>
      </c>
      <c r="I151" s="37">
        <v>17188</v>
      </c>
      <c r="J151" s="37">
        <v>17110</v>
      </c>
      <c r="K151" s="37">
        <v>27649</v>
      </c>
      <c r="L151" s="37">
        <v>95119</v>
      </c>
      <c r="M151" s="37">
        <v>112660</v>
      </c>
      <c r="N151" s="37">
        <v>102934</v>
      </c>
      <c r="O151" s="37">
        <v>13524</v>
      </c>
      <c r="P151" s="37">
        <v>19851</v>
      </c>
      <c r="Q151" s="37">
        <v>23322</v>
      </c>
      <c r="R151" s="37">
        <v>36970</v>
      </c>
      <c r="S151" s="120">
        <f t="shared" si="2"/>
        <v>0.16426411347197617</v>
      </c>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row>
    <row r="152" spans="1:52" x14ac:dyDescent="0.35">
      <c r="A152" s="38" t="s">
        <v>17</v>
      </c>
      <c r="B152" s="39">
        <v>41912</v>
      </c>
      <c r="C152" s="37">
        <v>706694</v>
      </c>
      <c r="D152" s="37">
        <v>239126</v>
      </c>
      <c r="E152" s="37">
        <v>55471</v>
      </c>
      <c r="F152" s="37">
        <v>48471</v>
      </c>
      <c r="G152" s="37">
        <v>12662</v>
      </c>
      <c r="H152" s="37">
        <v>170992</v>
      </c>
      <c r="I152" s="37">
        <v>19843</v>
      </c>
      <c r="J152" s="37">
        <v>18208</v>
      </c>
      <c r="K152" s="37">
        <v>27028</v>
      </c>
      <c r="L152" s="37">
        <v>95414</v>
      </c>
      <c r="M152" s="37">
        <v>112315</v>
      </c>
      <c r="N152" s="37">
        <v>100997</v>
      </c>
      <c r="O152" s="37">
        <v>13839</v>
      </c>
      <c r="P152" s="37">
        <v>19035</v>
      </c>
      <c r="Q152" s="37">
        <v>23329</v>
      </c>
      <c r="R152" s="37">
        <v>37560</v>
      </c>
      <c r="S152" s="120">
        <f t="shared" si="2"/>
        <v>0.16249748830469765</v>
      </c>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row>
    <row r="153" spans="1:52" x14ac:dyDescent="0.35">
      <c r="A153" s="38" t="s">
        <v>17</v>
      </c>
      <c r="B153" s="39">
        <v>41943</v>
      </c>
      <c r="C153" s="37">
        <v>710068</v>
      </c>
      <c r="D153" s="37">
        <v>242465</v>
      </c>
      <c r="E153" s="37">
        <v>56502</v>
      </c>
      <c r="F153" s="37">
        <v>49207</v>
      </c>
      <c r="G153" s="37">
        <v>11244</v>
      </c>
      <c r="H153" s="37">
        <v>174720</v>
      </c>
      <c r="I153" s="37">
        <v>19828</v>
      </c>
      <c r="J153" s="37">
        <v>17765</v>
      </c>
      <c r="K153" s="37">
        <v>26757</v>
      </c>
      <c r="L153" s="37">
        <v>94568</v>
      </c>
      <c r="M153" s="37">
        <v>113536</v>
      </c>
      <c r="N153" s="37">
        <v>100449</v>
      </c>
      <c r="O153" s="37">
        <v>13901</v>
      </c>
      <c r="P153" s="37">
        <v>20485</v>
      </c>
      <c r="Q153" s="37">
        <v>23617</v>
      </c>
      <c r="R153" s="37">
        <v>36697</v>
      </c>
      <c r="S153" s="120">
        <f t="shared" si="2"/>
        <v>0.16104091439129772</v>
      </c>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row>
    <row r="154" spans="1:52" x14ac:dyDescent="0.35">
      <c r="A154" s="38" t="s">
        <v>17</v>
      </c>
      <c r="B154" s="39">
        <v>41971</v>
      </c>
      <c r="C154" s="37">
        <v>698703</v>
      </c>
      <c r="D154" s="37">
        <v>240245</v>
      </c>
      <c r="E154" s="37">
        <v>55710</v>
      </c>
      <c r="F154" s="37">
        <v>48764</v>
      </c>
      <c r="G154" s="37">
        <v>10998</v>
      </c>
      <c r="H154" s="37">
        <v>173538</v>
      </c>
      <c r="I154" s="37">
        <v>18459</v>
      </c>
      <c r="J154" s="37">
        <v>16259</v>
      </c>
      <c r="K154" s="37">
        <v>26652</v>
      </c>
      <c r="L154" s="37">
        <v>94237</v>
      </c>
      <c r="M154" s="37">
        <v>111542</v>
      </c>
      <c r="N154" s="37">
        <v>96642</v>
      </c>
      <c r="O154" s="37">
        <v>14332</v>
      </c>
      <c r="P154" s="37">
        <v>19315</v>
      </c>
      <c r="Q154" s="37">
        <v>23634</v>
      </c>
      <c r="R154" s="37">
        <v>37386</v>
      </c>
      <c r="S154" s="120">
        <f t="shared" si="2"/>
        <v>0.15882857236908959</v>
      </c>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row>
    <row r="155" spans="1:52" x14ac:dyDescent="0.35">
      <c r="A155" s="38">
        <v>42004</v>
      </c>
      <c r="B155" s="39">
        <v>42004</v>
      </c>
      <c r="C155" s="37">
        <v>685473</v>
      </c>
      <c r="D155" s="37">
        <v>232372</v>
      </c>
      <c r="E155" s="37">
        <v>57745</v>
      </c>
      <c r="F155" s="37">
        <v>50725</v>
      </c>
      <c r="G155" s="37">
        <v>8807</v>
      </c>
      <c r="H155" s="37">
        <v>165821</v>
      </c>
      <c r="I155" s="37">
        <v>18683</v>
      </c>
      <c r="J155" s="37">
        <v>16171</v>
      </c>
      <c r="K155" s="37">
        <v>25620</v>
      </c>
      <c r="L155" s="37">
        <v>96110</v>
      </c>
      <c r="M155" s="37">
        <v>101675</v>
      </c>
      <c r="N155" s="37">
        <v>95805</v>
      </c>
      <c r="O155" s="37">
        <v>15022</v>
      </c>
      <c r="P155" s="37">
        <v>20700</v>
      </c>
      <c r="Q155" s="37">
        <v>24884</v>
      </c>
      <c r="R155" s="37">
        <v>38431</v>
      </c>
      <c r="S155" s="120">
        <f t="shared" si="2"/>
        <v>0.16167959934235193</v>
      </c>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row>
    <row r="156" spans="1:52" x14ac:dyDescent="0.35">
      <c r="A156" s="38">
        <v>42034</v>
      </c>
      <c r="B156" s="39">
        <v>42034</v>
      </c>
      <c r="C156" s="37">
        <v>692511</v>
      </c>
      <c r="D156" s="37">
        <v>232750</v>
      </c>
      <c r="E156" s="37">
        <v>54260</v>
      </c>
      <c r="F156" s="37">
        <v>47323</v>
      </c>
      <c r="G156" s="37">
        <v>9053</v>
      </c>
      <c r="H156" s="37">
        <v>169437</v>
      </c>
      <c r="I156" s="37">
        <v>19497</v>
      </c>
      <c r="J156" s="37">
        <v>14434</v>
      </c>
      <c r="K156" s="37">
        <v>23051</v>
      </c>
      <c r="L156" s="37">
        <v>99556</v>
      </c>
      <c r="M156" s="37">
        <v>104197</v>
      </c>
      <c r="N156" s="37">
        <v>96569</v>
      </c>
      <c r="O156" s="37">
        <v>15477</v>
      </c>
      <c r="P156" s="37">
        <v>19090</v>
      </c>
      <c r="Q156" s="37">
        <v>26102</v>
      </c>
      <c r="R156" s="37">
        <v>41788</v>
      </c>
      <c r="S156" s="120">
        <f t="shared" si="2"/>
        <v>0.16179670792232903</v>
      </c>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row>
    <row r="157" spans="1:52" x14ac:dyDescent="0.35">
      <c r="A157" s="38"/>
      <c r="B157" s="39">
        <v>42062</v>
      </c>
      <c r="C157" s="37">
        <v>681048</v>
      </c>
      <c r="D157" s="37">
        <v>233752</v>
      </c>
      <c r="E157" s="37">
        <v>55451</v>
      </c>
      <c r="F157" s="37">
        <v>47658</v>
      </c>
      <c r="G157" s="37">
        <v>8925</v>
      </c>
      <c r="H157" s="37">
        <v>169376</v>
      </c>
      <c r="I157" s="37">
        <v>19256</v>
      </c>
      <c r="J157" s="37">
        <v>14003</v>
      </c>
      <c r="K157" s="37">
        <v>22445</v>
      </c>
      <c r="L157" s="37">
        <v>94489</v>
      </c>
      <c r="M157" s="37">
        <v>102265</v>
      </c>
      <c r="N157" s="37">
        <v>92434</v>
      </c>
      <c r="O157" s="37">
        <v>17616</v>
      </c>
      <c r="P157" s="37">
        <v>19235</v>
      </c>
      <c r="Q157" s="37">
        <v>24141</v>
      </c>
      <c r="R157" s="37">
        <v>41411</v>
      </c>
      <c r="S157" s="120">
        <f t="shared" si="2"/>
        <v>0.16158919782452927</v>
      </c>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row>
    <row r="158" spans="1:52" x14ac:dyDescent="0.35">
      <c r="A158" s="38"/>
      <c r="B158" s="39">
        <v>42094</v>
      </c>
      <c r="C158" s="37">
        <v>680690</v>
      </c>
      <c r="D158" s="37">
        <v>233768</v>
      </c>
      <c r="E158" s="37">
        <v>55448</v>
      </c>
      <c r="F158" s="37">
        <v>47498</v>
      </c>
      <c r="G158" s="37">
        <v>7847</v>
      </c>
      <c r="H158" s="37">
        <v>170472</v>
      </c>
      <c r="I158" s="37">
        <v>17544</v>
      </c>
      <c r="J158" s="37">
        <v>13509</v>
      </c>
      <c r="K158" s="37">
        <v>23496</v>
      </c>
      <c r="L158" s="37">
        <v>92988</v>
      </c>
      <c r="M158" s="37">
        <v>104866</v>
      </c>
      <c r="N158" s="37">
        <v>90101</v>
      </c>
      <c r="O158" s="37">
        <v>17285</v>
      </c>
      <c r="P158" s="37">
        <v>20325</v>
      </c>
      <c r="Q158" s="37">
        <v>27857</v>
      </c>
      <c r="R158" s="37">
        <v>38951</v>
      </c>
      <c r="S158" s="120">
        <f t="shared" si="2"/>
        <v>0.15776050772010755</v>
      </c>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row>
    <row r="159" spans="1:52" x14ac:dyDescent="0.35">
      <c r="A159" s="38"/>
      <c r="B159" s="39">
        <v>42124</v>
      </c>
      <c r="C159" s="37">
        <v>660146</v>
      </c>
      <c r="D159" s="37">
        <v>234815</v>
      </c>
      <c r="E159" s="37">
        <v>55281</v>
      </c>
      <c r="F159" s="37">
        <v>47732</v>
      </c>
      <c r="G159" s="37">
        <v>7342</v>
      </c>
      <c r="H159" s="37">
        <v>172192</v>
      </c>
      <c r="I159" s="37">
        <v>17560</v>
      </c>
      <c r="J159" s="37">
        <v>13645</v>
      </c>
      <c r="K159" s="37">
        <v>24177</v>
      </c>
      <c r="L159" s="37">
        <v>91653</v>
      </c>
      <c r="M159" s="37">
        <v>96146</v>
      </c>
      <c r="N159" s="37">
        <v>89466</v>
      </c>
      <c r="O159" s="37">
        <v>17141</v>
      </c>
      <c r="P159" s="37">
        <v>14600</v>
      </c>
      <c r="Q159" s="37">
        <v>24540</v>
      </c>
      <c r="R159" s="37">
        <v>36403</v>
      </c>
      <c r="S159" s="120">
        <f t="shared" si="2"/>
        <v>0.16149003402277678</v>
      </c>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row>
    <row r="160" spans="1:52" x14ac:dyDescent="0.35">
      <c r="A160" s="38"/>
      <c r="B160" s="39">
        <v>42153</v>
      </c>
      <c r="C160" s="37">
        <v>662928</v>
      </c>
      <c r="D160" s="37">
        <v>235333</v>
      </c>
      <c r="E160" s="37">
        <v>55204</v>
      </c>
      <c r="F160" s="37">
        <v>47224</v>
      </c>
      <c r="G160" s="37">
        <v>6625</v>
      </c>
      <c r="H160" s="37">
        <v>173504</v>
      </c>
      <c r="I160" s="37">
        <v>17810</v>
      </c>
      <c r="J160" s="37">
        <v>14371</v>
      </c>
      <c r="K160" s="37">
        <v>25404</v>
      </c>
      <c r="L160" s="37">
        <v>92421</v>
      </c>
      <c r="M160" s="37">
        <v>97208</v>
      </c>
      <c r="N160" s="37">
        <v>89744</v>
      </c>
      <c r="O160" s="37">
        <v>17233</v>
      </c>
      <c r="P160" s="37">
        <v>13125</v>
      </c>
      <c r="Q160" s="37">
        <v>24130</v>
      </c>
      <c r="R160" s="37">
        <v>36148</v>
      </c>
      <c r="S160" s="120">
        <f t="shared" si="2"/>
        <v>0.16137046557092172</v>
      </c>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47"/>
      <c r="AZ160" s="47"/>
    </row>
    <row r="161" spans="1:52" x14ac:dyDescent="0.35">
      <c r="A161" s="38"/>
      <c r="B161" s="39">
        <v>42185</v>
      </c>
      <c r="C161" s="37">
        <v>652979</v>
      </c>
      <c r="D161" s="37">
        <v>234710</v>
      </c>
      <c r="E161" s="37">
        <v>55139</v>
      </c>
      <c r="F161" s="37">
        <v>47261</v>
      </c>
      <c r="G161" s="37">
        <v>7051</v>
      </c>
      <c r="H161" s="37">
        <v>172521</v>
      </c>
      <c r="I161" s="37">
        <v>18222</v>
      </c>
      <c r="J161" s="37">
        <v>13523</v>
      </c>
      <c r="K161" s="37">
        <v>24352</v>
      </c>
      <c r="L161" s="37">
        <v>89159</v>
      </c>
      <c r="M161" s="37">
        <v>102059</v>
      </c>
      <c r="N161" s="37">
        <v>89452</v>
      </c>
      <c r="O161" s="37">
        <v>17002</v>
      </c>
      <c r="P161" s="37">
        <v>12135</v>
      </c>
      <c r="Q161" s="37">
        <v>20416</v>
      </c>
      <c r="R161" s="37">
        <v>31948</v>
      </c>
      <c r="S161" s="120">
        <f t="shared" si="2"/>
        <v>0.1630282137710401</v>
      </c>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47"/>
      <c r="AZ161" s="47"/>
    </row>
    <row r="162" spans="1:52" x14ac:dyDescent="0.35">
      <c r="A162" s="38"/>
      <c r="B162" s="39">
        <v>42216</v>
      </c>
      <c r="C162" s="37">
        <v>644249</v>
      </c>
      <c r="D162" s="37">
        <v>236422</v>
      </c>
      <c r="E162" s="37">
        <v>55529</v>
      </c>
      <c r="F162" s="37">
        <v>47189</v>
      </c>
      <c r="G162" s="37">
        <v>5700</v>
      </c>
      <c r="H162" s="37">
        <v>175192</v>
      </c>
      <c r="I162" s="37">
        <v>18778</v>
      </c>
      <c r="J162" s="37">
        <v>13349</v>
      </c>
      <c r="K162" s="37">
        <v>24605</v>
      </c>
      <c r="L162" s="37">
        <v>90146</v>
      </c>
      <c r="M162" s="37">
        <v>86511</v>
      </c>
      <c r="N162" s="37">
        <v>88520</v>
      </c>
      <c r="O162" s="37">
        <v>17088</v>
      </c>
      <c r="P162" s="37">
        <v>14760</v>
      </c>
      <c r="Q162" s="37">
        <v>21093</v>
      </c>
      <c r="R162" s="37">
        <v>32977</v>
      </c>
      <c r="S162" s="120">
        <f t="shared" si="2"/>
        <v>0.16392419701078309</v>
      </c>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row>
    <row r="163" spans="1:52" x14ac:dyDescent="0.35">
      <c r="A163" s="38"/>
      <c r="B163" s="39">
        <v>42247</v>
      </c>
      <c r="C163" s="37">
        <v>634958</v>
      </c>
      <c r="D163" s="37">
        <v>236262</v>
      </c>
      <c r="E163" s="37">
        <v>54720</v>
      </c>
      <c r="F163" s="37">
        <v>47096</v>
      </c>
      <c r="G163" s="37">
        <v>5770</v>
      </c>
      <c r="H163" s="37">
        <v>175772</v>
      </c>
      <c r="I163" s="37">
        <v>18826</v>
      </c>
      <c r="J163" s="37">
        <v>13339</v>
      </c>
      <c r="K163" s="37">
        <v>26020</v>
      </c>
      <c r="L163" s="37">
        <v>90688</v>
      </c>
      <c r="M163" s="37">
        <v>81541</v>
      </c>
      <c r="N163" s="37">
        <v>88358</v>
      </c>
      <c r="O163" s="37">
        <v>17115</v>
      </c>
      <c r="P163" s="37">
        <v>10060</v>
      </c>
      <c r="Q163" s="37">
        <v>20158</v>
      </c>
      <c r="R163" s="37">
        <v>32591</v>
      </c>
      <c r="S163" s="120">
        <f t="shared" si="2"/>
        <v>0.16611019941476443</v>
      </c>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47"/>
      <c r="AZ163" s="47"/>
    </row>
    <row r="164" spans="1:52" x14ac:dyDescent="0.35">
      <c r="A164" s="38"/>
      <c r="B164" s="39">
        <v>42277</v>
      </c>
      <c r="C164" s="37">
        <v>624022</v>
      </c>
      <c r="D164" s="37">
        <v>232113</v>
      </c>
      <c r="E164" s="37">
        <v>53334</v>
      </c>
      <c r="F164" s="37">
        <v>45407</v>
      </c>
      <c r="G164" s="37">
        <v>5086</v>
      </c>
      <c r="H164" s="37">
        <v>173693</v>
      </c>
      <c r="I164" s="37">
        <v>18803</v>
      </c>
      <c r="J164" s="37">
        <v>13297</v>
      </c>
      <c r="K164" s="37">
        <v>27782</v>
      </c>
      <c r="L164" s="37">
        <v>90776</v>
      </c>
      <c r="M164" s="37">
        <v>77170</v>
      </c>
      <c r="N164" s="37">
        <v>85624</v>
      </c>
      <c r="O164" s="37">
        <v>16947</v>
      </c>
      <c r="P164" s="37">
        <v>10190</v>
      </c>
      <c r="Q164" s="37">
        <v>21104</v>
      </c>
      <c r="R164" s="37">
        <v>30216</v>
      </c>
      <c r="S164" s="120">
        <f t="shared" si="2"/>
        <v>0.16437080743948129</v>
      </c>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row>
    <row r="165" spans="1:52" x14ac:dyDescent="0.35">
      <c r="A165" s="38"/>
      <c r="B165" s="39">
        <v>42307</v>
      </c>
      <c r="C165" s="37">
        <v>631671</v>
      </c>
      <c r="D165" s="37">
        <v>235682</v>
      </c>
      <c r="E165" s="37">
        <v>53098</v>
      </c>
      <c r="F165" s="37">
        <v>45584</v>
      </c>
      <c r="G165" s="37">
        <v>4681</v>
      </c>
      <c r="H165" s="37">
        <v>177902</v>
      </c>
      <c r="I165" s="37">
        <v>19037</v>
      </c>
      <c r="J165" s="37">
        <v>14830</v>
      </c>
      <c r="K165" s="37">
        <v>28935</v>
      </c>
      <c r="L165" s="37">
        <v>90120</v>
      </c>
      <c r="M165" s="37">
        <v>76883</v>
      </c>
      <c r="N165" s="37">
        <v>86754</v>
      </c>
      <c r="O165" s="37">
        <v>17140</v>
      </c>
      <c r="P165" s="37">
        <v>10320</v>
      </c>
      <c r="Q165" s="37">
        <v>20903</v>
      </c>
      <c r="R165" s="37">
        <v>31067</v>
      </c>
      <c r="S165" s="120">
        <f t="shared" si="2"/>
        <v>0.16447486112232476</v>
      </c>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47"/>
      <c r="AZ165" s="47"/>
    </row>
    <row r="166" spans="1:52" x14ac:dyDescent="0.35">
      <c r="A166" s="38"/>
      <c r="B166" s="39">
        <v>42338</v>
      </c>
      <c r="C166" s="37">
        <v>633366</v>
      </c>
      <c r="D166" s="37">
        <v>232865</v>
      </c>
      <c r="E166" s="37">
        <v>52133</v>
      </c>
      <c r="F166" s="37">
        <v>44579</v>
      </c>
      <c r="G166" s="37">
        <v>4637</v>
      </c>
      <c r="H166" s="37">
        <v>176096</v>
      </c>
      <c r="I166" s="37">
        <v>19835</v>
      </c>
      <c r="J166" s="37">
        <v>14160</v>
      </c>
      <c r="K166" s="37">
        <v>28106</v>
      </c>
      <c r="L166" s="37">
        <v>91364</v>
      </c>
      <c r="M166" s="37">
        <v>79721</v>
      </c>
      <c r="N166" s="37">
        <v>85181</v>
      </c>
      <c r="O166" s="37">
        <v>17451</v>
      </c>
      <c r="P166" s="37">
        <v>10265</v>
      </c>
      <c r="Q166" s="37">
        <v>22571</v>
      </c>
      <c r="R166" s="37">
        <v>31846</v>
      </c>
      <c r="S166" s="120">
        <f t="shared" si="2"/>
        <v>0.16204216835131663</v>
      </c>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row>
    <row r="167" spans="1:52" x14ac:dyDescent="0.35">
      <c r="A167" s="38">
        <v>42369</v>
      </c>
      <c r="B167" s="39">
        <v>42369</v>
      </c>
      <c r="C167" s="37">
        <v>613191</v>
      </c>
      <c r="D167" s="37">
        <v>232614</v>
      </c>
      <c r="E167" s="37">
        <v>52133</v>
      </c>
      <c r="F167" s="37">
        <v>44769</v>
      </c>
      <c r="G167" s="37">
        <v>4411</v>
      </c>
      <c r="H167" s="37">
        <v>176070</v>
      </c>
      <c r="I167" s="37">
        <v>18515</v>
      </c>
      <c r="J167" s="37">
        <v>13668</v>
      </c>
      <c r="K167" s="37">
        <v>27230</v>
      </c>
      <c r="L167" s="37">
        <v>85026</v>
      </c>
      <c r="M167" s="37">
        <v>79607</v>
      </c>
      <c r="N167" s="37">
        <v>80495</v>
      </c>
      <c r="O167" s="37">
        <v>17226</v>
      </c>
      <c r="P167" s="37">
        <v>10735</v>
      </c>
      <c r="Q167" s="37">
        <v>20479</v>
      </c>
      <c r="R167" s="37">
        <v>27597</v>
      </c>
      <c r="S167" s="120">
        <f t="shared" si="2"/>
        <v>0.15936470039514605</v>
      </c>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47"/>
      <c r="AZ167" s="47"/>
    </row>
    <row r="168" spans="1:52" x14ac:dyDescent="0.35">
      <c r="A168" s="38">
        <v>42398</v>
      </c>
      <c r="B168" s="39">
        <v>42398</v>
      </c>
      <c r="C168" s="37">
        <v>610597</v>
      </c>
      <c r="D168" s="37">
        <v>231289</v>
      </c>
      <c r="E168" s="37">
        <v>51205</v>
      </c>
      <c r="F168" s="37">
        <v>44019</v>
      </c>
      <c r="G168" s="37">
        <v>4324</v>
      </c>
      <c r="H168" s="37">
        <v>175760</v>
      </c>
      <c r="I168" s="37">
        <v>18401</v>
      </c>
      <c r="J168" s="37">
        <v>13492</v>
      </c>
      <c r="K168" s="37">
        <v>28355</v>
      </c>
      <c r="L168" s="37">
        <v>84310</v>
      </c>
      <c r="M168" s="37">
        <v>76665</v>
      </c>
      <c r="N168" s="37">
        <v>81192</v>
      </c>
      <c r="O168" s="37">
        <v>17237</v>
      </c>
      <c r="P168" s="37">
        <v>10070</v>
      </c>
      <c r="Q168" s="37">
        <v>19744</v>
      </c>
      <c r="R168" s="37">
        <v>29842</v>
      </c>
      <c r="S168" s="120">
        <f t="shared" si="2"/>
        <v>0.16120125057935103</v>
      </c>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row>
    <row r="169" spans="1:52" x14ac:dyDescent="0.35">
      <c r="A169" s="38" t="s">
        <v>17</v>
      </c>
      <c r="B169" s="39">
        <v>42429</v>
      </c>
      <c r="C169" s="37">
        <v>621527</v>
      </c>
      <c r="D169" s="37">
        <v>231401</v>
      </c>
      <c r="E169" s="37">
        <v>51974</v>
      </c>
      <c r="F169" s="37">
        <v>44663</v>
      </c>
      <c r="G169" s="37">
        <v>4404</v>
      </c>
      <c r="H169" s="37">
        <v>175023</v>
      </c>
      <c r="I169" s="37">
        <v>18561</v>
      </c>
      <c r="J169" s="37">
        <v>15759</v>
      </c>
      <c r="K169" s="37">
        <v>25004</v>
      </c>
      <c r="L169" s="37">
        <v>92305</v>
      </c>
      <c r="M169" s="37">
        <v>80852</v>
      </c>
      <c r="N169" s="37">
        <v>81389</v>
      </c>
      <c r="O169" s="37">
        <v>17150</v>
      </c>
      <c r="P169" s="37">
        <v>9750</v>
      </c>
      <c r="Q169" s="37">
        <v>20797</v>
      </c>
      <c r="R169" s="37">
        <v>28558</v>
      </c>
      <c r="S169" s="120">
        <f t="shared" si="2"/>
        <v>0.15854339393139799</v>
      </c>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47"/>
      <c r="AZ169" s="47"/>
    </row>
    <row r="170" spans="1:52" x14ac:dyDescent="0.35">
      <c r="A170" s="38" t="s">
        <v>17</v>
      </c>
      <c r="B170" s="39">
        <v>42460</v>
      </c>
      <c r="C170" s="37">
        <v>603775</v>
      </c>
      <c r="D170" s="37">
        <v>229207</v>
      </c>
      <c r="E170" s="37">
        <v>50717</v>
      </c>
      <c r="F170" s="37">
        <v>43693</v>
      </c>
      <c r="G170" s="37">
        <v>3670</v>
      </c>
      <c r="H170" s="37">
        <v>174820</v>
      </c>
      <c r="I170" s="37">
        <v>18488</v>
      </c>
      <c r="J170" s="37">
        <v>16004</v>
      </c>
      <c r="K170" s="37">
        <v>29439</v>
      </c>
      <c r="L170" s="37">
        <v>85381</v>
      </c>
      <c r="M170" s="37">
        <v>70007</v>
      </c>
      <c r="N170" s="37">
        <v>79784</v>
      </c>
      <c r="O170" s="37">
        <v>17156</v>
      </c>
      <c r="P170" s="37">
        <v>9795</v>
      </c>
      <c r="Q170" s="37">
        <v>20841</v>
      </c>
      <c r="R170" s="37">
        <v>27672</v>
      </c>
      <c r="S170" s="120">
        <f t="shared" si="2"/>
        <v>0.16055649869570618</v>
      </c>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47"/>
      <c r="AZ170" s="47"/>
    </row>
    <row r="171" spans="1:52" x14ac:dyDescent="0.35">
      <c r="A171" s="38" t="s">
        <v>17</v>
      </c>
      <c r="B171" s="39">
        <v>42489</v>
      </c>
      <c r="C171" s="37">
        <v>603572</v>
      </c>
      <c r="D171" s="37">
        <v>228047</v>
      </c>
      <c r="E171" s="37">
        <v>48964</v>
      </c>
      <c r="F171" s="37">
        <v>42124</v>
      </c>
      <c r="G171" s="37">
        <v>3640</v>
      </c>
      <c r="H171" s="37">
        <v>175443</v>
      </c>
      <c r="I171" s="37">
        <v>19673</v>
      </c>
      <c r="J171" s="37">
        <v>16157</v>
      </c>
      <c r="K171" s="37">
        <v>29520</v>
      </c>
      <c r="L171" s="37">
        <v>84348</v>
      </c>
      <c r="M171" s="37">
        <v>69430</v>
      </c>
      <c r="N171" s="37">
        <v>80617</v>
      </c>
      <c r="O171" s="37">
        <v>17170</v>
      </c>
      <c r="P171" s="37">
        <v>8885</v>
      </c>
      <c r="Q171" s="37">
        <v>21119</v>
      </c>
      <c r="R171" s="37">
        <v>28606</v>
      </c>
      <c r="S171" s="120">
        <f t="shared" si="2"/>
        <v>0.16201381111118474</v>
      </c>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47"/>
      <c r="AZ171" s="47"/>
    </row>
    <row r="172" spans="1:52" x14ac:dyDescent="0.35">
      <c r="A172" s="38" t="s">
        <v>17</v>
      </c>
      <c r="B172" s="39">
        <v>42521</v>
      </c>
      <c r="C172" s="37">
        <v>604816</v>
      </c>
      <c r="D172" s="37">
        <v>228362</v>
      </c>
      <c r="E172" s="37">
        <v>48677</v>
      </c>
      <c r="F172" s="37">
        <v>41991</v>
      </c>
      <c r="G172" s="37">
        <v>3832</v>
      </c>
      <c r="H172" s="37">
        <v>175852</v>
      </c>
      <c r="I172" s="37">
        <v>19415</v>
      </c>
      <c r="J172" s="37">
        <v>15707</v>
      </c>
      <c r="K172" s="37">
        <v>29333</v>
      </c>
      <c r="L172" s="37">
        <v>88087</v>
      </c>
      <c r="M172" s="37">
        <v>70073</v>
      </c>
      <c r="N172" s="37">
        <v>81121</v>
      </c>
      <c r="O172" s="37">
        <v>17332</v>
      </c>
      <c r="P172" s="37">
        <v>8366</v>
      </c>
      <c r="Q172" s="37">
        <v>19523</v>
      </c>
      <c r="R172" s="37">
        <v>27496</v>
      </c>
      <c r="S172" s="120">
        <f t="shared" si="2"/>
        <v>0.16278173857834449</v>
      </c>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row>
    <row r="173" spans="1:52" x14ac:dyDescent="0.35">
      <c r="A173" s="38" t="s">
        <v>17</v>
      </c>
      <c r="B173" s="39">
        <v>42551</v>
      </c>
      <c r="C173" s="37">
        <v>599189</v>
      </c>
      <c r="D173" s="37">
        <v>224871</v>
      </c>
      <c r="E173" s="37">
        <v>44541</v>
      </c>
      <c r="F173" s="37">
        <v>38034</v>
      </c>
      <c r="G173" s="37">
        <v>3743</v>
      </c>
      <c r="H173" s="37">
        <v>176587</v>
      </c>
      <c r="I173" s="37">
        <v>19838</v>
      </c>
      <c r="J173" s="37">
        <v>15746</v>
      </c>
      <c r="K173" s="37">
        <v>30296</v>
      </c>
      <c r="L173" s="37">
        <v>82617</v>
      </c>
      <c r="M173" s="37">
        <v>67848</v>
      </c>
      <c r="N173" s="37">
        <v>79806</v>
      </c>
      <c r="O173" s="37">
        <v>17276</v>
      </c>
      <c r="P173" s="37">
        <v>7938</v>
      </c>
      <c r="Q173" s="37">
        <v>22134</v>
      </c>
      <c r="R173" s="37">
        <v>30819</v>
      </c>
      <c r="S173" s="120">
        <f t="shared" si="2"/>
        <v>0.16202233352080897</v>
      </c>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row>
    <row r="174" spans="1:52" x14ac:dyDescent="0.35">
      <c r="A174" s="38" t="s">
        <v>17</v>
      </c>
      <c r="B174" s="39">
        <v>42580</v>
      </c>
      <c r="C174" s="37">
        <v>600608</v>
      </c>
      <c r="D174" s="37">
        <v>226164</v>
      </c>
      <c r="E174" s="37">
        <v>44155</v>
      </c>
      <c r="F174" s="37">
        <v>37578</v>
      </c>
      <c r="G174" s="37">
        <v>4053</v>
      </c>
      <c r="H174" s="37">
        <v>177956</v>
      </c>
      <c r="I174" s="37">
        <v>17993</v>
      </c>
      <c r="J174" s="37">
        <v>16390</v>
      </c>
      <c r="K174" s="37">
        <v>28080</v>
      </c>
      <c r="L174" s="37">
        <v>85298</v>
      </c>
      <c r="M174" s="37">
        <v>68776</v>
      </c>
      <c r="N174" s="37">
        <v>79036</v>
      </c>
      <c r="O174" s="37">
        <v>17535</v>
      </c>
      <c r="P174" s="37">
        <v>6788</v>
      </c>
      <c r="Q174" s="37">
        <v>22895</v>
      </c>
      <c r="R174" s="37">
        <v>31654</v>
      </c>
      <c r="S174" s="120">
        <f t="shared" si="2"/>
        <v>0.16078873408279609</v>
      </c>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row>
    <row r="175" spans="1:52" x14ac:dyDescent="0.35">
      <c r="A175" s="38" t="s">
        <v>17</v>
      </c>
      <c r="B175" s="39">
        <v>42613</v>
      </c>
      <c r="C175" s="37">
        <v>600612</v>
      </c>
      <c r="D175" s="37">
        <v>226073</v>
      </c>
      <c r="E175" s="37">
        <v>44095</v>
      </c>
      <c r="F175" s="37">
        <v>37573</v>
      </c>
      <c r="G175" s="37">
        <v>3825</v>
      </c>
      <c r="H175" s="37">
        <v>178154</v>
      </c>
      <c r="I175" s="37">
        <v>17939</v>
      </c>
      <c r="J175" s="37">
        <v>16297</v>
      </c>
      <c r="K175" s="37">
        <v>28354</v>
      </c>
      <c r="L175" s="37">
        <v>83993</v>
      </c>
      <c r="M175" s="37">
        <v>71313</v>
      </c>
      <c r="N175" s="37">
        <v>78265</v>
      </c>
      <c r="O175" s="37">
        <v>17535</v>
      </c>
      <c r="P175" s="37">
        <v>6988</v>
      </c>
      <c r="Q175" s="37">
        <v>23527</v>
      </c>
      <c r="R175" s="37">
        <v>30329</v>
      </c>
      <c r="S175" s="120">
        <f t="shared" si="2"/>
        <v>0.15950397261459978</v>
      </c>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row>
    <row r="176" spans="1:52" x14ac:dyDescent="0.35">
      <c r="A176" s="38" t="s">
        <v>17</v>
      </c>
      <c r="B176" s="39">
        <v>42643</v>
      </c>
      <c r="C176" s="37">
        <v>596448</v>
      </c>
      <c r="D176" s="37">
        <v>225166</v>
      </c>
      <c r="E176" s="37">
        <v>44022</v>
      </c>
      <c r="F176" s="37">
        <v>37440</v>
      </c>
      <c r="G176" s="37">
        <v>3309</v>
      </c>
      <c r="H176" s="37">
        <v>177835</v>
      </c>
      <c r="I176" s="37">
        <v>17939</v>
      </c>
      <c r="J176" s="37">
        <v>16360</v>
      </c>
      <c r="K176" s="37">
        <v>27574</v>
      </c>
      <c r="L176" s="37">
        <v>81986</v>
      </c>
      <c r="M176" s="37">
        <v>69951</v>
      </c>
      <c r="N176" s="37">
        <v>78701</v>
      </c>
      <c r="O176" s="37">
        <v>17422</v>
      </c>
      <c r="P176" s="37">
        <v>8138</v>
      </c>
      <c r="Q176" s="37">
        <v>23158</v>
      </c>
      <c r="R176" s="37">
        <v>30054</v>
      </c>
      <c r="S176" s="120">
        <f t="shared" si="2"/>
        <v>0.16115906164493804</v>
      </c>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row>
    <row r="177" spans="1:52" x14ac:dyDescent="0.35">
      <c r="A177" s="38" t="s">
        <v>17</v>
      </c>
      <c r="B177" s="39">
        <v>42671</v>
      </c>
      <c r="C177" s="37">
        <v>594395</v>
      </c>
      <c r="D177" s="37">
        <v>223586</v>
      </c>
      <c r="E177" s="37">
        <v>43764</v>
      </c>
      <c r="F177" s="37">
        <v>37325</v>
      </c>
      <c r="G177" s="37">
        <v>3888</v>
      </c>
      <c r="H177" s="37">
        <v>175933</v>
      </c>
      <c r="I177" s="37">
        <v>17898</v>
      </c>
      <c r="J177" s="37">
        <v>16259</v>
      </c>
      <c r="K177" s="37">
        <v>25822</v>
      </c>
      <c r="L177" s="37">
        <v>82877</v>
      </c>
      <c r="M177" s="37">
        <v>69720</v>
      </c>
      <c r="N177" s="37">
        <v>78493</v>
      </c>
      <c r="O177" s="37">
        <v>17566</v>
      </c>
      <c r="P177" s="37">
        <v>7988</v>
      </c>
      <c r="Q177" s="37">
        <v>24133</v>
      </c>
      <c r="R177" s="37">
        <v>30052</v>
      </c>
      <c r="S177" s="120">
        <f t="shared" si="2"/>
        <v>0.1616080216017968</v>
      </c>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row>
    <row r="178" spans="1:52" x14ac:dyDescent="0.35">
      <c r="A178" s="38" t="s">
        <v>17</v>
      </c>
      <c r="B178" s="39">
        <v>42704</v>
      </c>
      <c r="C178" s="37">
        <v>591775</v>
      </c>
      <c r="D178" s="37">
        <v>226993</v>
      </c>
      <c r="E178" s="37">
        <v>45294</v>
      </c>
      <c r="F178" s="37">
        <v>38819</v>
      </c>
      <c r="G178" s="37">
        <v>4235</v>
      </c>
      <c r="H178" s="37">
        <v>177464</v>
      </c>
      <c r="I178" s="37">
        <v>16911</v>
      </c>
      <c r="J178" s="37">
        <v>11448</v>
      </c>
      <c r="K178" s="37">
        <v>26856</v>
      </c>
      <c r="L178" s="37">
        <v>85265</v>
      </c>
      <c r="M178" s="37">
        <v>77257</v>
      </c>
      <c r="N178" s="37">
        <v>76511</v>
      </c>
      <c r="O178" s="37">
        <v>16904</v>
      </c>
      <c r="P178" s="37">
        <v>7988</v>
      </c>
      <c r="Q178" s="37">
        <v>18317</v>
      </c>
      <c r="R178" s="37">
        <v>27326</v>
      </c>
      <c r="S178" s="120">
        <f t="shared" si="2"/>
        <v>0.15785560390351064</v>
      </c>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row>
    <row r="179" spans="1:52" x14ac:dyDescent="0.35">
      <c r="A179" s="38">
        <v>42734</v>
      </c>
      <c r="B179" s="39">
        <v>42734</v>
      </c>
      <c r="C179" s="37">
        <v>590337</v>
      </c>
      <c r="D179" s="37">
        <v>230097</v>
      </c>
      <c r="E179" s="37">
        <v>46272</v>
      </c>
      <c r="F179" s="37">
        <v>39850</v>
      </c>
      <c r="G179" s="37">
        <v>3709</v>
      </c>
      <c r="H179" s="37">
        <v>180116</v>
      </c>
      <c r="I179" s="37">
        <v>16552</v>
      </c>
      <c r="J179" s="37">
        <v>11413</v>
      </c>
      <c r="K179" s="37">
        <v>25250</v>
      </c>
      <c r="L179" s="37">
        <v>84535</v>
      </c>
      <c r="M179" s="37">
        <v>76283</v>
      </c>
      <c r="N179" s="37">
        <v>75694</v>
      </c>
      <c r="O179" s="37">
        <v>17116</v>
      </c>
      <c r="P179" s="37">
        <v>7418</v>
      </c>
      <c r="Q179" s="37">
        <v>17472</v>
      </c>
      <c r="R179" s="37">
        <v>28505</v>
      </c>
      <c r="S179" s="120">
        <f t="shared" si="2"/>
        <v>0.15721528550641414</v>
      </c>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row>
    <row r="180" spans="1:52" x14ac:dyDescent="0.35">
      <c r="A180" s="38">
        <v>42766</v>
      </c>
      <c r="B180" s="39">
        <v>42766</v>
      </c>
      <c r="C180" s="37">
        <v>590532</v>
      </c>
      <c r="D180" s="37">
        <v>230445</v>
      </c>
      <c r="E180" s="37">
        <v>45596</v>
      </c>
      <c r="F180" s="37">
        <v>40006</v>
      </c>
      <c r="G180" s="37">
        <v>4517</v>
      </c>
      <c r="H180" s="37">
        <v>180332</v>
      </c>
      <c r="I180" s="37">
        <v>16457</v>
      </c>
      <c r="J180" s="37">
        <v>16496</v>
      </c>
      <c r="K180" s="37">
        <v>28388</v>
      </c>
      <c r="L180" s="37">
        <v>80006</v>
      </c>
      <c r="M180" s="37">
        <v>74782</v>
      </c>
      <c r="N180" s="37">
        <v>75684</v>
      </c>
      <c r="O180" s="37">
        <v>17030</v>
      </c>
      <c r="P180" s="37">
        <v>7318</v>
      </c>
      <c r="Q180" s="37">
        <v>16492</v>
      </c>
      <c r="R180" s="37">
        <v>27433</v>
      </c>
      <c r="S180" s="120">
        <f t="shared" si="2"/>
        <v>0.15700080605284727</v>
      </c>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row>
    <row r="181" spans="1:52" x14ac:dyDescent="0.35">
      <c r="A181" s="38" t="s">
        <v>17</v>
      </c>
      <c r="B181" s="39">
        <v>42794</v>
      </c>
      <c r="C181" s="37">
        <v>588545</v>
      </c>
      <c r="D181" s="37">
        <v>230941</v>
      </c>
      <c r="E181" s="37">
        <v>45341</v>
      </c>
      <c r="F181" s="37">
        <v>39902</v>
      </c>
      <c r="G181" s="37">
        <v>4158</v>
      </c>
      <c r="H181" s="37">
        <v>181442</v>
      </c>
      <c r="I181" s="37">
        <v>17883</v>
      </c>
      <c r="J181" s="37">
        <v>16434</v>
      </c>
      <c r="K181" s="37">
        <v>28579</v>
      </c>
      <c r="L181" s="37">
        <v>77947</v>
      </c>
      <c r="M181" s="37">
        <v>74813</v>
      </c>
      <c r="N181" s="37">
        <v>76129</v>
      </c>
      <c r="O181" s="37">
        <v>17219</v>
      </c>
      <c r="P181" s="37">
        <v>7218</v>
      </c>
      <c r="Q181" s="37">
        <v>14232</v>
      </c>
      <c r="R181" s="37">
        <v>27150</v>
      </c>
      <c r="S181" s="120">
        <f t="shared" si="2"/>
        <v>0.1586080928391202</v>
      </c>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47"/>
      <c r="AZ181" s="47"/>
    </row>
    <row r="182" spans="1:52" x14ac:dyDescent="0.35">
      <c r="A182" s="38" t="s">
        <v>17</v>
      </c>
      <c r="B182" s="39">
        <v>42825</v>
      </c>
      <c r="C182" s="37">
        <v>581630</v>
      </c>
      <c r="D182" s="37">
        <v>229593</v>
      </c>
      <c r="E182" s="37">
        <v>45354</v>
      </c>
      <c r="F182" s="37">
        <v>39978</v>
      </c>
      <c r="G182" s="37">
        <v>4139</v>
      </c>
      <c r="H182" s="37">
        <v>180099</v>
      </c>
      <c r="I182" s="37">
        <v>17671</v>
      </c>
      <c r="J182" s="37">
        <v>16480</v>
      </c>
      <c r="K182" s="37">
        <v>27833</v>
      </c>
      <c r="L182" s="37">
        <v>75712</v>
      </c>
      <c r="M182" s="37">
        <v>73726</v>
      </c>
      <c r="N182" s="37">
        <v>75745</v>
      </c>
      <c r="O182" s="37">
        <v>17345</v>
      </c>
      <c r="P182" s="37">
        <v>8218</v>
      </c>
      <c r="Q182" s="37">
        <v>13263</v>
      </c>
      <c r="R182" s="37">
        <v>26044</v>
      </c>
      <c r="S182" s="120">
        <f t="shared" si="2"/>
        <v>0.16005020373777143</v>
      </c>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row>
    <row r="183" spans="1:52" x14ac:dyDescent="0.35">
      <c r="A183" s="38" t="s">
        <v>17</v>
      </c>
      <c r="B183" s="39">
        <v>42853</v>
      </c>
      <c r="C183" s="37">
        <v>582550</v>
      </c>
      <c r="D183" s="37">
        <v>233213</v>
      </c>
      <c r="E183" s="37">
        <v>46632</v>
      </c>
      <c r="F183" s="37">
        <v>41334</v>
      </c>
      <c r="G183" s="37">
        <v>4557</v>
      </c>
      <c r="H183" s="37">
        <v>182023</v>
      </c>
      <c r="I183" s="37">
        <v>17794</v>
      </c>
      <c r="J183" s="37">
        <v>16905</v>
      </c>
      <c r="K183" s="37">
        <v>27994</v>
      </c>
      <c r="L183" s="37">
        <v>74012</v>
      </c>
      <c r="M183" s="37">
        <v>71429</v>
      </c>
      <c r="N183" s="37">
        <v>75174</v>
      </c>
      <c r="O183" s="37">
        <v>17225</v>
      </c>
      <c r="P183" s="37">
        <v>8048</v>
      </c>
      <c r="Q183" s="37">
        <v>12722</v>
      </c>
      <c r="R183" s="37">
        <v>28034</v>
      </c>
      <c r="S183" s="120">
        <f t="shared" si="2"/>
        <v>0.15861127800188826</v>
      </c>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row>
    <row r="184" spans="1:52" x14ac:dyDescent="0.35">
      <c r="A184" s="38" t="s">
        <v>17</v>
      </c>
      <c r="B184" s="39">
        <v>42886</v>
      </c>
      <c r="C184" s="37">
        <v>575399</v>
      </c>
      <c r="D184" s="37">
        <v>233284</v>
      </c>
      <c r="E184" s="37">
        <v>47456</v>
      </c>
      <c r="F184" s="37">
        <v>41888</v>
      </c>
      <c r="G184" s="37">
        <v>4450</v>
      </c>
      <c r="H184" s="37">
        <v>181377</v>
      </c>
      <c r="I184" s="37">
        <v>17311</v>
      </c>
      <c r="J184" s="37">
        <v>16260</v>
      </c>
      <c r="K184" s="37">
        <v>25959</v>
      </c>
      <c r="L184" s="37">
        <v>71712</v>
      </c>
      <c r="M184" s="37">
        <v>71246</v>
      </c>
      <c r="N184" s="37">
        <v>74298</v>
      </c>
      <c r="O184" s="37">
        <v>17097</v>
      </c>
      <c r="P184" s="37">
        <v>8028</v>
      </c>
      <c r="Q184" s="37">
        <v>13519</v>
      </c>
      <c r="R184" s="37">
        <v>26686</v>
      </c>
      <c r="S184" s="120">
        <f t="shared" si="2"/>
        <v>0.15883760659994195</v>
      </c>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row>
    <row r="185" spans="1:52" x14ac:dyDescent="0.35">
      <c r="A185" s="38" t="s">
        <v>17</v>
      </c>
      <c r="B185" s="39">
        <v>42916</v>
      </c>
      <c r="C185" s="37">
        <v>572546</v>
      </c>
      <c r="D185" s="37">
        <v>233995</v>
      </c>
      <c r="E185" s="37">
        <v>47275</v>
      </c>
      <c r="F185" s="37">
        <v>41894</v>
      </c>
      <c r="G185" s="37">
        <v>3958</v>
      </c>
      <c r="H185" s="37">
        <v>182763</v>
      </c>
      <c r="I185" s="37">
        <v>15623</v>
      </c>
      <c r="J185" s="37">
        <v>15777</v>
      </c>
      <c r="K185" s="37">
        <v>29399</v>
      </c>
      <c r="L185" s="37">
        <v>70338</v>
      </c>
      <c r="M185" s="37">
        <v>75315</v>
      </c>
      <c r="N185" s="37">
        <v>70463</v>
      </c>
      <c r="O185" s="37">
        <v>16763</v>
      </c>
      <c r="P185" s="37">
        <v>7768</v>
      </c>
      <c r="Q185" s="37">
        <v>12445</v>
      </c>
      <c r="R185" s="37">
        <v>24662</v>
      </c>
      <c r="S185" s="120">
        <f t="shared" si="2"/>
        <v>0.15234758429890349</v>
      </c>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row>
    <row r="186" spans="1:52" x14ac:dyDescent="0.35">
      <c r="A186" s="38" t="s">
        <v>17</v>
      </c>
      <c r="B186" s="39">
        <v>42947</v>
      </c>
      <c r="C186" s="37">
        <v>568580</v>
      </c>
      <c r="D186" s="37">
        <v>232898</v>
      </c>
      <c r="E186" s="37">
        <v>45739</v>
      </c>
      <c r="F186" s="37">
        <v>40352</v>
      </c>
      <c r="G186" s="37">
        <v>4375</v>
      </c>
      <c r="H186" s="37">
        <v>182784</v>
      </c>
      <c r="I186" s="37">
        <v>16748</v>
      </c>
      <c r="J186" s="37">
        <v>16320</v>
      </c>
      <c r="K186" s="37">
        <v>28422</v>
      </c>
      <c r="L186" s="37">
        <v>69005</v>
      </c>
      <c r="M186" s="37">
        <v>74802</v>
      </c>
      <c r="N186" s="37">
        <v>70064</v>
      </c>
      <c r="O186" s="37">
        <v>16734</v>
      </c>
      <c r="P186" s="37">
        <v>7768</v>
      </c>
      <c r="Q186" s="37">
        <v>12596</v>
      </c>
      <c r="R186" s="37">
        <v>23224</v>
      </c>
      <c r="S186" s="120">
        <f t="shared" si="2"/>
        <v>0.15265749762566394</v>
      </c>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row>
    <row r="187" spans="1:52" x14ac:dyDescent="0.35">
      <c r="A187" s="38" t="s">
        <v>17</v>
      </c>
      <c r="B187" s="39">
        <v>42978</v>
      </c>
      <c r="C187" s="37">
        <v>567937</v>
      </c>
      <c r="D187" s="37">
        <v>235737</v>
      </c>
      <c r="E187" s="37">
        <v>46913</v>
      </c>
      <c r="F187" s="37">
        <v>41458</v>
      </c>
      <c r="G187" s="37">
        <v>3903</v>
      </c>
      <c r="H187" s="37">
        <v>184921</v>
      </c>
      <c r="I187" s="37">
        <v>15524</v>
      </c>
      <c r="J187" s="37">
        <v>16215</v>
      </c>
      <c r="K187" s="37">
        <v>27153</v>
      </c>
      <c r="L187" s="37">
        <v>70858</v>
      </c>
      <c r="M187" s="37">
        <v>72704</v>
      </c>
      <c r="N187" s="37">
        <v>70143</v>
      </c>
      <c r="O187" s="37">
        <v>16420</v>
      </c>
      <c r="P187" s="37">
        <v>7768</v>
      </c>
      <c r="Q187" s="37">
        <v>12325</v>
      </c>
      <c r="R187" s="37">
        <v>23091</v>
      </c>
      <c r="S187" s="120">
        <f t="shared" si="2"/>
        <v>0.15241655324446196</v>
      </c>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row>
    <row r="188" spans="1:52" x14ac:dyDescent="0.35">
      <c r="A188" s="38" t="s">
        <v>17</v>
      </c>
      <c r="B188" s="39">
        <v>43007</v>
      </c>
      <c r="C188" s="37">
        <v>568360</v>
      </c>
      <c r="D188" s="37">
        <v>236147</v>
      </c>
      <c r="E188" s="37">
        <v>46233</v>
      </c>
      <c r="F188" s="37">
        <v>40916</v>
      </c>
      <c r="G188" s="37">
        <v>3575</v>
      </c>
      <c r="H188" s="37">
        <v>186340</v>
      </c>
      <c r="I188" s="37">
        <v>15523</v>
      </c>
      <c r="J188" s="37">
        <v>16079</v>
      </c>
      <c r="K188" s="37">
        <v>28497</v>
      </c>
      <c r="L188" s="37">
        <v>67999</v>
      </c>
      <c r="M188" s="37">
        <v>73917</v>
      </c>
      <c r="N188" s="37">
        <v>70135</v>
      </c>
      <c r="O188" s="37">
        <v>16687</v>
      </c>
      <c r="P188" s="37">
        <v>7488</v>
      </c>
      <c r="Q188" s="37">
        <v>12841</v>
      </c>
      <c r="R188" s="37">
        <v>23047</v>
      </c>
      <c r="S188" s="120">
        <f t="shared" si="2"/>
        <v>0.15275881483566753</v>
      </c>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row>
    <row r="189" spans="1:52" x14ac:dyDescent="0.35">
      <c r="A189" s="38" t="s">
        <v>17</v>
      </c>
      <c r="B189" s="39">
        <v>43039</v>
      </c>
      <c r="C189" s="37">
        <v>569043</v>
      </c>
      <c r="D189" s="37">
        <v>240071</v>
      </c>
      <c r="E189" s="37">
        <v>46414</v>
      </c>
      <c r="F189" s="37">
        <v>40856</v>
      </c>
      <c r="G189" s="37">
        <v>4183</v>
      </c>
      <c r="H189" s="37">
        <v>189474</v>
      </c>
      <c r="I189" s="37">
        <v>15532</v>
      </c>
      <c r="J189" s="37">
        <v>16291</v>
      </c>
      <c r="K189" s="37">
        <v>27548</v>
      </c>
      <c r="L189" s="37">
        <v>64578</v>
      </c>
      <c r="M189" s="37">
        <v>73707</v>
      </c>
      <c r="N189" s="37">
        <v>70894</v>
      </c>
      <c r="O189" s="37">
        <v>16436</v>
      </c>
      <c r="P189" s="37">
        <v>7478</v>
      </c>
      <c r="Q189" s="37">
        <v>12640</v>
      </c>
      <c r="R189" s="37">
        <v>23869</v>
      </c>
      <c r="S189" s="120">
        <f t="shared" si="2"/>
        <v>0.15346819133176229</v>
      </c>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row>
    <row r="190" spans="1:52" x14ac:dyDescent="0.35">
      <c r="A190" s="38" t="s">
        <v>17</v>
      </c>
      <c r="B190" s="39">
        <v>43069</v>
      </c>
      <c r="C190" s="37">
        <v>556679</v>
      </c>
      <c r="D190" s="37">
        <v>232175</v>
      </c>
      <c r="E190" s="37">
        <v>41900</v>
      </c>
      <c r="F190" s="37">
        <v>36031</v>
      </c>
      <c r="G190" s="37">
        <v>3486</v>
      </c>
      <c r="H190" s="37">
        <v>186790</v>
      </c>
      <c r="I190" s="37">
        <v>16045</v>
      </c>
      <c r="J190" s="37">
        <v>15372</v>
      </c>
      <c r="K190" s="37">
        <v>26859</v>
      </c>
      <c r="L190" s="37">
        <v>63510</v>
      </c>
      <c r="M190" s="37">
        <v>74324</v>
      </c>
      <c r="N190" s="37">
        <v>68787</v>
      </c>
      <c r="O190" s="37">
        <v>16371</v>
      </c>
      <c r="P190" s="37">
        <v>7478</v>
      </c>
      <c r="Q190" s="37">
        <v>11455</v>
      </c>
      <c r="R190" s="37">
        <v>24304</v>
      </c>
      <c r="S190" s="120">
        <f t="shared" si="2"/>
        <v>0.1529750538461124</v>
      </c>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row>
    <row r="191" spans="1:52" x14ac:dyDescent="0.35">
      <c r="A191" s="38">
        <v>43098</v>
      </c>
      <c r="B191" s="39">
        <v>43098</v>
      </c>
      <c r="C191" s="37">
        <v>552080</v>
      </c>
      <c r="D191" s="37">
        <v>232160</v>
      </c>
      <c r="E191" s="37">
        <v>41242</v>
      </c>
      <c r="F191" s="37">
        <v>35782</v>
      </c>
      <c r="G191" s="37">
        <v>3712</v>
      </c>
      <c r="H191" s="37">
        <v>187205</v>
      </c>
      <c r="I191" s="37">
        <v>15896</v>
      </c>
      <c r="J191" s="37">
        <v>15367</v>
      </c>
      <c r="K191" s="37">
        <v>27193</v>
      </c>
      <c r="L191" s="37">
        <v>61815</v>
      </c>
      <c r="M191" s="37">
        <v>74480</v>
      </c>
      <c r="N191" s="37">
        <v>67154</v>
      </c>
      <c r="O191" s="37">
        <v>16088</v>
      </c>
      <c r="P191" s="37">
        <v>7478</v>
      </c>
      <c r="Q191" s="37">
        <v>11218</v>
      </c>
      <c r="R191" s="37">
        <v>23233</v>
      </c>
      <c r="S191" s="120">
        <f t="shared" si="2"/>
        <v>0.15077887262715547</v>
      </c>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row>
    <row r="192" spans="1:52" x14ac:dyDescent="0.35">
      <c r="A192" s="38">
        <v>43131</v>
      </c>
      <c r="B192" s="39">
        <v>43131</v>
      </c>
      <c r="C192" s="37">
        <v>546301</v>
      </c>
      <c r="D192" s="37">
        <v>232159</v>
      </c>
      <c r="E192" s="37">
        <v>40543</v>
      </c>
      <c r="F192" s="37">
        <v>35153</v>
      </c>
      <c r="G192" s="37">
        <v>4005</v>
      </c>
      <c r="H192" s="37">
        <v>187611</v>
      </c>
      <c r="I192" s="37">
        <v>15890</v>
      </c>
      <c r="J192" s="37">
        <v>15715</v>
      </c>
      <c r="K192" s="37">
        <v>26559</v>
      </c>
      <c r="L192" s="37">
        <v>61787</v>
      </c>
      <c r="M192" s="37">
        <v>70103</v>
      </c>
      <c r="N192" s="37">
        <v>65660</v>
      </c>
      <c r="O192" s="37">
        <v>15857</v>
      </c>
      <c r="P192" s="37">
        <v>7478</v>
      </c>
      <c r="Q192" s="37">
        <v>11267</v>
      </c>
      <c r="R192" s="37">
        <v>23826</v>
      </c>
      <c r="S192" s="120">
        <f t="shared" si="2"/>
        <v>0.14921627454461917</v>
      </c>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row>
    <row r="193" spans="1:52" x14ac:dyDescent="0.35">
      <c r="A193" s="38" t="s">
        <v>17</v>
      </c>
      <c r="B193" s="39">
        <v>43159</v>
      </c>
      <c r="C193" s="37">
        <v>551745</v>
      </c>
      <c r="D193" s="37">
        <v>233228</v>
      </c>
      <c r="E193" s="37">
        <v>41883</v>
      </c>
      <c r="F193" s="37">
        <v>36345</v>
      </c>
      <c r="G193" s="37">
        <v>3818</v>
      </c>
      <c r="H193" s="37">
        <v>187527</v>
      </c>
      <c r="I193" s="37">
        <v>16929</v>
      </c>
      <c r="J193" s="37">
        <v>15460</v>
      </c>
      <c r="K193" s="37">
        <v>27375</v>
      </c>
      <c r="L193" s="37">
        <v>63144</v>
      </c>
      <c r="M193" s="37">
        <v>70162</v>
      </c>
      <c r="N193" s="37">
        <v>65144</v>
      </c>
      <c r="O193" s="37">
        <v>16032</v>
      </c>
      <c r="P193" s="37">
        <v>7478</v>
      </c>
      <c r="Q193" s="37">
        <v>11922</v>
      </c>
      <c r="R193" s="37">
        <v>24869</v>
      </c>
      <c r="S193" s="120">
        <f t="shared" si="2"/>
        <v>0.14712593680051472</v>
      </c>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row>
    <row r="194" spans="1:52" x14ac:dyDescent="0.35">
      <c r="A194" s="38" t="s">
        <v>17</v>
      </c>
      <c r="B194" s="39">
        <v>43188</v>
      </c>
      <c r="C194" s="37">
        <v>557799</v>
      </c>
      <c r="D194" s="37">
        <v>230974</v>
      </c>
      <c r="E194" s="37">
        <v>40037</v>
      </c>
      <c r="F194" s="37">
        <v>34424</v>
      </c>
      <c r="G194" s="37">
        <v>3614</v>
      </c>
      <c r="H194" s="37">
        <v>187323</v>
      </c>
      <c r="I194" s="37">
        <v>17086</v>
      </c>
      <c r="J194" s="37">
        <v>16025</v>
      </c>
      <c r="K194" s="37">
        <v>26296</v>
      </c>
      <c r="L194" s="37">
        <v>64047</v>
      </c>
      <c r="M194" s="37">
        <v>74777</v>
      </c>
      <c r="N194" s="37">
        <v>66096</v>
      </c>
      <c r="O194" s="37">
        <v>16199</v>
      </c>
      <c r="P194" s="37">
        <v>7478</v>
      </c>
      <c r="Q194" s="37">
        <v>11586</v>
      </c>
      <c r="R194" s="37">
        <v>27234</v>
      </c>
      <c r="S194" s="120">
        <f t="shared" si="2"/>
        <v>0.14753522326142571</v>
      </c>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row>
    <row r="195" spans="1:52" x14ac:dyDescent="0.35">
      <c r="A195" s="38"/>
      <c r="B195" s="39">
        <v>43220</v>
      </c>
      <c r="C195" s="37">
        <v>553037</v>
      </c>
      <c r="D195" s="37">
        <v>232567</v>
      </c>
      <c r="E195" s="37">
        <v>40629</v>
      </c>
      <c r="F195" s="37">
        <v>34869</v>
      </c>
      <c r="G195" s="37">
        <v>3929</v>
      </c>
      <c r="H195" s="37">
        <v>188010</v>
      </c>
      <c r="I195" s="37">
        <v>17090</v>
      </c>
      <c r="J195" s="37">
        <v>16016</v>
      </c>
      <c r="K195" s="37">
        <v>26033</v>
      </c>
      <c r="L195" s="37">
        <v>65705</v>
      </c>
      <c r="M195" s="37">
        <v>68487</v>
      </c>
      <c r="N195" s="37">
        <v>66112</v>
      </c>
      <c r="O195" s="37">
        <v>16351</v>
      </c>
      <c r="P195" s="37">
        <v>7478</v>
      </c>
      <c r="Q195" s="37">
        <v>10930</v>
      </c>
      <c r="R195" s="37">
        <v>26269</v>
      </c>
      <c r="S195" s="120">
        <f t="shared" si="2"/>
        <v>0.14910937242896949</v>
      </c>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row>
    <row r="196" spans="1:52" x14ac:dyDescent="0.35">
      <c r="A196" s="38"/>
      <c r="B196" s="39">
        <v>43251</v>
      </c>
      <c r="C196" s="37">
        <v>564220</v>
      </c>
      <c r="D196" s="37">
        <v>234434</v>
      </c>
      <c r="E196" s="37">
        <v>41168</v>
      </c>
      <c r="F196" s="37">
        <v>35730</v>
      </c>
      <c r="G196" s="37">
        <v>3501</v>
      </c>
      <c r="H196" s="37">
        <v>189765</v>
      </c>
      <c r="I196" s="37">
        <v>16789</v>
      </c>
      <c r="J196" s="37">
        <v>16097</v>
      </c>
      <c r="K196" s="37">
        <v>26274</v>
      </c>
      <c r="L196" s="37">
        <v>67482</v>
      </c>
      <c r="M196" s="37">
        <v>73929</v>
      </c>
      <c r="N196" s="37">
        <v>65345</v>
      </c>
      <c r="O196" s="37">
        <v>17497</v>
      </c>
      <c r="P196" s="37">
        <v>7478</v>
      </c>
      <c r="Q196" s="37">
        <v>11733</v>
      </c>
      <c r="R196" s="37">
        <v>27163</v>
      </c>
      <c r="S196" s="120">
        <f t="shared" si="2"/>
        <v>0.14682570628478253</v>
      </c>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row>
    <row r="197" spans="1:52" x14ac:dyDescent="0.35">
      <c r="A197" s="38"/>
      <c r="B197" s="39">
        <v>43280</v>
      </c>
      <c r="C197" s="37">
        <v>559915</v>
      </c>
      <c r="D197" s="37">
        <v>235794</v>
      </c>
      <c r="E197" s="37">
        <v>40911</v>
      </c>
      <c r="F197" s="37">
        <v>35528</v>
      </c>
      <c r="G197" s="37">
        <v>3436</v>
      </c>
      <c r="H197" s="37">
        <v>191447</v>
      </c>
      <c r="I197" s="37">
        <v>16725</v>
      </c>
      <c r="J197" s="37">
        <v>15843</v>
      </c>
      <c r="K197" s="37">
        <v>24814</v>
      </c>
      <c r="L197" s="37">
        <v>66493</v>
      </c>
      <c r="M197" s="37">
        <v>76601</v>
      </c>
      <c r="N197" s="37">
        <v>64924</v>
      </c>
      <c r="O197" s="37">
        <v>17333</v>
      </c>
      <c r="P197" s="37">
        <v>5278</v>
      </c>
      <c r="Q197" s="37">
        <v>10255</v>
      </c>
      <c r="R197" s="37">
        <v>25855</v>
      </c>
      <c r="S197" s="120">
        <f t="shared" si="2"/>
        <v>0.14690979880874774</v>
      </c>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row>
    <row r="198" spans="1:52" x14ac:dyDescent="0.35">
      <c r="A198" s="38"/>
      <c r="B198" s="39">
        <v>43312</v>
      </c>
      <c r="C198" s="37">
        <v>559638</v>
      </c>
      <c r="D198" s="37">
        <v>236701</v>
      </c>
      <c r="E198" s="37">
        <v>41016</v>
      </c>
      <c r="F198" s="37">
        <v>35816</v>
      </c>
      <c r="G198" s="37">
        <v>3966</v>
      </c>
      <c r="H198" s="37">
        <v>191718</v>
      </c>
      <c r="I198" s="37">
        <v>16718</v>
      </c>
      <c r="J198" s="37">
        <v>14801</v>
      </c>
      <c r="K198" s="37">
        <v>24053</v>
      </c>
      <c r="L198" s="37">
        <v>68946</v>
      </c>
      <c r="M198" s="37">
        <v>73875</v>
      </c>
      <c r="N198" s="37">
        <v>63221</v>
      </c>
      <c r="O198" s="37">
        <v>19389</v>
      </c>
      <c r="P198" s="37">
        <v>5278</v>
      </c>
      <c r="Q198" s="37">
        <v>11468</v>
      </c>
      <c r="R198" s="37">
        <v>25188</v>
      </c>
      <c r="S198" s="120">
        <f t="shared" si="2"/>
        <v>0.14761327858365586</v>
      </c>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row>
    <row r="199" spans="1:52" x14ac:dyDescent="0.35">
      <c r="A199" s="38"/>
      <c r="B199" s="39">
        <v>43343</v>
      </c>
      <c r="C199" s="37">
        <v>559099</v>
      </c>
      <c r="D199" s="37">
        <v>237716</v>
      </c>
      <c r="E199" s="37">
        <v>41204</v>
      </c>
      <c r="F199" s="37">
        <v>35929</v>
      </c>
      <c r="G199" s="37">
        <v>3446</v>
      </c>
      <c r="H199" s="37">
        <v>193065</v>
      </c>
      <c r="I199" s="37">
        <v>16694</v>
      </c>
      <c r="J199" s="37">
        <v>14750</v>
      </c>
      <c r="K199" s="37">
        <v>22774</v>
      </c>
      <c r="L199" s="37">
        <v>69226</v>
      </c>
      <c r="M199" s="37">
        <v>73176</v>
      </c>
      <c r="N199" s="37">
        <v>63333</v>
      </c>
      <c r="O199" s="37">
        <v>19297</v>
      </c>
      <c r="P199" s="37">
        <v>5278</v>
      </c>
      <c r="Q199" s="37">
        <v>11637</v>
      </c>
      <c r="R199" s="37">
        <v>25218</v>
      </c>
      <c r="S199" s="120">
        <f t="shared" si="2"/>
        <v>0.14779135716572556</v>
      </c>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row>
    <row r="200" spans="1:52" x14ac:dyDescent="0.35">
      <c r="A200" s="38"/>
      <c r="B200" s="39">
        <v>43371</v>
      </c>
      <c r="C200" s="37">
        <v>556669</v>
      </c>
      <c r="D200" s="37">
        <v>238532</v>
      </c>
      <c r="E200" s="37">
        <v>41000</v>
      </c>
      <c r="F200" s="37">
        <v>35662</v>
      </c>
      <c r="G200" s="37">
        <v>3469</v>
      </c>
      <c r="H200" s="37">
        <v>194063</v>
      </c>
      <c r="I200" s="37">
        <v>16186</v>
      </c>
      <c r="J200" s="37">
        <v>13680</v>
      </c>
      <c r="K200" s="37">
        <v>22189</v>
      </c>
      <c r="L200" s="37">
        <v>68139</v>
      </c>
      <c r="M200" s="37">
        <v>74845</v>
      </c>
      <c r="N200" s="37">
        <v>63601</v>
      </c>
      <c r="O200" s="37">
        <v>19608</v>
      </c>
      <c r="P200" s="37">
        <v>3253</v>
      </c>
      <c r="Q200" s="37">
        <v>12466</v>
      </c>
      <c r="R200" s="37">
        <v>24171</v>
      </c>
      <c r="S200" s="120">
        <f t="shared" si="2"/>
        <v>0.14947661896027981</v>
      </c>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row>
    <row r="201" spans="1:52" x14ac:dyDescent="0.35">
      <c r="A201" s="38"/>
      <c r="B201" s="39">
        <v>43404</v>
      </c>
      <c r="C201" s="37">
        <v>556034</v>
      </c>
      <c r="D201" s="37">
        <v>238466</v>
      </c>
      <c r="E201" s="37">
        <v>38564</v>
      </c>
      <c r="F201" s="37">
        <v>33433</v>
      </c>
      <c r="G201" s="37">
        <v>3812</v>
      </c>
      <c r="H201" s="37">
        <v>196090</v>
      </c>
      <c r="I201" s="37">
        <v>16183</v>
      </c>
      <c r="J201" s="37">
        <v>13318</v>
      </c>
      <c r="K201" s="37">
        <v>20885</v>
      </c>
      <c r="L201" s="37">
        <v>69829</v>
      </c>
      <c r="M201" s="37">
        <v>72538</v>
      </c>
      <c r="N201" s="37">
        <v>64718</v>
      </c>
      <c r="O201" s="37">
        <v>19827</v>
      </c>
      <c r="P201" s="37">
        <v>3255</v>
      </c>
      <c r="Q201" s="37">
        <v>12456</v>
      </c>
      <c r="R201" s="37">
        <v>24559</v>
      </c>
      <c r="S201" s="120">
        <f t="shared" si="2"/>
        <v>0.15205005449307057</v>
      </c>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47"/>
      <c r="AZ201" s="47"/>
    </row>
    <row r="202" spans="1:52" x14ac:dyDescent="0.35">
      <c r="A202" s="38"/>
      <c r="B202" s="39">
        <v>43434</v>
      </c>
      <c r="C202" s="37">
        <v>557384</v>
      </c>
      <c r="D202" s="37">
        <v>232667</v>
      </c>
      <c r="E202" s="37">
        <v>34590</v>
      </c>
      <c r="F202" s="37">
        <v>29708</v>
      </c>
      <c r="G202" s="37">
        <v>3863</v>
      </c>
      <c r="H202" s="37">
        <v>194214</v>
      </c>
      <c r="I202" s="37">
        <v>19248</v>
      </c>
      <c r="J202" s="37">
        <v>13330</v>
      </c>
      <c r="K202" s="37">
        <v>20879</v>
      </c>
      <c r="L202" s="37">
        <v>64394</v>
      </c>
      <c r="M202" s="37">
        <v>82009</v>
      </c>
      <c r="N202" s="37">
        <v>62861</v>
      </c>
      <c r="O202" s="37">
        <v>19796</v>
      </c>
      <c r="P202" s="37">
        <v>3253</v>
      </c>
      <c r="Q202" s="37">
        <v>13995</v>
      </c>
      <c r="R202" s="37">
        <v>24953</v>
      </c>
      <c r="S202" s="120">
        <f t="shared" si="2"/>
        <v>0.14829453303288218</v>
      </c>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47"/>
      <c r="AZ202" s="47"/>
    </row>
    <row r="203" spans="1:52" x14ac:dyDescent="0.35">
      <c r="A203" s="38">
        <v>43465</v>
      </c>
      <c r="B203" s="39">
        <v>43465</v>
      </c>
      <c r="C203" s="37">
        <v>599797</v>
      </c>
      <c r="D203" s="37">
        <v>231709</v>
      </c>
      <c r="E203" s="37">
        <v>34637</v>
      </c>
      <c r="F203" s="37">
        <v>29687</v>
      </c>
      <c r="G203" s="37">
        <v>3263</v>
      </c>
      <c r="H203" s="37">
        <v>193809</v>
      </c>
      <c r="I203" s="37">
        <v>19726</v>
      </c>
      <c r="J203" s="37">
        <v>13136</v>
      </c>
      <c r="K203" s="37">
        <v>20229</v>
      </c>
      <c r="L203" s="37">
        <v>67971</v>
      </c>
      <c r="M203" s="37">
        <v>116236</v>
      </c>
      <c r="N203" s="37">
        <v>56657</v>
      </c>
      <c r="O203" s="37">
        <v>34026</v>
      </c>
      <c r="P203" s="37">
        <v>3023</v>
      </c>
      <c r="Q203" s="37">
        <v>11302</v>
      </c>
      <c r="R203" s="37">
        <v>25782</v>
      </c>
      <c r="S203" s="120">
        <f t="shared" si="2"/>
        <v>0.1511894857760209</v>
      </c>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47"/>
      <c r="AZ203" s="47"/>
    </row>
    <row r="204" spans="1:52" x14ac:dyDescent="0.35">
      <c r="A204" s="38">
        <v>43496</v>
      </c>
      <c r="B204" s="39">
        <v>43496</v>
      </c>
      <c r="C204" s="37">
        <v>612434</v>
      </c>
      <c r="D204" s="37">
        <v>233639</v>
      </c>
      <c r="E204" s="37">
        <v>34269</v>
      </c>
      <c r="F204" s="37">
        <v>29206</v>
      </c>
      <c r="G204" s="37">
        <v>3769</v>
      </c>
      <c r="H204" s="37">
        <v>195601</v>
      </c>
      <c r="I204" s="37">
        <v>19334</v>
      </c>
      <c r="J204" s="37">
        <v>12506</v>
      </c>
      <c r="K204" s="37">
        <v>20128</v>
      </c>
      <c r="L204" s="37">
        <v>73458</v>
      </c>
      <c r="M204" s="37">
        <v>117310</v>
      </c>
      <c r="N204" s="37">
        <v>56759</v>
      </c>
      <c r="O204" s="37">
        <v>34162</v>
      </c>
      <c r="P204" s="37">
        <v>3023</v>
      </c>
      <c r="Q204" s="37">
        <v>12782</v>
      </c>
      <c r="R204" s="37">
        <v>29333</v>
      </c>
      <c r="S204" s="120">
        <f t="shared" si="2"/>
        <v>0.14845844613460391</v>
      </c>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row>
    <row r="205" spans="1:52" x14ac:dyDescent="0.35">
      <c r="A205" s="38" t="s">
        <v>17</v>
      </c>
      <c r="B205" s="39">
        <v>43524</v>
      </c>
      <c r="C205" s="37">
        <v>606829</v>
      </c>
      <c r="D205" s="37">
        <v>232691</v>
      </c>
      <c r="E205" s="37">
        <v>34698</v>
      </c>
      <c r="F205" s="37">
        <v>29849</v>
      </c>
      <c r="G205" s="37">
        <v>2855</v>
      </c>
      <c r="H205" s="37">
        <v>195139</v>
      </c>
      <c r="I205" s="37">
        <v>18832</v>
      </c>
      <c r="J205" s="37">
        <v>13124</v>
      </c>
      <c r="K205" s="37">
        <v>20004</v>
      </c>
      <c r="L205" s="37">
        <v>70562</v>
      </c>
      <c r="M205" s="37">
        <v>117956</v>
      </c>
      <c r="N205" s="37">
        <v>56094</v>
      </c>
      <c r="O205" s="37">
        <v>34094</v>
      </c>
      <c r="P205" s="37">
        <v>3023</v>
      </c>
      <c r="Q205" s="37">
        <v>13513</v>
      </c>
      <c r="R205" s="37">
        <v>26936</v>
      </c>
      <c r="S205" s="120">
        <f t="shared" ref="S205:S268" si="3">SUM(N205:O205)/C205</f>
        <v>0.14862176988904618</v>
      </c>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47"/>
      <c r="AZ205" s="47"/>
    </row>
    <row r="206" spans="1:52" x14ac:dyDescent="0.35">
      <c r="A206" s="38" t="s">
        <v>17</v>
      </c>
      <c r="B206" s="39">
        <v>43553</v>
      </c>
      <c r="C206" s="37">
        <v>636571</v>
      </c>
      <c r="D206" s="37">
        <v>234497</v>
      </c>
      <c r="E206" s="37">
        <v>34267</v>
      </c>
      <c r="F206" s="37">
        <v>28710</v>
      </c>
      <c r="G206" s="37">
        <v>2781</v>
      </c>
      <c r="H206" s="37">
        <v>197448</v>
      </c>
      <c r="I206" s="37">
        <v>18830</v>
      </c>
      <c r="J206" s="37">
        <v>11195</v>
      </c>
      <c r="K206" s="37">
        <v>21601</v>
      </c>
      <c r="L206" s="37">
        <v>88764</v>
      </c>
      <c r="M206" s="37">
        <v>122206</v>
      </c>
      <c r="N206" s="37">
        <v>55894</v>
      </c>
      <c r="O206" s="37">
        <v>35890</v>
      </c>
      <c r="P206" s="37">
        <v>3023</v>
      </c>
      <c r="Q206" s="37">
        <v>15443</v>
      </c>
      <c r="R206" s="37">
        <v>29229</v>
      </c>
      <c r="S206" s="120">
        <f t="shared" si="3"/>
        <v>0.14418501628255137</v>
      </c>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47"/>
      <c r="AZ206" s="47"/>
    </row>
    <row r="207" spans="1:52" x14ac:dyDescent="0.35">
      <c r="A207" s="38" t="s">
        <v>17</v>
      </c>
      <c r="B207" s="39">
        <v>43585</v>
      </c>
      <c r="C207" s="37">
        <v>640124</v>
      </c>
      <c r="D207" s="37">
        <v>238066</v>
      </c>
      <c r="E207" s="37">
        <v>34574</v>
      </c>
      <c r="F207" s="37">
        <v>29751</v>
      </c>
      <c r="G207" s="37">
        <v>3834</v>
      </c>
      <c r="H207" s="37">
        <v>199659</v>
      </c>
      <c r="I207" s="37">
        <v>18327</v>
      </c>
      <c r="J207" s="37">
        <v>10967</v>
      </c>
      <c r="K207" s="37">
        <v>22104</v>
      </c>
      <c r="L207" s="37">
        <v>85494</v>
      </c>
      <c r="M207" s="37">
        <v>127615</v>
      </c>
      <c r="N207" s="37">
        <v>56060</v>
      </c>
      <c r="O207" s="37">
        <v>35952</v>
      </c>
      <c r="P207" s="37">
        <v>3023</v>
      </c>
      <c r="Q207" s="37">
        <v>14649</v>
      </c>
      <c r="R207" s="37">
        <v>27865</v>
      </c>
      <c r="S207" s="120">
        <f t="shared" si="3"/>
        <v>0.14374090020058614</v>
      </c>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47"/>
      <c r="AZ207" s="47"/>
    </row>
    <row r="208" spans="1:52" x14ac:dyDescent="0.35">
      <c r="A208" s="38" t="s">
        <v>17</v>
      </c>
      <c r="B208" s="39">
        <v>43616</v>
      </c>
      <c r="C208" s="37">
        <v>635232</v>
      </c>
      <c r="D208" s="37">
        <v>241044</v>
      </c>
      <c r="E208" s="37">
        <v>35611</v>
      </c>
      <c r="F208" s="37">
        <v>30696</v>
      </c>
      <c r="G208" s="37">
        <v>3196</v>
      </c>
      <c r="H208" s="37">
        <v>202237</v>
      </c>
      <c r="I208" s="37">
        <v>18357</v>
      </c>
      <c r="J208" s="37">
        <v>11679</v>
      </c>
      <c r="K208" s="37">
        <v>21794</v>
      </c>
      <c r="L208" s="37">
        <v>88634</v>
      </c>
      <c r="M208" s="37">
        <v>113083</v>
      </c>
      <c r="N208" s="37">
        <v>57070</v>
      </c>
      <c r="O208" s="37">
        <v>36008</v>
      </c>
      <c r="P208" s="37">
        <v>3023</v>
      </c>
      <c r="Q208" s="37">
        <v>14814</v>
      </c>
      <c r="R208" s="37">
        <v>29727</v>
      </c>
      <c r="S208" s="120">
        <f t="shared" si="3"/>
        <v>0.14652599365271271</v>
      </c>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47"/>
      <c r="AZ208" s="47"/>
    </row>
    <row r="209" spans="1:52" x14ac:dyDescent="0.35">
      <c r="A209" s="38" t="s">
        <v>17</v>
      </c>
      <c r="B209" s="39">
        <v>43644</v>
      </c>
      <c r="C209" s="37">
        <v>645772</v>
      </c>
      <c r="D209" s="37">
        <v>242356</v>
      </c>
      <c r="E209" s="37">
        <v>35524</v>
      </c>
      <c r="F209" s="37">
        <v>30698</v>
      </c>
      <c r="G209" s="37">
        <v>3175</v>
      </c>
      <c r="H209" s="37">
        <v>203657</v>
      </c>
      <c r="I209" s="37">
        <v>18322</v>
      </c>
      <c r="J209" s="37">
        <v>11828</v>
      </c>
      <c r="K209" s="37">
        <v>21212</v>
      </c>
      <c r="L209" s="37">
        <v>88194</v>
      </c>
      <c r="M209" s="37">
        <v>117862</v>
      </c>
      <c r="N209" s="37">
        <v>55140</v>
      </c>
      <c r="O209" s="37">
        <v>35277</v>
      </c>
      <c r="P209" s="37">
        <v>2273</v>
      </c>
      <c r="Q209" s="37">
        <v>13850</v>
      </c>
      <c r="R209" s="37">
        <v>39457</v>
      </c>
      <c r="S209" s="120">
        <f t="shared" si="3"/>
        <v>0.14001381292468548</v>
      </c>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47"/>
      <c r="AZ209" s="47"/>
    </row>
    <row r="210" spans="1:52" x14ac:dyDescent="0.35">
      <c r="A210" s="38" t="s">
        <v>17</v>
      </c>
      <c r="B210" s="39">
        <v>43677</v>
      </c>
      <c r="C210" s="37">
        <v>669262</v>
      </c>
      <c r="D210" s="37">
        <v>246666</v>
      </c>
      <c r="E210" s="37">
        <v>35348</v>
      </c>
      <c r="F210" s="37">
        <v>30287</v>
      </c>
      <c r="G210" s="37">
        <v>3752</v>
      </c>
      <c r="H210" s="37">
        <v>207566</v>
      </c>
      <c r="I210" s="37">
        <v>18220</v>
      </c>
      <c r="J210" s="37">
        <v>12808</v>
      </c>
      <c r="K210" s="37">
        <v>22400</v>
      </c>
      <c r="L210" s="37">
        <v>87445</v>
      </c>
      <c r="M210" s="37">
        <v>119336</v>
      </c>
      <c r="N210" s="37">
        <v>54422</v>
      </c>
      <c r="O210" s="37">
        <v>35825</v>
      </c>
      <c r="P210" s="37">
        <v>2273</v>
      </c>
      <c r="Q210" s="37">
        <v>15400</v>
      </c>
      <c r="R210" s="37">
        <v>54467</v>
      </c>
      <c r="S210" s="120">
        <f t="shared" si="3"/>
        <v>0.13484554628829964</v>
      </c>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row>
    <row r="211" spans="1:52" x14ac:dyDescent="0.35">
      <c r="A211" s="38" t="s">
        <v>17</v>
      </c>
      <c r="B211" s="39">
        <v>43707</v>
      </c>
      <c r="C211" s="37">
        <v>680346</v>
      </c>
      <c r="D211" s="37">
        <v>245695</v>
      </c>
      <c r="E211" s="37">
        <v>34512</v>
      </c>
      <c r="F211" s="37">
        <v>29583</v>
      </c>
      <c r="G211" s="37">
        <v>3102</v>
      </c>
      <c r="H211" s="37">
        <v>208081</v>
      </c>
      <c r="I211" s="37">
        <v>18217</v>
      </c>
      <c r="J211" s="37">
        <v>12800</v>
      </c>
      <c r="K211" s="37">
        <v>22624</v>
      </c>
      <c r="L211" s="37">
        <v>85143</v>
      </c>
      <c r="M211" s="37">
        <v>119775</v>
      </c>
      <c r="N211" s="37">
        <v>54784</v>
      </c>
      <c r="O211" s="37">
        <v>36052</v>
      </c>
      <c r="P211" s="37">
        <v>2278</v>
      </c>
      <c r="Q211" s="37">
        <v>15579</v>
      </c>
      <c r="R211" s="37">
        <v>67399</v>
      </c>
      <c r="S211" s="120">
        <f t="shared" si="3"/>
        <v>0.13351441766395333</v>
      </c>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47"/>
      <c r="AZ211" s="47"/>
    </row>
    <row r="212" spans="1:52" x14ac:dyDescent="0.35">
      <c r="A212" s="38" t="s">
        <v>17</v>
      </c>
      <c r="B212" s="39">
        <v>43738</v>
      </c>
      <c r="C212" s="37">
        <v>678125</v>
      </c>
      <c r="D212" s="37">
        <v>246955</v>
      </c>
      <c r="E212" s="37">
        <v>34646</v>
      </c>
      <c r="F212" s="37">
        <v>29971</v>
      </c>
      <c r="G212" s="37">
        <v>3214</v>
      </c>
      <c r="H212" s="37">
        <v>209095</v>
      </c>
      <c r="I212" s="37">
        <v>18150</v>
      </c>
      <c r="J212" s="37">
        <v>13839</v>
      </c>
      <c r="K212" s="37">
        <v>23037</v>
      </c>
      <c r="L212" s="37">
        <v>84982</v>
      </c>
      <c r="M212" s="37">
        <v>121801</v>
      </c>
      <c r="N212" s="37">
        <v>54990</v>
      </c>
      <c r="O212" s="37">
        <v>36402</v>
      </c>
      <c r="P212" s="37">
        <v>2023</v>
      </c>
      <c r="Q212" s="37">
        <v>17520</v>
      </c>
      <c r="R212" s="37">
        <v>58425</v>
      </c>
      <c r="S212" s="120">
        <f t="shared" si="3"/>
        <v>0.13477161290322581</v>
      </c>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47"/>
      <c r="AZ212" s="47"/>
    </row>
    <row r="213" spans="1:52" x14ac:dyDescent="0.35">
      <c r="A213" s="38" t="s">
        <v>17</v>
      </c>
      <c r="B213" s="39">
        <v>43769</v>
      </c>
      <c r="C213" s="37">
        <v>688807</v>
      </c>
      <c r="D213" s="37">
        <v>252368</v>
      </c>
      <c r="E213" s="37">
        <v>34839</v>
      </c>
      <c r="F213" s="37">
        <v>30131</v>
      </c>
      <c r="G213" s="37">
        <v>3556</v>
      </c>
      <c r="H213" s="37">
        <v>213972</v>
      </c>
      <c r="I213" s="37">
        <v>18638</v>
      </c>
      <c r="J213" s="37">
        <v>13704</v>
      </c>
      <c r="K213" s="37">
        <v>23744</v>
      </c>
      <c r="L213" s="37">
        <v>87911</v>
      </c>
      <c r="M213" s="37">
        <v>126018</v>
      </c>
      <c r="N213" s="37">
        <v>54353</v>
      </c>
      <c r="O213" s="37">
        <v>35516</v>
      </c>
      <c r="P213" s="37">
        <v>2073</v>
      </c>
      <c r="Q213" s="37">
        <v>17331</v>
      </c>
      <c r="R213" s="37">
        <v>57153</v>
      </c>
      <c r="S213" s="120">
        <f t="shared" si="3"/>
        <v>0.13047050915568512</v>
      </c>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47"/>
      <c r="AZ213" s="47"/>
    </row>
    <row r="214" spans="1:52" x14ac:dyDescent="0.35">
      <c r="A214" s="38" t="s">
        <v>17</v>
      </c>
      <c r="B214" s="39">
        <v>43798</v>
      </c>
      <c r="C214" s="37">
        <v>685537</v>
      </c>
      <c r="D214" s="37">
        <v>249826</v>
      </c>
      <c r="E214" s="37">
        <v>34436</v>
      </c>
      <c r="F214" s="37">
        <v>30097</v>
      </c>
      <c r="G214" s="37">
        <v>3033</v>
      </c>
      <c r="H214" s="37">
        <v>212358</v>
      </c>
      <c r="I214" s="37">
        <v>18632</v>
      </c>
      <c r="J214" s="37">
        <v>13689</v>
      </c>
      <c r="K214" s="37">
        <v>23884</v>
      </c>
      <c r="L214" s="37">
        <v>88701</v>
      </c>
      <c r="M214" s="37">
        <v>118943</v>
      </c>
      <c r="N214" s="37">
        <v>55270</v>
      </c>
      <c r="O214" s="37">
        <v>35857</v>
      </c>
      <c r="P214" s="37">
        <v>2023</v>
      </c>
      <c r="Q214" s="37">
        <v>14831</v>
      </c>
      <c r="R214" s="37">
        <v>63881</v>
      </c>
      <c r="S214" s="120">
        <f t="shared" si="3"/>
        <v>0.1329279090698241</v>
      </c>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row>
    <row r="215" spans="1:52" x14ac:dyDescent="0.35">
      <c r="A215" s="38">
        <v>43830</v>
      </c>
      <c r="B215" s="39">
        <v>43830</v>
      </c>
      <c r="C215" s="37">
        <v>675324</v>
      </c>
      <c r="D215" s="37">
        <v>254415</v>
      </c>
      <c r="E215" s="37">
        <v>32894</v>
      </c>
      <c r="F215" s="37">
        <v>28659</v>
      </c>
      <c r="G215" s="37">
        <v>2823</v>
      </c>
      <c r="H215" s="37">
        <v>218699</v>
      </c>
      <c r="I215" s="37">
        <v>18627</v>
      </c>
      <c r="J215" s="37">
        <v>13393</v>
      </c>
      <c r="K215" s="37">
        <v>24170</v>
      </c>
      <c r="L215" s="37">
        <v>82373</v>
      </c>
      <c r="M215" s="37">
        <v>118832</v>
      </c>
      <c r="N215" s="37">
        <v>54774</v>
      </c>
      <c r="O215" s="37">
        <v>35005</v>
      </c>
      <c r="P215" s="37">
        <v>2033</v>
      </c>
      <c r="Q215" s="37">
        <v>14196</v>
      </c>
      <c r="R215" s="37">
        <v>57507</v>
      </c>
      <c r="S215" s="120">
        <f t="shared" si="3"/>
        <v>0.13294211371134448</v>
      </c>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47"/>
      <c r="AZ215" s="47"/>
    </row>
    <row r="216" spans="1:52" x14ac:dyDescent="0.35">
      <c r="A216" s="38">
        <v>43861</v>
      </c>
      <c r="B216" s="39">
        <v>43861</v>
      </c>
      <c r="C216" s="37">
        <v>679965</v>
      </c>
      <c r="D216" s="37">
        <v>254236</v>
      </c>
      <c r="E216" s="37">
        <v>29499</v>
      </c>
      <c r="F216" s="37">
        <v>25829</v>
      </c>
      <c r="G216" s="37">
        <v>3078</v>
      </c>
      <c r="H216" s="37">
        <v>221659</v>
      </c>
      <c r="I216" s="37">
        <v>20779</v>
      </c>
      <c r="J216" s="37">
        <v>13275</v>
      </c>
      <c r="K216" s="37">
        <v>24843</v>
      </c>
      <c r="L216" s="37">
        <v>82572</v>
      </c>
      <c r="M216" s="37">
        <v>117815</v>
      </c>
      <c r="N216" s="37">
        <v>51385</v>
      </c>
      <c r="O216" s="37">
        <v>35243</v>
      </c>
      <c r="P216" s="37">
        <v>2043</v>
      </c>
      <c r="Q216" s="37">
        <v>14383</v>
      </c>
      <c r="R216" s="37">
        <v>63394</v>
      </c>
      <c r="S216" s="120">
        <f t="shared" si="3"/>
        <v>0.12740067503474445</v>
      </c>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47"/>
      <c r="AZ216" s="47"/>
    </row>
    <row r="217" spans="1:52" x14ac:dyDescent="0.35">
      <c r="A217" s="38" t="s">
        <v>17</v>
      </c>
      <c r="B217" s="39">
        <v>43889</v>
      </c>
      <c r="C217" s="37">
        <v>701556</v>
      </c>
      <c r="D217" s="37">
        <v>254716</v>
      </c>
      <c r="E217" s="37">
        <v>30410</v>
      </c>
      <c r="F217" s="37">
        <v>25946</v>
      </c>
      <c r="G217" s="37">
        <v>2964</v>
      </c>
      <c r="H217" s="37">
        <v>221342</v>
      </c>
      <c r="I217" s="37">
        <v>20774</v>
      </c>
      <c r="J217" s="37">
        <v>13289</v>
      </c>
      <c r="K217" s="37">
        <v>24953</v>
      </c>
      <c r="L217" s="37">
        <v>91413</v>
      </c>
      <c r="M217" s="37">
        <v>118603</v>
      </c>
      <c r="N217" s="37">
        <v>51016</v>
      </c>
      <c r="O217" s="37">
        <v>35249</v>
      </c>
      <c r="P217" s="37">
        <v>2043</v>
      </c>
      <c r="Q217" s="37">
        <v>17908</v>
      </c>
      <c r="R217" s="37">
        <v>71592</v>
      </c>
      <c r="S217" s="120">
        <f t="shared" si="3"/>
        <v>0.12296238646665412</v>
      </c>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47"/>
      <c r="AZ217" s="47"/>
    </row>
    <row r="218" spans="1:52" x14ac:dyDescent="0.35">
      <c r="A218" s="38" t="s">
        <v>17</v>
      </c>
      <c r="B218" s="39">
        <v>43921</v>
      </c>
      <c r="C218" s="37">
        <v>724975</v>
      </c>
      <c r="D218" s="37">
        <v>263149</v>
      </c>
      <c r="E218" s="37">
        <v>31033</v>
      </c>
      <c r="F218" s="37">
        <v>26306</v>
      </c>
      <c r="G218" s="37">
        <v>5019</v>
      </c>
      <c r="H218" s="37">
        <v>227098</v>
      </c>
      <c r="I218" s="37">
        <v>20270</v>
      </c>
      <c r="J218" s="37">
        <v>11853</v>
      </c>
      <c r="K218" s="37">
        <v>23907</v>
      </c>
      <c r="L218" s="37">
        <v>99567</v>
      </c>
      <c r="M218" s="37">
        <v>127915</v>
      </c>
      <c r="N218" s="37">
        <v>52142</v>
      </c>
      <c r="O218" s="37">
        <v>34874</v>
      </c>
      <c r="P218" s="37">
        <v>2512</v>
      </c>
      <c r="Q218" s="37">
        <v>15210</v>
      </c>
      <c r="R218" s="37">
        <v>73576</v>
      </c>
      <c r="S218" s="120">
        <f t="shared" si="3"/>
        <v>0.12002620780026897</v>
      </c>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47"/>
      <c r="AZ218" s="47"/>
    </row>
    <row r="219" spans="1:52" x14ac:dyDescent="0.35">
      <c r="A219" s="38" t="s">
        <v>17</v>
      </c>
      <c r="B219" s="39">
        <v>43951</v>
      </c>
      <c r="C219" s="37">
        <v>726659</v>
      </c>
      <c r="D219" s="37">
        <v>267835</v>
      </c>
      <c r="E219" s="37">
        <v>31566</v>
      </c>
      <c r="F219" s="37">
        <v>26804</v>
      </c>
      <c r="G219" s="37">
        <v>5089</v>
      </c>
      <c r="H219" s="37">
        <v>231180</v>
      </c>
      <c r="I219" s="37">
        <v>19903</v>
      </c>
      <c r="J219" s="37">
        <v>11421</v>
      </c>
      <c r="K219" s="37">
        <v>23186</v>
      </c>
      <c r="L219" s="37">
        <v>97841</v>
      </c>
      <c r="M219" s="37">
        <v>128112</v>
      </c>
      <c r="N219" s="37">
        <v>51183</v>
      </c>
      <c r="O219" s="37">
        <v>34989</v>
      </c>
      <c r="P219" s="37">
        <v>2889</v>
      </c>
      <c r="Q219" s="37">
        <v>14117</v>
      </c>
      <c r="R219" s="37">
        <v>75181</v>
      </c>
      <c r="S219" s="120">
        <f t="shared" si="3"/>
        <v>0.11858657224365211</v>
      </c>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47"/>
      <c r="AZ219" s="47"/>
    </row>
    <row r="220" spans="1:52" x14ac:dyDescent="0.35">
      <c r="A220" s="38" t="s">
        <v>17</v>
      </c>
      <c r="B220" s="39">
        <v>43980</v>
      </c>
      <c r="C220" s="37">
        <v>715208</v>
      </c>
      <c r="D220" s="37">
        <v>269921</v>
      </c>
      <c r="E220" s="37">
        <v>31741</v>
      </c>
      <c r="F220" s="37">
        <v>27528</v>
      </c>
      <c r="G220" s="37">
        <v>4382</v>
      </c>
      <c r="H220" s="37">
        <v>233797</v>
      </c>
      <c r="I220" s="37">
        <v>19399</v>
      </c>
      <c r="J220" s="37">
        <v>10905</v>
      </c>
      <c r="K220" s="37">
        <v>22513</v>
      </c>
      <c r="L220" s="37">
        <v>98808</v>
      </c>
      <c r="M220" s="37">
        <v>122414</v>
      </c>
      <c r="N220" s="37">
        <v>51032</v>
      </c>
      <c r="O220" s="37">
        <v>35412</v>
      </c>
      <c r="P220" s="37">
        <v>2896</v>
      </c>
      <c r="Q220" s="37">
        <v>13295</v>
      </c>
      <c r="R220" s="37">
        <v>68614</v>
      </c>
      <c r="S220" s="120">
        <f t="shared" si="3"/>
        <v>0.12086553841679623</v>
      </c>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row>
    <row r="221" spans="1:52" x14ac:dyDescent="0.35">
      <c r="A221" s="38" t="s">
        <v>17</v>
      </c>
      <c r="B221" s="39">
        <v>44012</v>
      </c>
      <c r="C221" s="37">
        <v>710993</v>
      </c>
      <c r="D221" s="37">
        <v>273103</v>
      </c>
      <c r="E221" s="37">
        <v>33983</v>
      </c>
      <c r="F221" s="37">
        <v>29750</v>
      </c>
      <c r="G221" s="37">
        <v>3433</v>
      </c>
      <c r="H221" s="37">
        <v>235687</v>
      </c>
      <c r="I221" s="37">
        <v>17764</v>
      </c>
      <c r="J221" s="37">
        <v>12817</v>
      </c>
      <c r="K221" s="37">
        <v>21467</v>
      </c>
      <c r="L221" s="37">
        <v>96802</v>
      </c>
      <c r="M221" s="37">
        <v>117398</v>
      </c>
      <c r="N221" s="37">
        <v>52246</v>
      </c>
      <c r="O221" s="37">
        <v>35171</v>
      </c>
      <c r="P221" s="37">
        <v>3221</v>
      </c>
      <c r="Q221" s="37">
        <v>13329</v>
      </c>
      <c r="R221" s="37">
        <v>67676</v>
      </c>
      <c r="S221" s="120">
        <f t="shared" si="3"/>
        <v>0.12295057757249368</v>
      </c>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47"/>
      <c r="AZ221" s="47"/>
    </row>
    <row r="222" spans="1:52" x14ac:dyDescent="0.35">
      <c r="A222" s="38" t="s">
        <v>17</v>
      </c>
      <c r="B222" s="39">
        <v>44043</v>
      </c>
      <c r="C222" s="37">
        <v>713614</v>
      </c>
      <c r="D222" s="37">
        <v>277200</v>
      </c>
      <c r="E222" s="37">
        <v>34431</v>
      </c>
      <c r="F222" s="37">
        <v>30647</v>
      </c>
      <c r="G222" s="37">
        <v>3889</v>
      </c>
      <c r="H222" s="37">
        <v>238880</v>
      </c>
      <c r="I222" s="37">
        <v>17009</v>
      </c>
      <c r="J222" s="37">
        <v>12152</v>
      </c>
      <c r="K222" s="37">
        <v>21683</v>
      </c>
      <c r="L222" s="37">
        <v>99729</v>
      </c>
      <c r="M222" s="37">
        <v>107917</v>
      </c>
      <c r="N222" s="37">
        <v>50435</v>
      </c>
      <c r="O222" s="37">
        <v>34714</v>
      </c>
      <c r="P222" s="37">
        <v>3221</v>
      </c>
      <c r="Q222" s="37">
        <v>13736</v>
      </c>
      <c r="R222" s="37">
        <v>75820</v>
      </c>
      <c r="S222" s="120">
        <f t="shared" si="3"/>
        <v>0.11932080928905543</v>
      </c>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47"/>
      <c r="AZ222" s="47"/>
    </row>
    <row r="223" spans="1:52" x14ac:dyDescent="0.35">
      <c r="A223" s="38" t="s">
        <v>17</v>
      </c>
      <c r="B223" s="39">
        <v>44074</v>
      </c>
      <c r="C223" s="37">
        <v>703767</v>
      </c>
      <c r="D223" s="37">
        <v>276777</v>
      </c>
      <c r="E223" s="37">
        <v>34431</v>
      </c>
      <c r="F223" s="37">
        <v>30658</v>
      </c>
      <c r="G223" s="37">
        <v>3329</v>
      </c>
      <c r="H223" s="37">
        <v>239017</v>
      </c>
      <c r="I223" s="37">
        <v>17006</v>
      </c>
      <c r="J223" s="37">
        <v>12040</v>
      </c>
      <c r="K223" s="37">
        <v>21662</v>
      </c>
      <c r="L223" s="37">
        <v>96968</v>
      </c>
      <c r="M223" s="37">
        <v>108041</v>
      </c>
      <c r="N223" s="37">
        <v>50522</v>
      </c>
      <c r="O223" s="37">
        <v>34935</v>
      </c>
      <c r="P223" s="37">
        <v>3221</v>
      </c>
      <c r="Q223" s="37">
        <v>12417</v>
      </c>
      <c r="R223" s="37">
        <v>70179</v>
      </c>
      <c r="S223" s="120">
        <f t="shared" si="3"/>
        <v>0.12142797261025311</v>
      </c>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47"/>
      <c r="AZ223" s="47"/>
    </row>
    <row r="224" spans="1:52" x14ac:dyDescent="0.35">
      <c r="A224" s="38" t="s">
        <v>17</v>
      </c>
      <c r="B224" s="39">
        <v>44104</v>
      </c>
      <c r="C224" s="37">
        <v>711974</v>
      </c>
      <c r="D224" s="37">
        <v>278833</v>
      </c>
      <c r="E224" s="37">
        <v>32260</v>
      </c>
      <c r="F224" s="37">
        <v>28592</v>
      </c>
      <c r="G224" s="37">
        <v>3088</v>
      </c>
      <c r="H224" s="37">
        <v>243485</v>
      </c>
      <c r="I224" s="37">
        <v>17002</v>
      </c>
      <c r="J224" s="37">
        <v>12225</v>
      </c>
      <c r="K224" s="37">
        <v>21771</v>
      </c>
      <c r="L224" s="37">
        <v>90693</v>
      </c>
      <c r="M224" s="37">
        <v>114649</v>
      </c>
      <c r="N224" s="37">
        <v>50613</v>
      </c>
      <c r="O224" s="37">
        <v>35581</v>
      </c>
      <c r="P224" s="37">
        <v>7280</v>
      </c>
      <c r="Q224" s="37">
        <v>13524</v>
      </c>
      <c r="R224" s="37">
        <v>69805</v>
      </c>
      <c r="S224" s="120">
        <f t="shared" si="3"/>
        <v>0.12106340961889057</v>
      </c>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47"/>
      <c r="AZ224" s="47"/>
    </row>
    <row r="225" spans="1:52" x14ac:dyDescent="0.35">
      <c r="A225" s="38" t="s">
        <v>17</v>
      </c>
      <c r="B225" s="39">
        <v>44134</v>
      </c>
      <c r="C225" s="37">
        <v>728102</v>
      </c>
      <c r="D225" s="37">
        <v>282457</v>
      </c>
      <c r="E225" s="37">
        <v>32272</v>
      </c>
      <c r="F225" s="37">
        <v>28659</v>
      </c>
      <c r="G225" s="37">
        <v>3410</v>
      </c>
      <c r="H225" s="37">
        <v>246776</v>
      </c>
      <c r="I225" s="37">
        <v>16990</v>
      </c>
      <c r="J225" s="37">
        <v>11348</v>
      </c>
      <c r="K225" s="37">
        <v>21389</v>
      </c>
      <c r="L225" s="37">
        <v>97859</v>
      </c>
      <c r="M225" s="37">
        <v>119499</v>
      </c>
      <c r="N225" s="37">
        <v>50641</v>
      </c>
      <c r="O225" s="37">
        <v>35832</v>
      </c>
      <c r="P225" s="37">
        <v>7280</v>
      </c>
      <c r="Q225" s="37">
        <v>13462</v>
      </c>
      <c r="R225" s="37">
        <v>71344</v>
      </c>
      <c r="S225" s="120">
        <f t="shared" si="3"/>
        <v>0.11876495326204295</v>
      </c>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47"/>
      <c r="AZ225" s="47"/>
    </row>
    <row r="226" spans="1:52" x14ac:dyDescent="0.35">
      <c r="A226" s="38" t="s">
        <v>17</v>
      </c>
      <c r="B226" s="39">
        <v>44165</v>
      </c>
      <c r="C226" s="37">
        <v>754414</v>
      </c>
      <c r="D226" s="37">
        <v>283344</v>
      </c>
      <c r="E226" s="37">
        <v>31458</v>
      </c>
      <c r="F226" s="37">
        <v>27707</v>
      </c>
      <c r="G226" s="37">
        <v>2851</v>
      </c>
      <c r="H226" s="37">
        <v>249035</v>
      </c>
      <c r="I226" s="37">
        <v>17335</v>
      </c>
      <c r="J226" s="37">
        <v>11909</v>
      </c>
      <c r="K226" s="37">
        <v>20899</v>
      </c>
      <c r="L226" s="37">
        <v>107199</v>
      </c>
      <c r="M226" s="37">
        <v>117603</v>
      </c>
      <c r="N226" s="37">
        <v>50279</v>
      </c>
      <c r="O226" s="37">
        <v>35689</v>
      </c>
      <c r="P226" s="37">
        <v>7285</v>
      </c>
      <c r="Q226" s="37">
        <v>12542</v>
      </c>
      <c r="R226" s="37">
        <v>90331</v>
      </c>
      <c r="S226" s="120">
        <f t="shared" si="3"/>
        <v>0.11395334657098093</v>
      </c>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row>
    <row r="227" spans="1:52" x14ac:dyDescent="0.35">
      <c r="A227" s="38">
        <v>44196</v>
      </c>
      <c r="B227" s="39">
        <v>44196</v>
      </c>
      <c r="C227" s="37">
        <v>756029</v>
      </c>
      <c r="D227" s="37">
        <v>289804</v>
      </c>
      <c r="E227" s="37">
        <v>31537</v>
      </c>
      <c r="F227" s="37">
        <v>27472</v>
      </c>
      <c r="G227" s="37">
        <v>3401</v>
      </c>
      <c r="H227" s="37">
        <v>254866</v>
      </c>
      <c r="I227" s="37">
        <v>17036</v>
      </c>
      <c r="J227" s="37">
        <v>14120</v>
      </c>
      <c r="K227" s="37">
        <v>20705</v>
      </c>
      <c r="L227" s="37">
        <v>99517</v>
      </c>
      <c r="M227" s="37">
        <v>118509</v>
      </c>
      <c r="N227" s="37">
        <v>49291</v>
      </c>
      <c r="O227" s="37">
        <v>37195</v>
      </c>
      <c r="P227" s="37">
        <v>7289</v>
      </c>
      <c r="Q227" s="37">
        <v>12424</v>
      </c>
      <c r="R227" s="37">
        <v>90139</v>
      </c>
      <c r="S227" s="120">
        <f t="shared" si="3"/>
        <v>0.11439508272830805</v>
      </c>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47"/>
      <c r="AZ227" s="47"/>
    </row>
    <row r="228" spans="1:52" x14ac:dyDescent="0.35">
      <c r="A228" s="38">
        <v>44225</v>
      </c>
      <c r="B228" s="39">
        <v>44225</v>
      </c>
      <c r="C228" s="37">
        <v>768208</v>
      </c>
      <c r="D228" s="37">
        <v>288926</v>
      </c>
      <c r="E228" s="37">
        <v>31939</v>
      </c>
      <c r="F228" s="37">
        <v>27697</v>
      </c>
      <c r="G228" s="37">
        <v>3295</v>
      </c>
      <c r="H228" s="37">
        <v>253691</v>
      </c>
      <c r="I228" s="37">
        <v>16907</v>
      </c>
      <c r="J228" s="37">
        <v>13017</v>
      </c>
      <c r="K228" s="37">
        <v>20949</v>
      </c>
      <c r="L228" s="37">
        <v>105229</v>
      </c>
      <c r="M228" s="37">
        <v>121122</v>
      </c>
      <c r="N228" s="37">
        <v>48654</v>
      </c>
      <c r="O228" s="37">
        <v>37454</v>
      </c>
      <c r="P228" s="37">
        <v>7289</v>
      </c>
      <c r="Q228" s="37">
        <v>13397</v>
      </c>
      <c r="R228" s="37">
        <v>95264</v>
      </c>
      <c r="S228" s="120">
        <f t="shared" si="3"/>
        <v>0.11208943411159478</v>
      </c>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47"/>
      <c r="AZ228" s="47"/>
    </row>
    <row r="229" spans="1:52" x14ac:dyDescent="0.35">
      <c r="A229" s="38" t="s">
        <v>17</v>
      </c>
      <c r="B229" s="39">
        <v>44253</v>
      </c>
      <c r="C229" s="37">
        <v>770876</v>
      </c>
      <c r="D229" s="37">
        <v>287525</v>
      </c>
      <c r="E229" s="37">
        <v>30602</v>
      </c>
      <c r="F229" s="37">
        <v>26219</v>
      </c>
      <c r="G229" s="37">
        <v>2682</v>
      </c>
      <c r="H229" s="37">
        <v>254241</v>
      </c>
      <c r="I229" s="37">
        <v>16715</v>
      </c>
      <c r="J229" s="37">
        <v>12665</v>
      </c>
      <c r="K229" s="37">
        <v>20807</v>
      </c>
      <c r="L229" s="37">
        <v>102834</v>
      </c>
      <c r="M229" s="37">
        <v>127890</v>
      </c>
      <c r="N229" s="37">
        <v>47945</v>
      </c>
      <c r="O229" s="37">
        <v>37617</v>
      </c>
      <c r="P229" s="37">
        <v>7289</v>
      </c>
      <c r="Q229" s="37">
        <v>12843</v>
      </c>
      <c r="R229" s="37">
        <v>96746</v>
      </c>
      <c r="S229" s="120">
        <f t="shared" si="3"/>
        <v>0.11099320772731282</v>
      </c>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c r="AW229" s="47"/>
      <c r="AX229" s="47"/>
      <c r="AY229" s="47"/>
      <c r="AZ229" s="47"/>
    </row>
    <row r="230" spans="1:52" x14ac:dyDescent="0.35">
      <c r="A230" s="38" t="s">
        <v>17</v>
      </c>
      <c r="B230" s="39">
        <v>44286</v>
      </c>
      <c r="C230" s="37">
        <v>780058</v>
      </c>
      <c r="D230" s="37">
        <v>294538</v>
      </c>
      <c r="E230" s="37">
        <v>31557</v>
      </c>
      <c r="F230" s="37">
        <v>27062</v>
      </c>
      <c r="G230" s="37">
        <v>2926</v>
      </c>
      <c r="H230" s="37">
        <v>260055</v>
      </c>
      <c r="I230" s="37">
        <v>16211</v>
      </c>
      <c r="J230" s="37">
        <v>12732</v>
      </c>
      <c r="K230" s="37">
        <v>19693</v>
      </c>
      <c r="L230" s="37">
        <v>93833</v>
      </c>
      <c r="M230" s="37">
        <v>127126</v>
      </c>
      <c r="N230" s="37">
        <v>48259</v>
      </c>
      <c r="O230" s="37">
        <v>38124</v>
      </c>
      <c r="P230" s="37">
        <v>18096</v>
      </c>
      <c r="Q230" s="37">
        <v>13236</v>
      </c>
      <c r="R230" s="37">
        <v>98209</v>
      </c>
      <c r="S230" s="120">
        <f t="shared" si="3"/>
        <v>0.11073920144399518</v>
      </c>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47"/>
      <c r="AZ230" s="47"/>
    </row>
    <row r="231" spans="1:52" x14ac:dyDescent="0.35">
      <c r="A231" s="38" t="s">
        <v>17</v>
      </c>
      <c r="B231" s="39">
        <v>44316</v>
      </c>
      <c r="C231" s="37">
        <v>791450</v>
      </c>
      <c r="D231" s="37">
        <v>300151</v>
      </c>
      <c r="E231" s="37">
        <v>32623</v>
      </c>
      <c r="F231" s="37">
        <v>27335</v>
      </c>
      <c r="G231" s="37">
        <v>3369</v>
      </c>
      <c r="H231" s="37">
        <v>264159</v>
      </c>
      <c r="I231" s="37">
        <v>16087</v>
      </c>
      <c r="J231" s="37">
        <v>13056</v>
      </c>
      <c r="K231" s="37">
        <v>20309</v>
      </c>
      <c r="L231" s="37">
        <v>101634</v>
      </c>
      <c r="M231" s="37">
        <v>123808</v>
      </c>
      <c r="N231" s="37">
        <v>47393</v>
      </c>
      <c r="O231" s="37">
        <v>37775</v>
      </c>
      <c r="P231" s="37">
        <v>18492</v>
      </c>
      <c r="Q231" s="37">
        <v>12198</v>
      </c>
      <c r="R231" s="37">
        <v>100547</v>
      </c>
      <c r="S231" s="120">
        <f t="shared" si="3"/>
        <v>0.10761008275949208</v>
      </c>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47"/>
      <c r="AZ231" s="47"/>
    </row>
    <row r="232" spans="1:52" x14ac:dyDescent="0.35">
      <c r="A232" s="38" t="s">
        <v>17</v>
      </c>
      <c r="B232" s="39">
        <v>44347</v>
      </c>
      <c r="C232" s="37">
        <v>769312</v>
      </c>
      <c r="D232" s="37">
        <v>297687</v>
      </c>
      <c r="E232" s="37">
        <v>31929</v>
      </c>
      <c r="F232" s="37">
        <v>27374</v>
      </c>
      <c r="G232" s="37">
        <v>2772</v>
      </c>
      <c r="H232" s="37">
        <v>262986</v>
      </c>
      <c r="I232" s="37">
        <v>16083</v>
      </c>
      <c r="J232" s="37">
        <v>11696</v>
      </c>
      <c r="K232" s="37">
        <v>19978</v>
      </c>
      <c r="L232" s="37">
        <v>101633</v>
      </c>
      <c r="M232" s="37">
        <v>113519</v>
      </c>
      <c r="N232" s="37">
        <v>47351</v>
      </c>
      <c r="O232" s="37">
        <v>37581</v>
      </c>
      <c r="P232" s="37">
        <v>18573</v>
      </c>
      <c r="Q232" s="37">
        <v>11707</v>
      </c>
      <c r="R232" s="37">
        <v>93505</v>
      </c>
      <c r="S232" s="120">
        <f t="shared" si="3"/>
        <v>0.11039994176614949</v>
      </c>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row>
    <row r="233" spans="1:52" x14ac:dyDescent="0.35">
      <c r="A233" s="38" t="s">
        <v>17</v>
      </c>
      <c r="B233" s="39">
        <v>44377</v>
      </c>
      <c r="C233" s="37">
        <v>782083</v>
      </c>
      <c r="D233" s="37">
        <v>302942</v>
      </c>
      <c r="E233" s="37">
        <v>33740</v>
      </c>
      <c r="F233" s="37">
        <v>27451</v>
      </c>
      <c r="G233" s="37">
        <v>2796</v>
      </c>
      <c r="H233" s="37">
        <v>266407</v>
      </c>
      <c r="I233" s="37">
        <v>16079</v>
      </c>
      <c r="J233" s="37">
        <v>11109</v>
      </c>
      <c r="K233" s="37">
        <v>19466</v>
      </c>
      <c r="L233" s="37">
        <v>100381</v>
      </c>
      <c r="M233" s="37">
        <v>121466</v>
      </c>
      <c r="N233" s="37">
        <v>47493</v>
      </c>
      <c r="O233" s="37">
        <v>37869</v>
      </c>
      <c r="P233" s="37">
        <v>24441</v>
      </c>
      <c r="Q233" s="37">
        <v>11774</v>
      </c>
      <c r="R233" s="37">
        <v>89062</v>
      </c>
      <c r="S233" s="120">
        <f t="shared" si="3"/>
        <v>0.10914698312071737</v>
      </c>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47"/>
      <c r="AZ233" s="47"/>
    </row>
    <row r="234" spans="1:52" x14ac:dyDescent="0.35">
      <c r="A234" s="38" t="s">
        <v>17</v>
      </c>
      <c r="B234" s="39">
        <v>44407</v>
      </c>
      <c r="C234" s="37">
        <v>794820</v>
      </c>
      <c r="D234" s="37">
        <v>306525</v>
      </c>
      <c r="E234" s="37">
        <v>32957</v>
      </c>
      <c r="F234" s="37">
        <v>27901</v>
      </c>
      <c r="G234" s="37">
        <v>3301</v>
      </c>
      <c r="H234" s="37">
        <v>270268</v>
      </c>
      <c r="I234" s="37">
        <v>16075</v>
      </c>
      <c r="J234" s="37">
        <v>10862</v>
      </c>
      <c r="K234" s="37">
        <v>19563</v>
      </c>
      <c r="L234" s="37">
        <v>110311</v>
      </c>
      <c r="M234" s="37">
        <v>116444</v>
      </c>
      <c r="N234" s="37">
        <v>48336</v>
      </c>
      <c r="O234" s="37">
        <v>37961</v>
      </c>
      <c r="P234" s="37">
        <v>24383</v>
      </c>
      <c r="Q234" s="37">
        <v>12278</v>
      </c>
      <c r="R234" s="37">
        <v>92082</v>
      </c>
      <c r="S234" s="120">
        <f t="shared" si="3"/>
        <v>0.10857426838781108</v>
      </c>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47"/>
      <c r="AZ234" s="47"/>
    </row>
    <row r="235" spans="1:52" x14ac:dyDescent="0.35">
      <c r="A235" s="38" t="s">
        <v>17</v>
      </c>
      <c r="B235" s="39">
        <v>44439</v>
      </c>
      <c r="C235" s="37">
        <v>791253</v>
      </c>
      <c r="D235" s="37">
        <v>304908</v>
      </c>
      <c r="E235" s="37">
        <v>33084</v>
      </c>
      <c r="F235" s="37">
        <v>28308</v>
      </c>
      <c r="G235" s="37">
        <v>2765</v>
      </c>
      <c r="H235" s="37">
        <v>269059</v>
      </c>
      <c r="I235" s="37">
        <v>16071</v>
      </c>
      <c r="J235" s="37">
        <v>10860</v>
      </c>
      <c r="K235" s="37">
        <v>19019</v>
      </c>
      <c r="L235" s="37">
        <v>113397</v>
      </c>
      <c r="M235" s="37">
        <v>118417</v>
      </c>
      <c r="N235" s="37">
        <v>48671</v>
      </c>
      <c r="O235" s="37">
        <v>37873</v>
      </c>
      <c r="P235" s="37">
        <v>24345</v>
      </c>
      <c r="Q235" s="37">
        <v>10950</v>
      </c>
      <c r="R235" s="37">
        <v>86742</v>
      </c>
      <c r="S235" s="120">
        <f t="shared" si="3"/>
        <v>0.10937588862222324</v>
      </c>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47"/>
      <c r="AZ235" s="47"/>
    </row>
    <row r="236" spans="1:52" x14ac:dyDescent="0.35">
      <c r="A236" s="38" t="s">
        <v>17</v>
      </c>
      <c r="B236" s="39">
        <v>44469</v>
      </c>
      <c r="C236" s="37">
        <v>793661</v>
      </c>
      <c r="D236" s="37">
        <v>308094</v>
      </c>
      <c r="E236" s="37">
        <v>33975</v>
      </c>
      <c r="F236" s="37">
        <v>28996</v>
      </c>
      <c r="G236" s="37">
        <v>2774</v>
      </c>
      <c r="H236" s="37">
        <v>271345</v>
      </c>
      <c r="I236" s="37">
        <v>15417</v>
      </c>
      <c r="J236" s="37">
        <v>10709</v>
      </c>
      <c r="K236" s="37">
        <v>19502</v>
      </c>
      <c r="L236" s="37">
        <v>101667</v>
      </c>
      <c r="M236" s="37">
        <v>119197</v>
      </c>
      <c r="N236" s="37">
        <v>48514</v>
      </c>
      <c r="O236" s="37">
        <v>38812</v>
      </c>
      <c r="P236" s="37">
        <v>24559</v>
      </c>
      <c r="Q236" s="37">
        <v>11638</v>
      </c>
      <c r="R236" s="37">
        <v>95549</v>
      </c>
      <c r="S236" s="120">
        <f t="shared" si="3"/>
        <v>0.11002934502262302</v>
      </c>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47"/>
      <c r="AZ236" s="47"/>
    </row>
    <row r="237" spans="1:52" x14ac:dyDescent="0.35">
      <c r="A237" s="38" t="s">
        <v>17</v>
      </c>
      <c r="B237" s="39">
        <v>44498</v>
      </c>
      <c r="C237" s="37">
        <v>800009</v>
      </c>
      <c r="D237" s="37">
        <v>310436</v>
      </c>
      <c r="E237" s="37">
        <v>34180</v>
      </c>
      <c r="F237" s="37">
        <v>28820</v>
      </c>
      <c r="G237" s="37">
        <v>2717</v>
      </c>
      <c r="H237" s="37">
        <v>273539</v>
      </c>
      <c r="I237" s="37">
        <v>14916</v>
      </c>
      <c r="J237" s="37">
        <v>10657</v>
      </c>
      <c r="K237" s="37">
        <v>20034</v>
      </c>
      <c r="L237" s="37">
        <v>104589</v>
      </c>
      <c r="M237" s="37">
        <v>119010</v>
      </c>
      <c r="N237" s="37">
        <v>48071</v>
      </c>
      <c r="O237" s="37">
        <v>38615</v>
      </c>
      <c r="P237" s="37">
        <v>24535</v>
      </c>
      <c r="Q237" s="37">
        <v>11920</v>
      </c>
      <c r="R237" s="37">
        <v>97225</v>
      </c>
      <c r="S237" s="120">
        <f t="shared" si="3"/>
        <v>0.10835628099183885</v>
      </c>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47"/>
      <c r="AZ237" s="47"/>
    </row>
    <row r="238" spans="1:52" x14ac:dyDescent="0.35">
      <c r="A238" s="38" t="s">
        <v>17</v>
      </c>
      <c r="B238" s="39">
        <v>44530</v>
      </c>
      <c r="C238" s="37">
        <v>812980</v>
      </c>
      <c r="D238" s="37">
        <v>312649</v>
      </c>
      <c r="E238" s="37">
        <v>34295</v>
      </c>
      <c r="F238" s="37">
        <v>29058</v>
      </c>
      <c r="G238" s="37">
        <v>3150</v>
      </c>
      <c r="H238" s="37">
        <v>275204</v>
      </c>
      <c r="I238" s="37">
        <v>14912</v>
      </c>
      <c r="J238" s="37">
        <v>9890</v>
      </c>
      <c r="K238" s="37">
        <v>19894</v>
      </c>
      <c r="L238" s="37">
        <v>104575</v>
      </c>
      <c r="M238" s="37">
        <v>109428</v>
      </c>
      <c r="N238" s="37">
        <v>49316</v>
      </c>
      <c r="O238" s="37">
        <v>36694</v>
      </c>
      <c r="P238" s="37">
        <v>24348</v>
      </c>
      <c r="Q238" s="37">
        <v>13213</v>
      </c>
      <c r="R238" s="37">
        <v>118063</v>
      </c>
      <c r="S238" s="120">
        <f t="shared" si="3"/>
        <v>0.1057959605402347</v>
      </c>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47"/>
      <c r="AZ238" s="47"/>
    </row>
    <row r="239" spans="1:52" x14ac:dyDescent="0.35">
      <c r="A239" s="38">
        <v>44561</v>
      </c>
      <c r="B239" s="39">
        <v>44561</v>
      </c>
      <c r="C239" s="37">
        <v>764057</v>
      </c>
      <c r="D239" s="37">
        <v>322688</v>
      </c>
      <c r="E239" s="37">
        <v>33448</v>
      </c>
      <c r="F239" s="37">
        <v>28702</v>
      </c>
      <c r="G239" s="37">
        <v>2920</v>
      </c>
      <c r="H239" s="37">
        <v>286320</v>
      </c>
      <c r="I239" s="37">
        <v>14950</v>
      </c>
      <c r="J239" s="37">
        <v>10112</v>
      </c>
      <c r="K239" s="37">
        <v>20282</v>
      </c>
      <c r="L239" s="37">
        <v>103549</v>
      </c>
      <c r="M239" s="37">
        <v>101922</v>
      </c>
      <c r="N239" s="37">
        <v>49180</v>
      </c>
      <c r="O239" s="37">
        <v>36818</v>
      </c>
      <c r="P239" s="37">
        <v>21333</v>
      </c>
      <c r="Q239" s="37">
        <v>11339</v>
      </c>
      <c r="R239" s="37">
        <v>71885</v>
      </c>
      <c r="S239" s="120">
        <f t="shared" si="3"/>
        <v>0.11255442983965856</v>
      </c>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47"/>
      <c r="AZ239" s="47"/>
    </row>
    <row r="240" spans="1:52" x14ac:dyDescent="0.35">
      <c r="A240" s="38">
        <v>44592</v>
      </c>
      <c r="B240" s="39">
        <v>44592</v>
      </c>
      <c r="C240" s="37">
        <v>815926</v>
      </c>
      <c r="D240" s="37">
        <v>336823</v>
      </c>
      <c r="E240" s="37">
        <v>33681</v>
      </c>
      <c r="F240" s="37">
        <v>28712</v>
      </c>
      <c r="G240" s="37">
        <v>2606</v>
      </c>
      <c r="H240" s="37">
        <v>300537</v>
      </c>
      <c r="I240" s="37">
        <v>14938</v>
      </c>
      <c r="J240" s="37">
        <v>9285</v>
      </c>
      <c r="K240" s="37">
        <v>20683</v>
      </c>
      <c r="L240" s="37">
        <v>108658</v>
      </c>
      <c r="M240" s="37">
        <v>106915</v>
      </c>
      <c r="N240" s="37">
        <v>49649</v>
      </c>
      <c r="O240" s="37">
        <v>37171</v>
      </c>
      <c r="P240" s="37">
        <v>21048</v>
      </c>
      <c r="Q240" s="37">
        <v>12912</v>
      </c>
      <c r="R240" s="37">
        <v>97843</v>
      </c>
      <c r="S240" s="120">
        <f t="shared" si="3"/>
        <v>0.10640670845150173</v>
      </c>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47"/>
      <c r="AZ240" s="47"/>
    </row>
    <row r="241" spans="1:52" x14ac:dyDescent="0.35">
      <c r="A241" s="38" t="s">
        <v>17</v>
      </c>
      <c r="B241" s="39">
        <v>44620</v>
      </c>
      <c r="C241" s="37">
        <v>820505</v>
      </c>
      <c r="D241" s="37">
        <v>336335</v>
      </c>
      <c r="E241" s="37">
        <v>34795</v>
      </c>
      <c r="F241" s="37">
        <v>29998</v>
      </c>
      <c r="G241" s="37">
        <v>2687</v>
      </c>
      <c r="H241" s="37">
        <v>298853</v>
      </c>
      <c r="I241" s="37">
        <v>14184</v>
      </c>
      <c r="J241" s="37">
        <v>9262</v>
      </c>
      <c r="K241" s="37">
        <v>19707</v>
      </c>
      <c r="L241" s="37">
        <v>108471</v>
      </c>
      <c r="M241" s="37">
        <v>111147</v>
      </c>
      <c r="N241" s="37">
        <v>48950</v>
      </c>
      <c r="O241" s="37">
        <v>36987</v>
      </c>
      <c r="P241" s="37">
        <v>21273</v>
      </c>
      <c r="Q241" s="37">
        <v>13787</v>
      </c>
      <c r="R241" s="37">
        <v>100404</v>
      </c>
      <c r="S241" s="120">
        <f t="shared" si="3"/>
        <v>0.10473671702183411</v>
      </c>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47"/>
      <c r="AZ241" s="47"/>
    </row>
    <row r="242" spans="1:52" x14ac:dyDescent="0.35">
      <c r="A242" s="50" t="s">
        <v>17</v>
      </c>
      <c r="B242" s="51">
        <v>44651</v>
      </c>
      <c r="C242" s="47">
        <v>829550</v>
      </c>
      <c r="D242" s="47">
        <v>336627</v>
      </c>
      <c r="E242" s="47">
        <v>34429</v>
      </c>
      <c r="F242" s="47">
        <v>29320</v>
      </c>
      <c r="G242" s="47">
        <v>3043</v>
      </c>
      <c r="H242" s="47">
        <v>299155</v>
      </c>
      <c r="I242" s="47">
        <v>14146</v>
      </c>
      <c r="J242" s="47">
        <v>9182</v>
      </c>
      <c r="K242" s="47">
        <v>19672</v>
      </c>
      <c r="L242" s="47">
        <v>107448</v>
      </c>
      <c r="M242" s="47">
        <v>113598</v>
      </c>
      <c r="N242" s="47">
        <v>48561</v>
      </c>
      <c r="O242" s="47">
        <v>38544</v>
      </c>
      <c r="P242" s="47">
        <v>21360</v>
      </c>
      <c r="Q242" s="47">
        <v>13180</v>
      </c>
      <c r="R242" s="47">
        <v>107232</v>
      </c>
      <c r="S242" s="120">
        <f t="shared" si="3"/>
        <v>0.10500271231390514</v>
      </c>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47"/>
      <c r="AZ242" s="47"/>
    </row>
    <row r="243" spans="1:52" x14ac:dyDescent="0.35">
      <c r="A243" s="50" t="s">
        <v>17</v>
      </c>
      <c r="B243" s="51">
        <v>44680</v>
      </c>
      <c r="C243" s="47">
        <v>875198</v>
      </c>
      <c r="D243" s="47">
        <v>342691</v>
      </c>
      <c r="E243" s="47">
        <v>35018</v>
      </c>
      <c r="F243" s="47">
        <v>29954</v>
      </c>
      <c r="G243" s="47">
        <v>3047</v>
      </c>
      <c r="H243" s="47">
        <v>304626</v>
      </c>
      <c r="I243" s="47">
        <v>14141</v>
      </c>
      <c r="J243" s="47">
        <v>9192</v>
      </c>
      <c r="K243" s="47">
        <v>20634</v>
      </c>
      <c r="L243" s="47">
        <v>115203</v>
      </c>
      <c r="M243" s="47">
        <v>119819</v>
      </c>
      <c r="N243" s="47">
        <v>50167</v>
      </c>
      <c r="O243" s="47">
        <v>39123</v>
      </c>
      <c r="P243" s="47">
        <v>21358</v>
      </c>
      <c r="Q243" s="47">
        <v>13105</v>
      </c>
      <c r="R243" s="47">
        <v>129766</v>
      </c>
      <c r="S243" s="120">
        <f t="shared" si="3"/>
        <v>0.10202262802245891</v>
      </c>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47"/>
      <c r="AZ243" s="47"/>
    </row>
    <row r="244" spans="1:52" x14ac:dyDescent="0.35">
      <c r="A244" s="50" t="s">
        <v>17</v>
      </c>
      <c r="B244" s="51">
        <v>44712</v>
      </c>
      <c r="C244" s="47">
        <v>863498</v>
      </c>
      <c r="D244" s="47">
        <v>340191</v>
      </c>
      <c r="E244" s="47">
        <v>34559</v>
      </c>
      <c r="F244" s="47">
        <v>29262</v>
      </c>
      <c r="G244" s="47">
        <v>3327</v>
      </c>
      <c r="H244" s="47">
        <v>302305</v>
      </c>
      <c r="I244" s="47">
        <v>13985</v>
      </c>
      <c r="J244" s="47">
        <v>8249</v>
      </c>
      <c r="K244" s="47">
        <v>19643</v>
      </c>
      <c r="L244" s="47">
        <v>113105</v>
      </c>
      <c r="M244" s="47">
        <v>111156</v>
      </c>
      <c r="N244" s="47">
        <v>50080</v>
      </c>
      <c r="O244" s="47">
        <v>39135</v>
      </c>
      <c r="P244" s="47">
        <v>21348</v>
      </c>
      <c r="Q244" s="47">
        <v>13292</v>
      </c>
      <c r="R244" s="47">
        <v>133313</v>
      </c>
      <c r="S244" s="120">
        <f t="shared" si="3"/>
        <v>0.10331813159960995</v>
      </c>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47"/>
      <c r="AZ244" s="47"/>
    </row>
    <row r="245" spans="1:52" x14ac:dyDescent="0.35">
      <c r="A245" s="50" t="s">
        <v>17</v>
      </c>
      <c r="B245" s="51">
        <v>44742</v>
      </c>
      <c r="C245" s="47">
        <v>842634</v>
      </c>
      <c r="D245" s="47">
        <v>345790</v>
      </c>
      <c r="E245" s="47">
        <v>36826</v>
      </c>
      <c r="F245" s="47">
        <v>31937</v>
      </c>
      <c r="G245" s="47">
        <v>2920</v>
      </c>
      <c r="H245" s="47">
        <v>306043</v>
      </c>
      <c r="I245" s="47">
        <v>14013</v>
      </c>
      <c r="J245" s="47">
        <v>8477</v>
      </c>
      <c r="K245" s="47">
        <v>19046</v>
      </c>
      <c r="L245" s="47">
        <v>122964</v>
      </c>
      <c r="M245" s="47">
        <v>107481</v>
      </c>
      <c r="N245" s="47">
        <v>49170</v>
      </c>
      <c r="O245" s="47">
        <v>38844</v>
      </c>
      <c r="P245" s="47">
        <v>21389</v>
      </c>
      <c r="Q245" s="47">
        <v>15057</v>
      </c>
      <c r="R245" s="47">
        <v>100403</v>
      </c>
      <c r="S245" s="120">
        <f t="shared" si="3"/>
        <v>0.10445104280150101</v>
      </c>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47"/>
      <c r="AZ245" s="47"/>
    </row>
    <row r="246" spans="1:52" x14ac:dyDescent="0.35">
      <c r="A246" s="50" t="s">
        <v>17</v>
      </c>
      <c r="B246" s="51">
        <v>44771</v>
      </c>
      <c r="C246" s="47">
        <v>878885</v>
      </c>
      <c r="D246" s="47">
        <v>351954</v>
      </c>
      <c r="E246" s="47">
        <v>39687</v>
      </c>
      <c r="F246" s="47">
        <v>33501</v>
      </c>
      <c r="G246" s="47">
        <v>2918</v>
      </c>
      <c r="H246" s="47">
        <v>309349</v>
      </c>
      <c r="I246" s="47">
        <v>13477</v>
      </c>
      <c r="J246" s="47">
        <v>8724</v>
      </c>
      <c r="K246" s="47">
        <v>18509</v>
      </c>
      <c r="L246" s="47">
        <v>144979</v>
      </c>
      <c r="M246" s="47">
        <v>118496</v>
      </c>
      <c r="N246" s="47">
        <v>50696</v>
      </c>
      <c r="O246" s="47">
        <v>39041</v>
      </c>
      <c r="P246" s="47">
        <v>21200</v>
      </c>
      <c r="Q246" s="47">
        <v>15097</v>
      </c>
      <c r="R246" s="47">
        <v>96714</v>
      </c>
      <c r="S246" s="120">
        <f t="shared" si="3"/>
        <v>0.1021032330737241</v>
      </c>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row>
    <row r="247" spans="1:52" x14ac:dyDescent="0.35">
      <c r="A247" s="50" t="s">
        <v>17</v>
      </c>
      <c r="B247" s="51">
        <v>44804</v>
      </c>
      <c r="C247" s="47">
        <v>899761</v>
      </c>
      <c r="D247" s="47">
        <v>351601</v>
      </c>
      <c r="E247" s="47">
        <v>38347</v>
      </c>
      <c r="F247" s="47">
        <v>33530</v>
      </c>
      <c r="G247" s="47">
        <v>2986</v>
      </c>
      <c r="H247" s="47">
        <v>310268</v>
      </c>
      <c r="I247" s="47">
        <v>13505</v>
      </c>
      <c r="J247" s="47">
        <v>8579</v>
      </c>
      <c r="K247" s="47">
        <v>18376</v>
      </c>
      <c r="L247" s="47">
        <v>148479</v>
      </c>
      <c r="M247" s="47">
        <v>119327</v>
      </c>
      <c r="N247" s="47">
        <v>50697</v>
      </c>
      <c r="O247" s="47">
        <v>38792</v>
      </c>
      <c r="P247" s="47">
        <v>23467</v>
      </c>
      <c r="Q247" s="47">
        <v>15882</v>
      </c>
      <c r="R247" s="47">
        <v>111054</v>
      </c>
      <c r="S247" s="120">
        <f t="shared" si="3"/>
        <v>9.9458634015032882E-2</v>
      </c>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47"/>
      <c r="AZ247" s="47"/>
    </row>
    <row r="248" spans="1:52" x14ac:dyDescent="0.35">
      <c r="A248" s="50" t="s">
        <v>17</v>
      </c>
      <c r="B248" s="51">
        <v>44834</v>
      </c>
      <c r="C248" s="47">
        <v>928309</v>
      </c>
      <c r="D248" s="47">
        <v>352594</v>
      </c>
      <c r="E248" s="47">
        <v>39580</v>
      </c>
      <c r="F248" s="47">
        <v>34281</v>
      </c>
      <c r="G248" s="47">
        <v>2894</v>
      </c>
      <c r="H248" s="47">
        <v>310120</v>
      </c>
      <c r="I248" s="47">
        <v>13500</v>
      </c>
      <c r="J248" s="47">
        <v>8460</v>
      </c>
      <c r="K248" s="47">
        <v>19281</v>
      </c>
      <c r="L248" s="47">
        <v>149416</v>
      </c>
      <c r="M248" s="47">
        <v>120691</v>
      </c>
      <c r="N248" s="47">
        <v>51265</v>
      </c>
      <c r="O248" s="47">
        <v>38594</v>
      </c>
      <c r="P248" s="47">
        <v>23718</v>
      </c>
      <c r="Q248" s="47">
        <v>14942</v>
      </c>
      <c r="R248" s="47">
        <v>135847</v>
      </c>
      <c r="S248" s="120">
        <f t="shared" si="3"/>
        <v>9.6798587539278405E-2</v>
      </c>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47"/>
      <c r="AZ248" s="47"/>
    </row>
    <row r="249" spans="1:52" x14ac:dyDescent="0.35">
      <c r="A249" s="50" t="s">
        <v>17</v>
      </c>
      <c r="B249" s="51">
        <v>44862</v>
      </c>
      <c r="C249" s="47">
        <v>927754</v>
      </c>
      <c r="D249" s="47">
        <v>359431</v>
      </c>
      <c r="E249" s="47">
        <v>40716</v>
      </c>
      <c r="F249" s="47">
        <v>35575</v>
      </c>
      <c r="G249" s="47">
        <v>3016</v>
      </c>
      <c r="H249" s="47">
        <v>315699</v>
      </c>
      <c r="I249" s="47">
        <v>13500</v>
      </c>
      <c r="J249" s="47">
        <v>9004</v>
      </c>
      <c r="K249" s="47">
        <v>19732</v>
      </c>
      <c r="L249" s="47">
        <v>154501</v>
      </c>
      <c r="M249" s="47">
        <v>119313</v>
      </c>
      <c r="N249" s="47">
        <v>50935</v>
      </c>
      <c r="O249" s="47">
        <v>38784</v>
      </c>
      <c r="P249" s="47">
        <v>23342</v>
      </c>
      <c r="Q249" s="47">
        <v>16778</v>
      </c>
      <c r="R249" s="47">
        <v>122435</v>
      </c>
      <c r="S249" s="120">
        <f t="shared" si="3"/>
        <v>9.670559221517773E-2</v>
      </c>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47"/>
      <c r="AZ249" s="47"/>
    </row>
    <row r="250" spans="1:52" x14ac:dyDescent="0.35">
      <c r="A250" s="50" t="s">
        <v>17</v>
      </c>
      <c r="B250" s="51">
        <v>44895</v>
      </c>
      <c r="C250" s="47">
        <v>905692</v>
      </c>
      <c r="D250" s="47">
        <v>360552</v>
      </c>
      <c r="E250" s="47">
        <v>42425</v>
      </c>
      <c r="F250" s="47">
        <v>37499</v>
      </c>
      <c r="G250" s="47">
        <v>4482</v>
      </c>
      <c r="H250" s="47">
        <v>313645</v>
      </c>
      <c r="I250" s="47">
        <v>13496</v>
      </c>
      <c r="J250" s="47">
        <v>8978</v>
      </c>
      <c r="K250" s="47">
        <v>20126</v>
      </c>
      <c r="L250" s="47">
        <v>159322</v>
      </c>
      <c r="M250" s="47">
        <v>110119</v>
      </c>
      <c r="N250" s="47">
        <v>51510</v>
      </c>
      <c r="O250" s="47">
        <v>38141</v>
      </c>
      <c r="P250" s="47">
        <v>10814</v>
      </c>
      <c r="Q250" s="47">
        <v>16297</v>
      </c>
      <c r="R250" s="47">
        <v>116337</v>
      </c>
      <c r="S250" s="120">
        <f t="shared" si="3"/>
        <v>9.8986189565547666E-2</v>
      </c>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47"/>
      <c r="AZ250" s="47"/>
    </row>
    <row r="251" spans="1:52" x14ac:dyDescent="0.35">
      <c r="A251" s="50">
        <v>44925</v>
      </c>
      <c r="B251" s="51">
        <v>44925</v>
      </c>
      <c r="C251" s="47">
        <v>867516</v>
      </c>
      <c r="D251" s="47">
        <v>353015</v>
      </c>
      <c r="E251" s="47">
        <v>42560</v>
      </c>
      <c r="F251" s="47">
        <v>37271</v>
      </c>
      <c r="G251" s="47">
        <v>3324</v>
      </c>
      <c r="H251" s="47">
        <v>307131</v>
      </c>
      <c r="I251" s="47">
        <v>19162</v>
      </c>
      <c r="J251" s="47">
        <v>8948</v>
      </c>
      <c r="K251" s="47">
        <v>21296</v>
      </c>
      <c r="L251" s="47">
        <v>142764</v>
      </c>
      <c r="M251" s="47">
        <v>109622</v>
      </c>
      <c r="N251" s="47">
        <v>51877</v>
      </c>
      <c r="O251" s="47">
        <v>37473</v>
      </c>
      <c r="P251" s="47" t="s">
        <v>38</v>
      </c>
      <c r="Q251" s="47">
        <v>18940</v>
      </c>
      <c r="R251" s="47">
        <v>104109</v>
      </c>
      <c r="S251" s="120">
        <f t="shared" si="3"/>
        <v>0.10299521853199249</v>
      </c>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47"/>
      <c r="AZ251" s="47"/>
    </row>
    <row r="252" spans="1:52" x14ac:dyDescent="0.35">
      <c r="A252" s="50">
        <v>44957</v>
      </c>
      <c r="B252" s="51">
        <v>44957</v>
      </c>
      <c r="C252" s="47">
        <v>871337</v>
      </c>
      <c r="D252" s="47">
        <v>348031</v>
      </c>
      <c r="E252" s="47">
        <v>42950</v>
      </c>
      <c r="F252" s="47">
        <v>38231</v>
      </c>
      <c r="G252" s="47">
        <v>3383</v>
      </c>
      <c r="H252" s="47">
        <v>301697</v>
      </c>
      <c r="I252" s="47">
        <v>19884</v>
      </c>
      <c r="J252" s="47">
        <v>8828</v>
      </c>
      <c r="K252" s="47">
        <v>21926</v>
      </c>
      <c r="L252" s="47">
        <v>144146</v>
      </c>
      <c r="M252" s="47">
        <v>110384</v>
      </c>
      <c r="N252" s="47">
        <v>51756</v>
      </c>
      <c r="O252" s="47">
        <v>37449</v>
      </c>
      <c r="P252" s="47" t="s">
        <v>38</v>
      </c>
      <c r="Q252" s="47">
        <v>19602</v>
      </c>
      <c r="R252" s="47">
        <v>108972</v>
      </c>
      <c r="S252" s="120">
        <f t="shared" si="3"/>
        <v>0.10237715143509342</v>
      </c>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47"/>
      <c r="AZ252" s="47"/>
    </row>
    <row r="253" spans="1:52" x14ac:dyDescent="0.35">
      <c r="A253" s="50" t="s">
        <v>17</v>
      </c>
      <c r="B253" s="51">
        <v>44985</v>
      </c>
      <c r="C253" s="47">
        <v>880187</v>
      </c>
      <c r="D253" s="47">
        <v>350872</v>
      </c>
      <c r="E253" s="47">
        <v>44360</v>
      </c>
      <c r="F253" s="47">
        <v>39648</v>
      </c>
      <c r="G253" s="47">
        <v>4766</v>
      </c>
      <c r="H253" s="47">
        <v>301746</v>
      </c>
      <c r="I253" s="47">
        <v>18917</v>
      </c>
      <c r="J253" s="47">
        <v>8331</v>
      </c>
      <c r="K253" s="47">
        <v>22010</v>
      </c>
      <c r="L253" s="47">
        <v>143581</v>
      </c>
      <c r="M253" s="47">
        <v>112992</v>
      </c>
      <c r="N253" s="47">
        <v>51487</v>
      </c>
      <c r="O253" s="47">
        <v>38177</v>
      </c>
      <c r="P253" s="47" t="s">
        <v>38</v>
      </c>
      <c r="Q253" s="47">
        <v>18923</v>
      </c>
      <c r="R253" s="47">
        <v>114677</v>
      </c>
      <c r="S253" s="120">
        <f t="shared" si="3"/>
        <v>0.10186926187276113</v>
      </c>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row>
    <row r="254" spans="1:52" x14ac:dyDescent="0.35">
      <c r="A254" s="50" t="s">
        <v>17</v>
      </c>
      <c r="B254" s="51">
        <v>45016</v>
      </c>
      <c r="C254" s="47">
        <v>863371</v>
      </c>
      <c r="D254" s="47">
        <v>344674</v>
      </c>
      <c r="E254" s="47">
        <v>44318</v>
      </c>
      <c r="F254" s="47">
        <v>39666</v>
      </c>
      <c r="G254" s="47">
        <v>2961</v>
      </c>
      <c r="H254" s="47">
        <v>297395</v>
      </c>
      <c r="I254" s="47">
        <v>18868</v>
      </c>
      <c r="J254" s="47">
        <v>8428</v>
      </c>
      <c r="K254" s="47">
        <v>21702</v>
      </c>
      <c r="L254" s="47">
        <v>146344</v>
      </c>
      <c r="M254" s="47">
        <v>109471</v>
      </c>
      <c r="N254" s="47">
        <v>52969</v>
      </c>
      <c r="O254" s="47">
        <v>37872</v>
      </c>
      <c r="P254" s="47" t="s">
        <v>38</v>
      </c>
      <c r="Q254" s="47">
        <v>18749</v>
      </c>
      <c r="R254" s="47">
        <v>104074</v>
      </c>
      <c r="S254" s="120">
        <f t="shared" si="3"/>
        <v>0.10521664498807581</v>
      </c>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47"/>
      <c r="AZ254" s="47"/>
    </row>
    <row r="255" spans="1:52" x14ac:dyDescent="0.35">
      <c r="A255" s="50" t="s">
        <v>17</v>
      </c>
      <c r="B255" s="51">
        <v>45044</v>
      </c>
      <c r="C255" s="47">
        <v>881082</v>
      </c>
      <c r="D255" s="47">
        <v>352404</v>
      </c>
      <c r="E255" s="47">
        <v>45384</v>
      </c>
      <c r="F255" s="47">
        <v>40670</v>
      </c>
      <c r="G255" s="47">
        <v>3047</v>
      </c>
      <c r="H255" s="47">
        <v>303972</v>
      </c>
      <c r="I255" s="47">
        <v>18844</v>
      </c>
      <c r="J255" s="47">
        <v>8322</v>
      </c>
      <c r="K255" s="47">
        <v>22221</v>
      </c>
      <c r="L255" s="47">
        <v>149693</v>
      </c>
      <c r="M255" s="47">
        <v>110902</v>
      </c>
      <c r="N255" s="47">
        <v>52950</v>
      </c>
      <c r="O255" s="47">
        <v>37684</v>
      </c>
      <c r="P255" s="47" t="s">
        <v>38</v>
      </c>
      <c r="Q255" s="47">
        <v>19737</v>
      </c>
      <c r="R255" s="47">
        <v>108105</v>
      </c>
      <c r="S255" s="120">
        <f t="shared" si="3"/>
        <v>0.10286670253165994</v>
      </c>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47"/>
      <c r="AZ255" s="47"/>
    </row>
    <row r="256" spans="1:52" x14ac:dyDescent="0.35">
      <c r="A256" s="50" t="s">
        <v>17</v>
      </c>
      <c r="B256" s="51">
        <v>45077</v>
      </c>
      <c r="C256" s="47">
        <v>938427</v>
      </c>
      <c r="D256" s="47">
        <v>347178</v>
      </c>
      <c r="E256" s="47">
        <v>41805</v>
      </c>
      <c r="F256" s="47">
        <v>36682</v>
      </c>
      <c r="G256" s="47">
        <v>3020</v>
      </c>
      <c r="H256" s="47">
        <v>302353</v>
      </c>
      <c r="I256" s="47">
        <v>21900</v>
      </c>
      <c r="J256" s="47">
        <v>8363</v>
      </c>
      <c r="K256" s="47">
        <v>22594</v>
      </c>
      <c r="L256" s="47">
        <v>157931</v>
      </c>
      <c r="M256" s="47">
        <v>111706</v>
      </c>
      <c r="N256" s="47">
        <v>54116</v>
      </c>
      <c r="O256" s="47">
        <v>37880</v>
      </c>
      <c r="P256" s="47" t="s">
        <v>38</v>
      </c>
      <c r="Q256" s="47">
        <v>19376</v>
      </c>
      <c r="R256" s="47">
        <v>157164</v>
      </c>
      <c r="S256" s="120">
        <f t="shared" si="3"/>
        <v>9.803213249405654E-2</v>
      </c>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row>
    <row r="257" spans="1:52" x14ac:dyDescent="0.35">
      <c r="A257" s="50" t="s">
        <v>17</v>
      </c>
      <c r="B257" s="51">
        <v>45107</v>
      </c>
      <c r="C257" s="47">
        <v>886894</v>
      </c>
      <c r="D257" s="47">
        <v>348741</v>
      </c>
      <c r="E257" s="47">
        <v>42579</v>
      </c>
      <c r="F257" s="47">
        <v>37019</v>
      </c>
      <c r="G257" s="47">
        <v>2939</v>
      </c>
      <c r="H257" s="47">
        <v>303223</v>
      </c>
      <c r="I257" s="47">
        <v>21831</v>
      </c>
      <c r="J257" s="47">
        <v>9662</v>
      </c>
      <c r="K257" s="47">
        <v>21882</v>
      </c>
      <c r="L257" s="47">
        <v>152340</v>
      </c>
      <c r="M257" s="47">
        <v>114539</v>
      </c>
      <c r="N257" s="47">
        <v>53391</v>
      </c>
      <c r="O257" s="47">
        <v>36291</v>
      </c>
      <c r="P257" s="47" t="s">
        <v>38</v>
      </c>
      <c r="Q257" s="47">
        <v>19031</v>
      </c>
      <c r="R257" s="47">
        <v>109031</v>
      </c>
      <c r="S257" s="120">
        <f t="shared" si="3"/>
        <v>0.10111918673482964</v>
      </c>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row>
    <row r="258" spans="1:52" x14ac:dyDescent="0.35">
      <c r="A258" s="50" t="s">
        <v>17</v>
      </c>
      <c r="B258" s="51">
        <v>45138</v>
      </c>
      <c r="C258" s="47">
        <v>880763</v>
      </c>
      <c r="D258" s="47">
        <v>350773</v>
      </c>
      <c r="E258" s="47">
        <v>42673</v>
      </c>
      <c r="F258" s="47">
        <v>37336</v>
      </c>
      <c r="G258" s="47">
        <v>2908</v>
      </c>
      <c r="H258" s="47">
        <v>305192</v>
      </c>
      <c r="I258" s="47">
        <v>21959</v>
      </c>
      <c r="J258" s="47">
        <v>9796</v>
      </c>
      <c r="K258" s="47">
        <v>21942</v>
      </c>
      <c r="L258" s="47">
        <v>149510</v>
      </c>
      <c r="M258" s="47">
        <v>113076</v>
      </c>
      <c r="N258" s="47">
        <v>53987</v>
      </c>
      <c r="O258" s="47">
        <v>36120</v>
      </c>
      <c r="P258" s="47" t="s">
        <v>38</v>
      </c>
      <c r="Q258" s="47">
        <v>18579</v>
      </c>
      <c r="R258" s="47">
        <v>104856</v>
      </c>
      <c r="S258" s="120">
        <f t="shared" si="3"/>
        <v>0.10230561456373621</v>
      </c>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47"/>
      <c r="AZ258" s="47"/>
    </row>
    <row r="259" spans="1:52" x14ac:dyDescent="0.35">
      <c r="A259" s="50" t="s">
        <v>17</v>
      </c>
      <c r="B259" s="51">
        <v>45169</v>
      </c>
      <c r="C259" s="47">
        <v>887025</v>
      </c>
      <c r="D259" s="47">
        <v>350029</v>
      </c>
      <c r="E259" s="47">
        <v>42773</v>
      </c>
      <c r="F259" s="47">
        <v>37461</v>
      </c>
      <c r="G259" s="47">
        <v>2976</v>
      </c>
      <c r="H259" s="47">
        <v>304280</v>
      </c>
      <c r="I259" s="47">
        <v>21494</v>
      </c>
      <c r="J259" s="47">
        <v>9864</v>
      </c>
      <c r="K259" s="47">
        <v>20971</v>
      </c>
      <c r="L259" s="47">
        <v>148818</v>
      </c>
      <c r="M259" s="47">
        <v>110066</v>
      </c>
      <c r="N259" s="47">
        <v>54777</v>
      </c>
      <c r="O259" s="47">
        <v>36361</v>
      </c>
      <c r="P259" s="47" t="s">
        <v>38</v>
      </c>
      <c r="Q259" s="47">
        <v>18027</v>
      </c>
      <c r="R259" s="47">
        <v>116464</v>
      </c>
      <c r="S259" s="120">
        <f t="shared" si="3"/>
        <v>0.1027456948789493</v>
      </c>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47"/>
      <c r="AZ259" s="47"/>
    </row>
    <row r="260" spans="1:52" x14ac:dyDescent="0.35">
      <c r="A260" s="50" t="s">
        <v>17</v>
      </c>
      <c r="B260" s="51">
        <v>45198</v>
      </c>
      <c r="C260" s="47">
        <v>897230</v>
      </c>
      <c r="D260" s="47">
        <v>350126</v>
      </c>
      <c r="E260" s="47">
        <v>43537</v>
      </c>
      <c r="F260" s="47">
        <v>36816</v>
      </c>
      <c r="G260" s="47">
        <v>3240</v>
      </c>
      <c r="H260" s="47">
        <v>303350</v>
      </c>
      <c r="I260" s="47">
        <v>21493</v>
      </c>
      <c r="J260" s="47">
        <v>9929</v>
      </c>
      <c r="K260" s="47">
        <v>20980</v>
      </c>
      <c r="L260" s="47">
        <v>150020</v>
      </c>
      <c r="M260" s="47">
        <v>114665</v>
      </c>
      <c r="N260" s="47">
        <v>55422</v>
      </c>
      <c r="O260" s="47">
        <v>36510</v>
      </c>
      <c r="P260" s="47" t="s">
        <v>38</v>
      </c>
      <c r="Q260" s="47">
        <v>18213</v>
      </c>
      <c r="R260" s="47">
        <v>119779</v>
      </c>
      <c r="S260" s="120">
        <f t="shared" si="3"/>
        <v>0.10246202200104768</v>
      </c>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47"/>
      <c r="AZ260" s="47"/>
    </row>
    <row r="261" spans="1:52" x14ac:dyDescent="0.35">
      <c r="A261" s="50" t="s">
        <v>17</v>
      </c>
      <c r="B261" s="51">
        <v>45230</v>
      </c>
      <c r="C261" s="47">
        <v>892486</v>
      </c>
      <c r="D261" s="47">
        <v>349545</v>
      </c>
      <c r="E261" s="47">
        <v>42961</v>
      </c>
      <c r="F261" s="47">
        <v>36423</v>
      </c>
      <c r="G261" s="47">
        <v>3419</v>
      </c>
      <c r="H261" s="47">
        <v>303165</v>
      </c>
      <c r="I261" s="47">
        <v>21656</v>
      </c>
      <c r="J261" s="47">
        <v>10764</v>
      </c>
      <c r="K261" s="47">
        <v>20488</v>
      </c>
      <c r="L261" s="47">
        <v>147027</v>
      </c>
      <c r="M261" s="47">
        <v>119045</v>
      </c>
      <c r="N261" s="47">
        <v>56030</v>
      </c>
      <c r="O261" s="47">
        <v>36892</v>
      </c>
      <c r="P261" s="47" t="s">
        <v>38</v>
      </c>
      <c r="Q261" s="47">
        <v>16784</v>
      </c>
      <c r="R261" s="47">
        <v>114161</v>
      </c>
      <c r="S261" s="120">
        <f t="shared" si="3"/>
        <v>0.1041159189051705</v>
      </c>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47"/>
      <c r="AZ261" s="47"/>
    </row>
    <row r="262" spans="1:52" x14ac:dyDescent="0.35">
      <c r="A262" s="50" t="s">
        <v>17</v>
      </c>
      <c r="B262" s="51">
        <v>45260</v>
      </c>
      <c r="C262" s="47">
        <v>872080</v>
      </c>
      <c r="D262" s="47">
        <v>346243</v>
      </c>
      <c r="E262" s="47">
        <v>42231</v>
      </c>
      <c r="F262" s="47">
        <v>36087</v>
      </c>
      <c r="G262" s="47">
        <v>3536</v>
      </c>
      <c r="H262" s="47">
        <v>300477</v>
      </c>
      <c r="I262" s="47">
        <v>22181</v>
      </c>
      <c r="J262" s="47">
        <v>10273</v>
      </c>
      <c r="K262" s="47">
        <v>19190</v>
      </c>
      <c r="L262" s="47">
        <v>137601</v>
      </c>
      <c r="M262" s="47">
        <v>110411</v>
      </c>
      <c r="N262" s="47">
        <v>56953</v>
      </c>
      <c r="O262" s="47">
        <v>36154</v>
      </c>
      <c r="P262" s="47" t="s">
        <v>38</v>
      </c>
      <c r="Q262" s="47">
        <v>16462</v>
      </c>
      <c r="R262" s="47">
        <v>116518</v>
      </c>
      <c r="S262" s="120">
        <f t="shared" si="3"/>
        <v>0.10676428768002935</v>
      </c>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47"/>
      <c r="AZ262" s="47"/>
    </row>
    <row r="263" spans="1:52" x14ac:dyDescent="0.35">
      <c r="A263" s="50">
        <v>45289</v>
      </c>
      <c r="B263" s="51">
        <v>45289</v>
      </c>
      <c r="C263" s="47">
        <v>847456</v>
      </c>
      <c r="D263" s="47">
        <v>349480</v>
      </c>
      <c r="E263" s="47">
        <v>41489</v>
      </c>
      <c r="F263" s="47">
        <v>35259</v>
      </c>
      <c r="G263" s="47">
        <v>3428</v>
      </c>
      <c r="H263" s="47">
        <v>304562</v>
      </c>
      <c r="I263" s="47">
        <v>24776</v>
      </c>
      <c r="J263" s="47">
        <v>9137</v>
      </c>
      <c r="K263" s="47">
        <v>18394</v>
      </c>
      <c r="L263" s="47">
        <v>132939</v>
      </c>
      <c r="M263" s="47">
        <v>113891</v>
      </c>
      <c r="N263" s="47">
        <v>40972</v>
      </c>
      <c r="O263" s="47">
        <v>52910</v>
      </c>
      <c r="P263" s="47" t="s">
        <v>38</v>
      </c>
      <c r="Q263" s="47">
        <v>15139</v>
      </c>
      <c r="R263" s="47">
        <v>89733</v>
      </c>
      <c r="S263" s="120">
        <f t="shared" si="3"/>
        <v>0.11078097269946759</v>
      </c>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47"/>
      <c r="AZ263" s="47"/>
    </row>
    <row r="264" spans="1:52" x14ac:dyDescent="0.35">
      <c r="A264" s="50">
        <v>45322</v>
      </c>
      <c r="B264" s="51">
        <v>45322</v>
      </c>
      <c r="C264" s="47">
        <v>874814</v>
      </c>
      <c r="D264" s="47">
        <v>351872</v>
      </c>
      <c r="E264" s="47">
        <v>41342</v>
      </c>
      <c r="F264" s="47">
        <v>35037</v>
      </c>
      <c r="G264" s="47">
        <v>3797</v>
      </c>
      <c r="H264" s="47">
        <v>306733</v>
      </c>
      <c r="I264" s="47">
        <v>24818</v>
      </c>
      <c r="J264" s="47">
        <v>9975</v>
      </c>
      <c r="K264" s="47">
        <v>18747</v>
      </c>
      <c r="L264" s="47">
        <v>136200</v>
      </c>
      <c r="M264" s="47">
        <v>113858</v>
      </c>
      <c r="N264" s="47">
        <v>41896</v>
      </c>
      <c r="O264" s="47">
        <v>53415</v>
      </c>
      <c r="P264" s="47" t="s">
        <v>38</v>
      </c>
      <c r="Q264" s="47">
        <v>16894</v>
      </c>
      <c r="R264" s="47">
        <v>107044</v>
      </c>
      <c r="S264" s="120">
        <f t="shared" si="3"/>
        <v>0.10895001680357196</v>
      </c>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47"/>
      <c r="AZ264" s="47"/>
    </row>
    <row r="265" spans="1:52" x14ac:dyDescent="0.35">
      <c r="A265" s="50" t="s">
        <v>17</v>
      </c>
      <c r="B265" s="51">
        <v>45351</v>
      </c>
      <c r="C265" s="47">
        <v>871956</v>
      </c>
      <c r="D265" s="47">
        <v>347682</v>
      </c>
      <c r="E265" s="47">
        <v>42678</v>
      </c>
      <c r="F265" s="47">
        <v>36394</v>
      </c>
      <c r="G265" s="47">
        <v>3345</v>
      </c>
      <c r="H265" s="47">
        <v>301659</v>
      </c>
      <c r="I265" s="47">
        <v>23393</v>
      </c>
      <c r="J265" s="47">
        <v>9735</v>
      </c>
      <c r="K265" s="47">
        <v>18728</v>
      </c>
      <c r="L265" s="47">
        <v>136383</v>
      </c>
      <c r="M265" s="47">
        <v>112848</v>
      </c>
      <c r="N265" s="47">
        <v>42070</v>
      </c>
      <c r="O265" s="47">
        <v>53541</v>
      </c>
      <c r="P265" s="47" t="s">
        <v>38</v>
      </c>
      <c r="Q265" s="47">
        <v>16984</v>
      </c>
      <c r="R265" s="47">
        <v>110508</v>
      </c>
      <c r="S265" s="120">
        <f t="shared" si="3"/>
        <v>0.10965117505929198</v>
      </c>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47"/>
      <c r="AZ265" s="47"/>
    </row>
    <row r="266" spans="1:52" x14ac:dyDescent="0.35">
      <c r="A266" s="50" t="s">
        <v>17</v>
      </c>
      <c r="B266" s="51">
        <v>45379</v>
      </c>
      <c r="C266" s="47">
        <v>871965</v>
      </c>
      <c r="D266" s="47">
        <v>350980</v>
      </c>
      <c r="E266" s="47">
        <v>43132</v>
      </c>
      <c r="F266" s="47">
        <v>36908</v>
      </c>
      <c r="G266" s="47">
        <v>3530</v>
      </c>
      <c r="H266" s="47">
        <v>304318</v>
      </c>
      <c r="I266" s="47">
        <v>24568</v>
      </c>
      <c r="J266" s="47">
        <v>9015</v>
      </c>
      <c r="K266" s="47">
        <v>17710</v>
      </c>
      <c r="L266" s="47">
        <v>136074</v>
      </c>
      <c r="M266" s="47">
        <v>115174</v>
      </c>
      <c r="N266" s="47">
        <v>41182</v>
      </c>
      <c r="O266" s="47">
        <v>53035</v>
      </c>
      <c r="P266" s="47" t="s">
        <v>38</v>
      </c>
      <c r="Q266" s="47">
        <v>17941</v>
      </c>
      <c r="R266" s="47">
        <v>106258</v>
      </c>
      <c r="S266" s="120">
        <f t="shared" si="3"/>
        <v>0.10805135527228731</v>
      </c>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47"/>
      <c r="AZ266" s="47"/>
    </row>
    <row r="267" spans="1:52" x14ac:dyDescent="0.35">
      <c r="A267" s="50" t="s">
        <v>17</v>
      </c>
      <c r="B267" s="51">
        <v>45412</v>
      </c>
      <c r="C267" s="47">
        <v>875104</v>
      </c>
      <c r="D267" s="47">
        <v>358013</v>
      </c>
      <c r="E267" s="47">
        <v>43940</v>
      </c>
      <c r="F267" s="47">
        <v>37090</v>
      </c>
      <c r="G267" s="47">
        <v>3720</v>
      </c>
      <c r="H267" s="47">
        <v>310353</v>
      </c>
      <c r="I267" s="47">
        <v>24913</v>
      </c>
      <c r="J267" s="47">
        <v>9082</v>
      </c>
      <c r="K267" s="47">
        <v>17466</v>
      </c>
      <c r="L267" s="47">
        <v>136811</v>
      </c>
      <c r="M267" s="47">
        <v>117199</v>
      </c>
      <c r="N267" s="47">
        <v>41064</v>
      </c>
      <c r="O267" s="47">
        <v>53380</v>
      </c>
      <c r="P267" s="47" t="s">
        <v>38</v>
      </c>
      <c r="Q267" s="47">
        <v>16096</v>
      </c>
      <c r="R267" s="47">
        <v>101051</v>
      </c>
      <c r="S267" s="120">
        <f t="shared" si="3"/>
        <v>0.10792317256006144</v>
      </c>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47"/>
      <c r="AZ267" s="47"/>
    </row>
    <row r="268" spans="1:52" x14ac:dyDescent="0.35">
      <c r="A268" s="50" t="s">
        <v>17</v>
      </c>
      <c r="B268" s="51">
        <v>45443</v>
      </c>
      <c r="C268" s="47">
        <v>883598</v>
      </c>
      <c r="D268" s="47">
        <v>359562</v>
      </c>
      <c r="E268" s="47">
        <v>44804</v>
      </c>
      <c r="F268" s="47">
        <v>37439</v>
      </c>
      <c r="G268" s="47">
        <v>3671</v>
      </c>
      <c r="H268" s="47">
        <v>311086</v>
      </c>
      <c r="I268" s="47">
        <v>25204</v>
      </c>
      <c r="J268" s="47">
        <v>8891</v>
      </c>
      <c r="K268" s="47">
        <v>17539</v>
      </c>
      <c r="L268" s="47">
        <v>132705</v>
      </c>
      <c r="M268" s="47">
        <v>113688</v>
      </c>
      <c r="N268" s="47">
        <v>39784</v>
      </c>
      <c r="O268" s="47">
        <v>53521</v>
      </c>
      <c r="P268" s="47" t="s">
        <v>38</v>
      </c>
      <c r="Q268" s="47">
        <v>17362</v>
      </c>
      <c r="R268" s="47">
        <v>115306</v>
      </c>
      <c r="S268" s="120">
        <f t="shared" si="3"/>
        <v>0.10559666273576898</v>
      </c>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row>
    <row r="269" spans="1:52" x14ac:dyDescent="0.35">
      <c r="A269" s="50" t="s">
        <v>17</v>
      </c>
      <c r="B269" s="51">
        <v>45471</v>
      </c>
      <c r="C269" s="47">
        <v>878340</v>
      </c>
      <c r="D269" s="47">
        <v>358812</v>
      </c>
      <c r="E269" s="47">
        <v>45771</v>
      </c>
      <c r="F269" s="47">
        <v>38322</v>
      </c>
      <c r="G269" s="47">
        <v>3533</v>
      </c>
      <c r="H269" s="47">
        <v>309508</v>
      </c>
      <c r="I269" s="47">
        <v>25031</v>
      </c>
      <c r="J269" s="47">
        <v>9044</v>
      </c>
      <c r="K269" s="47">
        <v>17465</v>
      </c>
      <c r="L269" s="47">
        <v>136199</v>
      </c>
      <c r="M269" s="47">
        <v>117662</v>
      </c>
      <c r="N269" s="47">
        <v>40240</v>
      </c>
      <c r="O269" s="47">
        <v>54353</v>
      </c>
      <c r="P269" s="47" t="s">
        <v>38</v>
      </c>
      <c r="Q269" s="47">
        <v>15384</v>
      </c>
      <c r="R269" s="47">
        <v>104141</v>
      </c>
      <c r="S269" s="120">
        <f t="shared" ref="S269:S276" si="4">SUM(N269:O269)/C269</f>
        <v>0.10769519775940979</v>
      </c>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47"/>
      <c r="AZ269" s="47"/>
    </row>
    <row r="270" spans="1:52" x14ac:dyDescent="0.35">
      <c r="A270" s="50" t="s">
        <v>17</v>
      </c>
      <c r="B270" s="51">
        <v>45504</v>
      </c>
      <c r="C270" s="47">
        <v>877994</v>
      </c>
      <c r="D270" s="47">
        <v>364546</v>
      </c>
      <c r="E270" s="47">
        <v>46003</v>
      </c>
      <c r="F270" s="47">
        <v>38376</v>
      </c>
      <c r="G270" s="47">
        <v>3788</v>
      </c>
      <c r="H270" s="47">
        <v>314755</v>
      </c>
      <c r="I270" s="47">
        <v>25467</v>
      </c>
      <c r="J270" s="47">
        <v>9526</v>
      </c>
      <c r="K270" s="47">
        <v>16926</v>
      </c>
      <c r="L270" s="47">
        <v>137819</v>
      </c>
      <c r="M270" s="47">
        <v>107088</v>
      </c>
      <c r="N270" s="47">
        <v>41037</v>
      </c>
      <c r="O270" s="47">
        <v>54335</v>
      </c>
      <c r="P270" s="47" t="s">
        <v>38</v>
      </c>
      <c r="Q270" s="47">
        <v>14481</v>
      </c>
      <c r="R270" s="47">
        <v>106760</v>
      </c>
      <c r="S270" s="120">
        <f t="shared" si="4"/>
        <v>0.10862488809718518</v>
      </c>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47"/>
      <c r="AZ270" s="47"/>
    </row>
    <row r="271" spans="1:52" x14ac:dyDescent="0.35">
      <c r="A271" s="50" t="s">
        <v>17</v>
      </c>
      <c r="B271" s="51">
        <v>45534</v>
      </c>
      <c r="C271" s="47">
        <v>883904</v>
      </c>
      <c r="D271" s="47">
        <v>363845</v>
      </c>
      <c r="E271" s="47">
        <v>45679</v>
      </c>
      <c r="F271" s="47">
        <v>38475</v>
      </c>
      <c r="G271" s="47">
        <v>3512</v>
      </c>
      <c r="H271" s="47">
        <v>314655</v>
      </c>
      <c r="I271" s="47">
        <v>25861</v>
      </c>
      <c r="J271" s="47">
        <v>9388</v>
      </c>
      <c r="K271" s="47">
        <v>16800</v>
      </c>
      <c r="L271" s="47">
        <v>135158</v>
      </c>
      <c r="M271" s="47">
        <v>113722</v>
      </c>
      <c r="N271" s="47">
        <v>41504</v>
      </c>
      <c r="O271" s="47">
        <v>54131</v>
      </c>
      <c r="P271" s="47" t="s">
        <v>38</v>
      </c>
      <c r="Q271" s="47">
        <v>15063</v>
      </c>
      <c r="R271" s="47">
        <v>108431</v>
      </c>
      <c r="S271" s="120">
        <f t="shared" si="4"/>
        <v>0.10819613894721598</v>
      </c>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47"/>
      <c r="AZ271" s="47"/>
    </row>
    <row r="272" spans="1:52" x14ac:dyDescent="0.35">
      <c r="A272" s="50" t="s">
        <v>17</v>
      </c>
      <c r="B272" s="51">
        <v>45565</v>
      </c>
      <c r="C272" s="47">
        <v>891437</v>
      </c>
      <c r="D272" s="47">
        <v>363482</v>
      </c>
      <c r="E272" s="47">
        <v>45933</v>
      </c>
      <c r="F272" s="47">
        <v>38838</v>
      </c>
      <c r="G272" s="47">
        <v>3704</v>
      </c>
      <c r="H272" s="47">
        <v>313845</v>
      </c>
      <c r="I272" s="47">
        <v>24664</v>
      </c>
      <c r="J272" s="47">
        <v>9558</v>
      </c>
      <c r="K272" s="47">
        <v>16222</v>
      </c>
      <c r="L272" s="47">
        <v>140852</v>
      </c>
      <c r="M272" s="47">
        <v>118063</v>
      </c>
      <c r="N272" s="47">
        <v>41544</v>
      </c>
      <c r="O272" s="47">
        <v>54157</v>
      </c>
      <c r="P272" s="47" t="s">
        <v>38</v>
      </c>
      <c r="Q272" s="47">
        <v>15092</v>
      </c>
      <c r="R272" s="47">
        <v>107803</v>
      </c>
      <c r="S272" s="120">
        <f t="shared" si="4"/>
        <v>0.10735587596207023</v>
      </c>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47"/>
      <c r="AZ272" s="47"/>
    </row>
    <row r="273" spans="1:52" x14ac:dyDescent="0.35">
      <c r="A273" s="50" t="s">
        <v>17</v>
      </c>
      <c r="B273" s="51">
        <v>45596</v>
      </c>
      <c r="C273" s="47">
        <v>917747</v>
      </c>
      <c r="D273" s="47">
        <v>367165</v>
      </c>
      <c r="E273" s="47">
        <v>42896</v>
      </c>
      <c r="F273" s="47">
        <v>36847</v>
      </c>
      <c r="G273" s="47">
        <v>3758</v>
      </c>
      <c r="H273" s="47">
        <v>320511</v>
      </c>
      <c r="I273" s="47">
        <v>26461</v>
      </c>
      <c r="J273" s="47">
        <v>9462</v>
      </c>
      <c r="K273" s="47">
        <v>15789</v>
      </c>
      <c r="L273" s="47">
        <v>155997</v>
      </c>
      <c r="M273" s="47">
        <v>119191</v>
      </c>
      <c r="N273" s="47">
        <v>41454</v>
      </c>
      <c r="O273" s="47">
        <v>54081</v>
      </c>
      <c r="P273" s="47" t="s">
        <v>38</v>
      </c>
      <c r="Q273" s="47">
        <v>17346</v>
      </c>
      <c r="R273" s="47">
        <v>110802</v>
      </c>
      <c r="S273" s="120">
        <f t="shared" si="4"/>
        <v>0.10409731658071342</v>
      </c>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row>
    <row r="274" spans="1:52" x14ac:dyDescent="0.35">
      <c r="A274" s="50" t="s">
        <v>17</v>
      </c>
      <c r="B274" s="51">
        <v>45625</v>
      </c>
      <c r="C274" s="47">
        <v>952208</v>
      </c>
      <c r="D274" s="47">
        <v>365058</v>
      </c>
      <c r="E274" s="47">
        <v>43772</v>
      </c>
      <c r="F274" s="47">
        <v>38001</v>
      </c>
      <c r="G274" s="47">
        <v>4459</v>
      </c>
      <c r="H274" s="47">
        <v>316826</v>
      </c>
      <c r="I274" s="47">
        <v>25185</v>
      </c>
      <c r="J274" s="47">
        <v>9610</v>
      </c>
      <c r="K274" s="47">
        <v>15491</v>
      </c>
      <c r="L274" s="47">
        <v>156699</v>
      </c>
      <c r="M274" s="47">
        <v>139509</v>
      </c>
      <c r="N274" s="47">
        <v>41972</v>
      </c>
      <c r="O274" s="47">
        <v>55797</v>
      </c>
      <c r="P274" s="47" t="s">
        <v>38</v>
      </c>
      <c r="Q274" s="47">
        <v>27868</v>
      </c>
      <c r="R274" s="47">
        <v>115019</v>
      </c>
      <c r="S274" s="120">
        <f t="shared" si="4"/>
        <v>0.1026760959790298</v>
      </c>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47"/>
      <c r="AZ274" s="47"/>
    </row>
    <row r="275" spans="1:52" x14ac:dyDescent="0.35">
      <c r="A275" s="50">
        <v>45657</v>
      </c>
      <c r="B275" s="51">
        <v>45657</v>
      </c>
      <c r="C275" s="47">
        <v>911527</v>
      </c>
      <c r="D275" s="47">
        <v>373438</v>
      </c>
      <c r="E275" s="47">
        <v>45188</v>
      </c>
      <c r="F275" s="47">
        <v>38398</v>
      </c>
      <c r="G275" s="47">
        <v>3794</v>
      </c>
      <c r="H275" s="47">
        <v>324456</v>
      </c>
      <c r="I275" s="47">
        <v>24645</v>
      </c>
      <c r="J275" s="47">
        <v>9730</v>
      </c>
      <c r="K275" s="47">
        <v>15935</v>
      </c>
      <c r="L275" s="47">
        <v>149653</v>
      </c>
      <c r="M275" s="47">
        <v>128650</v>
      </c>
      <c r="N275" s="47">
        <v>42003</v>
      </c>
      <c r="O275" s="47">
        <v>56198</v>
      </c>
      <c r="P275" s="47" t="s">
        <v>38</v>
      </c>
      <c r="Q275" s="47">
        <v>15627</v>
      </c>
      <c r="R275" s="47">
        <v>95648</v>
      </c>
      <c r="S275" s="120">
        <f t="shared" si="4"/>
        <v>0.1077324094623637</v>
      </c>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47"/>
      <c r="AZ275" s="47"/>
    </row>
    <row r="276" spans="1:52" x14ac:dyDescent="0.35">
      <c r="A276" s="50">
        <v>45688</v>
      </c>
      <c r="B276" s="51">
        <v>45688</v>
      </c>
      <c r="C276" s="47">
        <v>935019</v>
      </c>
      <c r="D276" s="47">
        <v>369741</v>
      </c>
      <c r="E276" s="47">
        <v>44926</v>
      </c>
      <c r="F276" s="47">
        <v>38327</v>
      </c>
      <c r="G276" s="47">
        <v>3769</v>
      </c>
      <c r="H276" s="47">
        <v>321045</v>
      </c>
      <c r="I276" s="47">
        <v>25899</v>
      </c>
      <c r="J276" s="47">
        <v>9732</v>
      </c>
      <c r="K276" s="47">
        <v>15985</v>
      </c>
      <c r="L276" s="47">
        <v>155926</v>
      </c>
      <c r="M276" s="47">
        <v>138241</v>
      </c>
      <c r="N276" s="47">
        <v>41987</v>
      </c>
      <c r="O276" s="47">
        <v>57002</v>
      </c>
      <c r="P276" s="47" t="s">
        <v>38</v>
      </c>
      <c r="Q276" s="47">
        <v>16372</v>
      </c>
      <c r="R276" s="47">
        <v>104133</v>
      </c>
      <c r="S276" s="120">
        <f t="shared" si="4"/>
        <v>0.10586843689807372</v>
      </c>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47"/>
      <c r="AZ276" s="47"/>
    </row>
    <row r="277" spans="1:52" x14ac:dyDescent="0.35">
      <c r="A277" s="50"/>
      <c r="B277" s="51"/>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row>
    <row r="278" spans="1:52" hidden="1" x14ac:dyDescent="0.35">
      <c r="A278" s="50"/>
      <c r="B278" s="51"/>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47"/>
      <c r="AZ278" s="47"/>
    </row>
    <row r="279" spans="1:52" hidden="1" x14ac:dyDescent="0.35">
      <c r="A279" s="50"/>
      <c r="B279" s="51"/>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47"/>
      <c r="AZ279" s="47"/>
    </row>
    <row r="280" spans="1:52" hidden="1" x14ac:dyDescent="0.35">
      <c r="A280" s="50"/>
      <c r="B280" s="51"/>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47"/>
      <c r="AZ280" s="47"/>
    </row>
    <row r="281" spans="1:52" hidden="1" x14ac:dyDescent="0.35">
      <c r="A281" s="50"/>
      <c r="B281" s="51"/>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47"/>
      <c r="AZ281" s="47"/>
    </row>
    <row r="282" spans="1:52" hidden="1" x14ac:dyDescent="0.35">
      <c r="A282" s="50"/>
      <c r="B282" s="51"/>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47"/>
      <c r="AZ282" s="47"/>
    </row>
    <row r="283" spans="1:52" hidden="1" x14ac:dyDescent="0.35">
      <c r="A283" s="50"/>
      <c r="B283" s="51"/>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47"/>
      <c r="AZ283" s="47"/>
    </row>
    <row r="284" spans="1:52" hidden="1" x14ac:dyDescent="0.35">
      <c r="A284" s="50"/>
      <c r="B284" s="51"/>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47"/>
      <c r="AZ284" s="47"/>
    </row>
    <row r="285" spans="1:52" hidden="1" x14ac:dyDescent="0.35">
      <c r="A285" s="50"/>
      <c r="B285" s="51"/>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47"/>
      <c r="AZ285" s="47"/>
    </row>
    <row r="286" spans="1:52" hidden="1" x14ac:dyDescent="0.35">
      <c r="A286" s="50"/>
      <c r="B286" s="51"/>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47"/>
      <c r="AZ286" s="47"/>
    </row>
    <row r="287" spans="1:52" hidden="1" x14ac:dyDescent="0.35">
      <c r="A287" s="50"/>
      <c r="B287" s="51"/>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47"/>
      <c r="AZ287" s="47"/>
    </row>
    <row r="288" spans="1:52" hidden="1" x14ac:dyDescent="0.35">
      <c r="A288" s="50"/>
      <c r="B288" s="51"/>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47"/>
      <c r="AZ288" s="47"/>
    </row>
    <row r="289" spans="1:52" hidden="1" x14ac:dyDescent="0.35">
      <c r="A289" s="50"/>
      <c r="B289" s="51"/>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47"/>
      <c r="AZ289" s="47"/>
    </row>
    <row r="290" spans="1:52" hidden="1" x14ac:dyDescent="0.35">
      <c r="A290" s="50"/>
      <c r="B290" s="51"/>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47"/>
      <c r="AZ290" s="47"/>
    </row>
    <row r="291" spans="1:52" hidden="1" x14ac:dyDescent="0.35">
      <c r="A291" s="50"/>
      <c r="B291" s="51"/>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row>
    <row r="292" spans="1:52" hidden="1" x14ac:dyDescent="0.35">
      <c r="A292" s="50"/>
      <c r="B292" s="51"/>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47"/>
      <c r="AZ292" s="47"/>
    </row>
    <row r="293" spans="1:52" hidden="1" x14ac:dyDescent="0.35">
      <c r="A293" s="50"/>
      <c r="B293" s="51"/>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47"/>
      <c r="AZ293" s="47"/>
    </row>
    <row r="294" spans="1:52" hidden="1" x14ac:dyDescent="0.35">
      <c r="A294" s="50"/>
      <c r="B294" s="51"/>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47"/>
      <c r="AZ294" s="47"/>
    </row>
    <row r="295" spans="1:52" hidden="1" x14ac:dyDescent="0.35">
      <c r="A295" s="50"/>
      <c r="B295" s="51"/>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47"/>
      <c r="AZ295" s="47"/>
    </row>
    <row r="296" spans="1:52" hidden="1" x14ac:dyDescent="0.35">
      <c r="A296" s="50"/>
      <c r="B296" s="51"/>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47"/>
      <c r="AZ296" s="47"/>
    </row>
    <row r="297" spans="1:52" hidden="1" x14ac:dyDescent="0.35">
      <c r="A297" s="50"/>
      <c r="B297" s="51"/>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row>
    <row r="298" spans="1:52" hidden="1" x14ac:dyDescent="0.35">
      <c r="A298" s="50"/>
      <c r="B298" s="51"/>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47"/>
      <c r="AZ298" s="47"/>
    </row>
    <row r="299" spans="1:52" hidden="1" x14ac:dyDescent="0.35">
      <c r="A299" s="50"/>
      <c r="B299" s="51"/>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c r="AW299" s="47"/>
      <c r="AX299" s="47"/>
      <c r="AY299" s="47"/>
      <c r="AZ299" s="47"/>
    </row>
    <row r="300" spans="1:52" hidden="1" x14ac:dyDescent="0.35">
      <c r="A300" s="50"/>
      <c r="B300" s="51"/>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47"/>
      <c r="AZ300" s="47"/>
    </row>
    <row r="301" spans="1:52" hidden="1" x14ac:dyDescent="0.35">
      <c r="A301" s="50"/>
      <c r="B301" s="51"/>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row>
    <row r="302" spans="1:52" hidden="1" x14ac:dyDescent="0.35">
      <c r="A302" s="50"/>
      <c r="B302" s="51"/>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47"/>
      <c r="AZ302" s="47"/>
    </row>
    <row r="303" spans="1:52" hidden="1" x14ac:dyDescent="0.35">
      <c r="A303" s="50"/>
      <c r="B303" s="51"/>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47"/>
      <c r="AZ303" s="47"/>
    </row>
    <row r="304" spans="1:52" hidden="1" x14ac:dyDescent="0.35">
      <c r="A304" s="50"/>
      <c r="B304" s="51"/>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47"/>
      <c r="AZ304" s="47"/>
    </row>
    <row r="305" spans="1:52" hidden="1" x14ac:dyDescent="0.35">
      <c r="A305" s="50"/>
      <c r="B305" s="51"/>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47"/>
      <c r="AZ305" s="47"/>
    </row>
    <row r="306" spans="1:52" hidden="1" x14ac:dyDescent="0.35">
      <c r="A306" s="50"/>
      <c r="B306" s="51"/>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47"/>
      <c r="AZ306" s="47"/>
    </row>
    <row r="307" spans="1:52" hidden="1" x14ac:dyDescent="0.35">
      <c r="A307" s="50"/>
      <c r="B307" s="51"/>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47"/>
      <c r="AZ307" s="47"/>
    </row>
    <row r="308" spans="1:52" hidden="1" x14ac:dyDescent="0.35">
      <c r="A308" s="50"/>
      <c r="B308" s="51"/>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47"/>
      <c r="AZ308" s="47"/>
    </row>
    <row r="309" spans="1:52" hidden="1" x14ac:dyDescent="0.35">
      <c r="A309" s="50"/>
      <c r="B309" s="51"/>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47"/>
      <c r="AZ309" s="47"/>
    </row>
    <row r="310" spans="1:52" hidden="1" x14ac:dyDescent="0.35">
      <c r="A310" s="50"/>
      <c r="B310" s="51"/>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47"/>
      <c r="AZ310" s="47"/>
    </row>
    <row r="311" spans="1:52" hidden="1" x14ac:dyDescent="0.35">
      <c r="A311" s="50"/>
      <c r="B311" s="51"/>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c r="AW311" s="47"/>
      <c r="AX311" s="47"/>
      <c r="AY311" s="47"/>
      <c r="AZ311" s="47"/>
    </row>
    <row r="312" spans="1:52" hidden="1" x14ac:dyDescent="0.35">
      <c r="A312" s="50"/>
      <c r="B312" s="51"/>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c r="AW312" s="47"/>
      <c r="AX312" s="47"/>
      <c r="AY312" s="47"/>
      <c r="AZ312" s="47"/>
    </row>
    <row r="313" spans="1:52" hidden="1" x14ac:dyDescent="0.35">
      <c r="A313" s="50"/>
      <c r="B313" s="51"/>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47"/>
      <c r="AZ313" s="47"/>
    </row>
    <row r="314" spans="1:52" hidden="1" x14ac:dyDescent="0.35">
      <c r="A314" s="50"/>
      <c r="B314" s="51"/>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c r="AW314" s="47"/>
      <c r="AX314" s="47"/>
      <c r="AY314" s="47"/>
      <c r="AZ314" s="47"/>
    </row>
    <row r="315" spans="1:52" hidden="1" x14ac:dyDescent="0.35">
      <c r="A315" s="50"/>
      <c r="B315" s="51"/>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47"/>
      <c r="AZ315" s="47"/>
    </row>
    <row r="316" spans="1:52" hidden="1" x14ac:dyDescent="0.35">
      <c r="A316" s="50"/>
      <c r="B316" s="51"/>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47"/>
      <c r="AZ316" s="47"/>
    </row>
    <row r="317" spans="1:52" hidden="1" x14ac:dyDescent="0.35">
      <c r="A317" s="50"/>
      <c r="B317" s="51"/>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row>
    <row r="318" spans="1:52" hidden="1" x14ac:dyDescent="0.35">
      <c r="A318" s="50"/>
      <c r="B318" s="51"/>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row>
    <row r="319" spans="1:52" hidden="1" x14ac:dyDescent="0.35">
      <c r="A319" s="50"/>
      <c r="B319" s="51"/>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47"/>
      <c r="AZ319" s="47"/>
    </row>
    <row r="320" spans="1:52" hidden="1" x14ac:dyDescent="0.35">
      <c r="A320" s="50"/>
      <c r="B320" s="51"/>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c r="AV320" s="47"/>
      <c r="AW320" s="47"/>
      <c r="AX320" s="47"/>
      <c r="AY320" s="47"/>
      <c r="AZ320" s="47"/>
    </row>
    <row r="321" spans="1:52" hidden="1" x14ac:dyDescent="0.35">
      <c r="A321" s="50"/>
      <c r="B321" s="51"/>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47"/>
      <c r="AZ321" s="47"/>
    </row>
    <row r="322" spans="1:52" hidden="1" x14ac:dyDescent="0.35">
      <c r="A322" s="50"/>
      <c r="B322" s="51"/>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c r="AV322" s="47"/>
      <c r="AW322" s="47"/>
      <c r="AX322" s="47"/>
      <c r="AY322" s="47"/>
      <c r="AZ322" s="47"/>
    </row>
    <row r="323" spans="1:52" hidden="1" x14ac:dyDescent="0.35">
      <c r="A323" s="50"/>
      <c r="B323" s="51"/>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c r="AV323" s="47"/>
      <c r="AW323" s="47"/>
      <c r="AX323" s="47"/>
      <c r="AY323" s="47"/>
      <c r="AZ323" s="47"/>
    </row>
    <row r="324" spans="1:52" hidden="1" x14ac:dyDescent="0.35">
      <c r="A324" s="50"/>
      <c r="B324" s="51"/>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c r="AW324" s="47"/>
      <c r="AX324" s="47"/>
      <c r="AY324" s="47"/>
      <c r="AZ324" s="47"/>
    </row>
    <row r="325" spans="1:52" hidden="1" x14ac:dyDescent="0.35">
      <c r="A325" s="50"/>
      <c r="B325" s="51"/>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47"/>
      <c r="AY325" s="47"/>
      <c r="AZ325" s="47"/>
    </row>
    <row r="326" spans="1:52" hidden="1" x14ac:dyDescent="0.35">
      <c r="A326" s="50"/>
      <c r="B326" s="51"/>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47"/>
      <c r="AZ326" s="47"/>
    </row>
    <row r="327" spans="1:52" hidden="1" x14ac:dyDescent="0.35">
      <c r="A327" s="50"/>
      <c r="B327" s="51"/>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c r="AU327" s="47"/>
      <c r="AV327" s="47"/>
      <c r="AW327" s="47"/>
      <c r="AX327" s="47"/>
      <c r="AY327" s="47"/>
      <c r="AZ327" s="47"/>
    </row>
    <row r="328" spans="1:52" hidden="1" x14ac:dyDescent="0.35">
      <c r="A328" s="50"/>
      <c r="B328" s="51"/>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c r="AU328" s="47"/>
      <c r="AV328" s="47"/>
      <c r="AW328" s="47"/>
      <c r="AX328" s="47"/>
      <c r="AY328" s="47"/>
      <c r="AZ328" s="47"/>
    </row>
    <row r="329" spans="1:52" hidden="1" x14ac:dyDescent="0.35">
      <c r="A329" s="50"/>
      <c r="B329" s="51"/>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c r="AW329" s="47"/>
      <c r="AX329" s="47"/>
      <c r="AY329" s="47"/>
      <c r="AZ329" s="47"/>
    </row>
    <row r="330" spans="1:52" hidden="1" x14ac:dyDescent="0.35">
      <c r="A330" s="50"/>
      <c r="B330" s="51"/>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c r="AV330" s="47"/>
      <c r="AW330" s="47"/>
      <c r="AX330" s="47"/>
      <c r="AY330" s="47"/>
      <c r="AZ330" s="47"/>
    </row>
    <row r="331" spans="1:52" hidden="1" x14ac:dyDescent="0.35">
      <c r="A331" s="50"/>
      <c r="B331" s="51"/>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c r="AV331" s="47"/>
      <c r="AW331" s="47"/>
      <c r="AX331" s="47"/>
      <c r="AY331" s="47"/>
      <c r="AZ331" s="47"/>
    </row>
    <row r="332" spans="1:52" hidden="1" x14ac:dyDescent="0.35">
      <c r="A332" s="50"/>
      <c r="B332" s="51"/>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c r="AV332" s="47"/>
      <c r="AW332" s="47"/>
      <c r="AX332" s="47"/>
      <c r="AY332" s="47"/>
      <c r="AZ332" s="47"/>
    </row>
    <row r="333" spans="1:52" hidden="1" x14ac:dyDescent="0.35">
      <c r="A333" s="50"/>
      <c r="B333" s="51"/>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c r="AV333" s="47"/>
      <c r="AW333" s="47"/>
      <c r="AX333" s="47"/>
      <c r="AY333" s="47"/>
      <c r="AZ333" s="47"/>
    </row>
    <row r="334" spans="1:52" hidden="1" x14ac:dyDescent="0.35">
      <c r="A334" s="50"/>
      <c r="B334" s="51"/>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c r="AV334" s="47"/>
      <c r="AW334" s="47"/>
      <c r="AX334" s="47"/>
      <c r="AY334" s="47"/>
      <c r="AZ334" s="47"/>
    </row>
    <row r="335" spans="1:52" hidden="1" x14ac:dyDescent="0.35">
      <c r="A335" s="50"/>
      <c r="B335" s="51"/>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c r="AW335" s="47"/>
      <c r="AX335" s="47"/>
      <c r="AY335" s="47"/>
      <c r="AZ335" s="47"/>
    </row>
    <row r="336" spans="1:52" hidden="1" x14ac:dyDescent="0.35">
      <c r="A336" s="50"/>
      <c r="B336" s="51"/>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47"/>
      <c r="AY336" s="47"/>
      <c r="AZ336" s="47"/>
    </row>
    <row r="337" spans="1:52" hidden="1" x14ac:dyDescent="0.35">
      <c r="A337" s="50"/>
      <c r="B337" s="51"/>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c r="AU337" s="47"/>
      <c r="AV337" s="47"/>
      <c r="AW337" s="47"/>
      <c r="AX337" s="47"/>
      <c r="AY337" s="47"/>
      <c r="AZ337" s="47"/>
    </row>
    <row r="338" spans="1:52" hidden="1" x14ac:dyDescent="0.35">
      <c r="A338" s="50"/>
      <c r="B338" s="51"/>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c r="AU338" s="47"/>
      <c r="AV338" s="47"/>
      <c r="AW338" s="47"/>
      <c r="AX338" s="47"/>
      <c r="AY338" s="47"/>
      <c r="AZ338" s="47"/>
    </row>
    <row r="339" spans="1:52" hidden="1" x14ac:dyDescent="0.35">
      <c r="A339" s="50"/>
      <c r="B339" s="51"/>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c r="AV339" s="47"/>
      <c r="AW339" s="47"/>
      <c r="AX339" s="47"/>
      <c r="AY339" s="47"/>
      <c r="AZ339" s="47"/>
    </row>
    <row r="340" spans="1:52" hidden="1" x14ac:dyDescent="0.35">
      <c r="A340" s="50"/>
      <c r="B340" s="51"/>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47"/>
      <c r="AY340" s="47"/>
      <c r="AZ340" s="47"/>
    </row>
    <row r="341" spans="1:52" hidden="1" x14ac:dyDescent="0.35">
      <c r="A341" s="50"/>
      <c r="B341" s="51"/>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c r="AW341" s="47"/>
      <c r="AX341" s="47"/>
      <c r="AY341" s="47"/>
      <c r="AZ341" s="47"/>
    </row>
    <row r="342" spans="1:52" hidden="1" x14ac:dyDescent="0.35">
      <c r="A342" s="50"/>
      <c r="B342" s="51"/>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c r="AV342" s="47"/>
      <c r="AW342" s="47"/>
      <c r="AX342" s="47"/>
      <c r="AY342" s="47"/>
      <c r="AZ342" s="47"/>
    </row>
    <row r="343" spans="1:52" hidden="1" x14ac:dyDescent="0.35">
      <c r="A343" s="50"/>
      <c r="B343" s="51"/>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c r="AV343" s="47"/>
      <c r="AW343" s="47"/>
      <c r="AX343" s="47"/>
      <c r="AY343" s="47"/>
      <c r="AZ343" s="47"/>
    </row>
    <row r="344" spans="1:52" hidden="1" x14ac:dyDescent="0.35">
      <c r="A344" s="50"/>
      <c r="B344" s="51"/>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47"/>
      <c r="AY344" s="47"/>
      <c r="AZ344" s="47"/>
    </row>
    <row r="345" spans="1:52" hidden="1" x14ac:dyDescent="0.35">
      <c r="A345" s="50"/>
      <c r="B345" s="51"/>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c r="AW345" s="47"/>
      <c r="AX345" s="47"/>
      <c r="AY345" s="47"/>
      <c r="AZ345" s="47"/>
    </row>
    <row r="346" spans="1:52" hidden="1" x14ac:dyDescent="0.35">
      <c r="A346" s="50"/>
      <c r="B346" s="51"/>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c r="AV346" s="47"/>
      <c r="AW346" s="47"/>
      <c r="AX346" s="47"/>
      <c r="AY346" s="47"/>
      <c r="AZ346" s="47"/>
    </row>
    <row r="347" spans="1:52" hidden="1" x14ac:dyDescent="0.35">
      <c r="A347" s="50"/>
      <c r="B347" s="51"/>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47"/>
      <c r="AY347" s="47"/>
      <c r="AZ347" s="47"/>
    </row>
    <row r="348" spans="1:52" hidden="1" x14ac:dyDescent="0.35">
      <c r="A348" s="50"/>
      <c r="B348" s="51"/>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c r="AV348" s="47"/>
      <c r="AW348" s="47"/>
      <c r="AX348" s="47"/>
      <c r="AY348" s="47"/>
      <c r="AZ348" s="47"/>
    </row>
    <row r="349" spans="1:52" hidden="1" x14ac:dyDescent="0.35">
      <c r="A349" s="50"/>
      <c r="B349" s="51"/>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c r="AV349" s="47"/>
      <c r="AW349" s="47"/>
      <c r="AX349" s="47"/>
      <c r="AY349" s="47"/>
      <c r="AZ349" s="47"/>
    </row>
    <row r="350" spans="1:52" hidden="1" x14ac:dyDescent="0.35">
      <c r="A350" s="50"/>
      <c r="B350" s="51"/>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c r="AV350" s="47"/>
      <c r="AW350" s="47"/>
      <c r="AX350" s="47"/>
      <c r="AY350" s="47"/>
      <c r="AZ350" s="47"/>
    </row>
    <row r="351" spans="1:52" hidden="1" x14ac:dyDescent="0.35">
      <c r="A351" s="50"/>
      <c r="B351" s="51"/>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c r="AV351" s="47"/>
      <c r="AW351" s="47"/>
      <c r="AX351" s="47"/>
      <c r="AY351" s="47"/>
      <c r="AZ351" s="47"/>
    </row>
    <row r="352" spans="1:52" hidden="1" x14ac:dyDescent="0.35">
      <c r="A352" s="50"/>
      <c r="B352" s="51"/>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c r="AV352" s="47"/>
      <c r="AW352" s="47"/>
      <c r="AX352" s="47"/>
      <c r="AY352" s="47"/>
      <c r="AZ352" s="47"/>
    </row>
    <row r="353" spans="1:52" hidden="1" x14ac:dyDescent="0.35">
      <c r="A353" s="50"/>
      <c r="B353" s="51"/>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47"/>
      <c r="AZ353" s="47"/>
    </row>
    <row r="354" spans="1:52" hidden="1" x14ac:dyDescent="0.35">
      <c r="A354" s="50"/>
      <c r="B354" s="51"/>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c r="AV354" s="47"/>
      <c r="AW354" s="47"/>
      <c r="AX354" s="47"/>
      <c r="AY354" s="47"/>
      <c r="AZ354" s="47"/>
    </row>
    <row r="355" spans="1:52" hidden="1" x14ac:dyDescent="0.35">
      <c r="A355" s="50"/>
      <c r="B355" s="51"/>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c r="AV355" s="47"/>
      <c r="AW355" s="47"/>
      <c r="AX355" s="47"/>
      <c r="AY355" s="47"/>
      <c r="AZ355" s="47"/>
    </row>
    <row r="356" spans="1:52" hidden="1" x14ac:dyDescent="0.35">
      <c r="A356" s="50"/>
      <c r="B356" s="51"/>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47"/>
      <c r="AZ356" s="47"/>
    </row>
    <row r="357" spans="1:52" hidden="1" x14ac:dyDescent="0.35">
      <c r="A357" s="50"/>
      <c r="B357" s="51"/>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47"/>
      <c r="AZ357" s="47"/>
    </row>
    <row r="358" spans="1:52" hidden="1" x14ac:dyDescent="0.35">
      <c r="A358" s="50"/>
      <c r="B358" s="51"/>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c r="AW358" s="47"/>
      <c r="AX358" s="47"/>
      <c r="AY358" s="47"/>
      <c r="AZ358" s="47"/>
    </row>
    <row r="359" spans="1:52" hidden="1" x14ac:dyDescent="0.35">
      <c r="A359" s="50"/>
      <c r="B359" s="51"/>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row>
    <row r="360" spans="1:52" hidden="1" x14ac:dyDescent="0.35">
      <c r="A360" s="50"/>
      <c r="B360" s="51"/>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47"/>
      <c r="AZ360" s="47"/>
    </row>
    <row r="361" spans="1:52" hidden="1" x14ac:dyDescent="0.35">
      <c r="A361" s="50"/>
      <c r="B361" s="51"/>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c r="AW361" s="47"/>
      <c r="AX361" s="47"/>
      <c r="AY361" s="47"/>
      <c r="AZ361" s="47"/>
    </row>
    <row r="362" spans="1:52" hidden="1" x14ac:dyDescent="0.35">
      <c r="A362" s="50"/>
      <c r="B362" s="51"/>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c r="AW362" s="47"/>
      <c r="AX362" s="47"/>
      <c r="AY362" s="47"/>
      <c r="AZ362" s="47"/>
    </row>
    <row r="363" spans="1:52" hidden="1" x14ac:dyDescent="0.35">
      <c r="A363" s="50"/>
      <c r="B363" s="51"/>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c r="AW363" s="47"/>
      <c r="AX363" s="47"/>
      <c r="AY363" s="47"/>
      <c r="AZ363" s="47"/>
    </row>
    <row r="364" spans="1:52" hidden="1" x14ac:dyDescent="0.35">
      <c r="A364" s="50"/>
      <c r="B364" s="51"/>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c r="AW364" s="47"/>
      <c r="AX364" s="47"/>
      <c r="AY364" s="47"/>
      <c r="AZ364" s="47"/>
    </row>
    <row r="365" spans="1:52" hidden="1" x14ac:dyDescent="0.35">
      <c r="A365" s="50"/>
      <c r="B365" s="51"/>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47"/>
      <c r="AZ365" s="47"/>
    </row>
    <row r="366" spans="1:52" hidden="1" x14ac:dyDescent="0.35">
      <c r="A366" s="50"/>
      <c r="B366" s="51"/>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c r="AW366" s="47"/>
      <c r="AX366" s="47"/>
      <c r="AY366" s="47"/>
      <c r="AZ366" s="47"/>
    </row>
    <row r="367" spans="1:52" hidden="1" x14ac:dyDescent="0.35">
      <c r="A367" s="50"/>
      <c r="B367" s="51"/>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c r="AU367" s="47"/>
      <c r="AV367" s="47"/>
      <c r="AW367" s="47"/>
      <c r="AX367" s="47"/>
      <c r="AY367" s="47"/>
      <c r="AZ367" s="47"/>
    </row>
    <row r="368" spans="1:52" hidden="1" x14ac:dyDescent="0.35">
      <c r="A368" s="50"/>
      <c r="B368" s="51"/>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47"/>
      <c r="AZ368" s="47"/>
    </row>
    <row r="369" spans="1:52" hidden="1" x14ac:dyDescent="0.35">
      <c r="A369" s="50"/>
      <c r="B369" s="51"/>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47"/>
      <c r="AZ369" s="47"/>
    </row>
    <row r="370" spans="1:52" hidden="1" x14ac:dyDescent="0.35">
      <c r="A370" s="50"/>
      <c r="B370" s="51"/>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47"/>
      <c r="AZ370" s="47"/>
    </row>
    <row r="371" spans="1:52" hidden="1" x14ac:dyDescent="0.35">
      <c r="A371" s="50"/>
      <c r="B371" s="51"/>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c r="AW371" s="47"/>
      <c r="AX371" s="47"/>
      <c r="AY371" s="47"/>
      <c r="AZ371" s="47"/>
    </row>
    <row r="372" spans="1:52" hidden="1" x14ac:dyDescent="0.35">
      <c r="A372" s="50"/>
      <c r="B372" s="51"/>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c r="AW372" s="47"/>
      <c r="AX372" s="47"/>
      <c r="AY372" s="47"/>
      <c r="AZ372" s="47"/>
    </row>
    <row r="373" spans="1:52" hidden="1" x14ac:dyDescent="0.35">
      <c r="A373" s="50"/>
      <c r="B373" s="51"/>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47"/>
      <c r="AZ373" s="47"/>
    </row>
    <row r="374" spans="1:52" hidden="1" x14ac:dyDescent="0.35">
      <c r="A374" s="50"/>
      <c r="B374" s="51"/>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c r="AV374" s="47"/>
      <c r="AW374" s="47"/>
      <c r="AX374" s="47"/>
      <c r="AY374" s="47"/>
      <c r="AZ374" s="47"/>
    </row>
    <row r="375" spans="1:52" hidden="1" x14ac:dyDescent="0.35">
      <c r="A375" s="50"/>
      <c r="B375" s="51"/>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c r="AW375" s="47"/>
      <c r="AX375" s="47"/>
      <c r="AY375" s="47"/>
      <c r="AZ375" s="47"/>
    </row>
    <row r="376" spans="1:52" hidden="1" x14ac:dyDescent="0.35">
      <c r="A376" s="50"/>
      <c r="B376" s="51"/>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47"/>
      <c r="AZ376" s="47"/>
    </row>
    <row r="377" spans="1:52" hidden="1" x14ac:dyDescent="0.35">
      <c r="A377" s="50"/>
      <c r="B377" s="51"/>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47"/>
      <c r="AZ377" s="47"/>
    </row>
    <row r="378" spans="1:52" hidden="1" x14ac:dyDescent="0.35">
      <c r="A378" s="50"/>
      <c r="B378" s="51"/>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7"/>
      <c r="AX378" s="47"/>
      <c r="AY378" s="47"/>
      <c r="AZ378" s="47"/>
    </row>
    <row r="379" spans="1:52" hidden="1" x14ac:dyDescent="0.35">
      <c r="A379" s="50"/>
      <c r="B379" s="51"/>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c r="AW379" s="47"/>
      <c r="AX379" s="47"/>
      <c r="AY379" s="47"/>
      <c r="AZ379" s="47"/>
    </row>
    <row r="380" spans="1:52" hidden="1" x14ac:dyDescent="0.35">
      <c r="A380" s="50"/>
      <c r="B380" s="51"/>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c r="AW380" s="47"/>
      <c r="AX380" s="47"/>
      <c r="AY380" s="47"/>
      <c r="AZ380" s="47"/>
    </row>
    <row r="381" spans="1:52" hidden="1" x14ac:dyDescent="0.35">
      <c r="A381" s="50"/>
      <c r="B381" s="51"/>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47"/>
      <c r="AZ381" s="47"/>
    </row>
    <row r="382" spans="1:52" hidden="1" x14ac:dyDescent="0.35">
      <c r="A382" s="50"/>
      <c r="B382" s="51"/>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c r="AW382" s="47"/>
      <c r="AX382" s="47"/>
      <c r="AY382" s="47"/>
      <c r="AZ382" s="47"/>
    </row>
    <row r="383" spans="1:52" hidden="1" x14ac:dyDescent="0.35">
      <c r="A383" s="50"/>
      <c r="B383" s="51"/>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c r="AW383" s="47"/>
      <c r="AX383" s="47"/>
      <c r="AY383" s="47"/>
      <c r="AZ383" s="47"/>
    </row>
    <row r="384" spans="1:52" hidden="1" x14ac:dyDescent="0.35">
      <c r="A384" s="50"/>
      <c r="B384" s="51"/>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47"/>
      <c r="AZ384" s="47"/>
    </row>
    <row r="385" spans="1:52" hidden="1" x14ac:dyDescent="0.35">
      <c r="A385" s="50"/>
      <c r="B385" s="51"/>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47"/>
      <c r="AX385" s="47"/>
      <c r="AY385" s="47"/>
      <c r="AZ385" s="47"/>
    </row>
    <row r="386" spans="1:52" hidden="1" x14ac:dyDescent="0.35">
      <c r="A386" s="50"/>
      <c r="B386" s="51"/>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47"/>
      <c r="AX386" s="47"/>
      <c r="AY386" s="47"/>
      <c r="AZ386" s="47"/>
    </row>
    <row r="387" spans="1:52" hidden="1" x14ac:dyDescent="0.35">
      <c r="A387" s="50"/>
      <c r="B387" s="51"/>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c r="AV387" s="47"/>
      <c r="AW387" s="47"/>
      <c r="AX387" s="47"/>
      <c r="AY387" s="47"/>
      <c r="AZ387" s="47"/>
    </row>
    <row r="388" spans="1:52" hidden="1" x14ac:dyDescent="0.35">
      <c r="A388" s="50"/>
      <c r="B388" s="51"/>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c r="AV388" s="47"/>
      <c r="AW388" s="47"/>
      <c r="AX388" s="47"/>
      <c r="AY388" s="47"/>
      <c r="AZ388" s="47"/>
    </row>
    <row r="389" spans="1:52" hidden="1" x14ac:dyDescent="0.35">
      <c r="A389" s="50"/>
      <c r="B389" s="51"/>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c r="AV389" s="47"/>
      <c r="AW389" s="47"/>
      <c r="AX389" s="47"/>
      <c r="AY389" s="47"/>
      <c r="AZ389" s="47"/>
    </row>
    <row r="390" spans="1:52" hidden="1" x14ac:dyDescent="0.35">
      <c r="A390" s="50"/>
      <c r="B390" s="51"/>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47"/>
      <c r="AZ390" s="47"/>
    </row>
    <row r="391" spans="1:52" hidden="1" x14ac:dyDescent="0.35">
      <c r="A391" s="50"/>
      <c r="B391" s="51"/>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c r="AU391" s="47"/>
      <c r="AV391" s="47"/>
      <c r="AW391" s="47"/>
      <c r="AX391" s="47"/>
      <c r="AY391" s="47"/>
      <c r="AZ391" s="47"/>
    </row>
    <row r="392" spans="1:52" hidden="1" x14ac:dyDescent="0.35">
      <c r="A392" s="50"/>
      <c r="B392" s="51"/>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c r="AV392" s="47"/>
      <c r="AW392" s="47"/>
      <c r="AX392" s="47"/>
      <c r="AY392" s="47"/>
      <c r="AZ392" s="47"/>
    </row>
    <row r="393" spans="1:52" hidden="1" x14ac:dyDescent="0.35">
      <c r="A393" s="50"/>
      <c r="B393" s="51"/>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c r="AV393" s="47"/>
      <c r="AW393" s="47"/>
      <c r="AX393" s="47"/>
      <c r="AY393" s="47"/>
      <c r="AZ393" s="47"/>
    </row>
    <row r="394" spans="1:52" hidden="1" x14ac:dyDescent="0.35">
      <c r="A394" s="50"/>
      <c r="B394" s="51"/>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c r="AV394" s="47"/>
      <c r="AW394" s="47"/>
      <c r="AX394" s="47"/>
      <c r="AY394" s="47"/>
      <c r="AZ394" s="47"/>
    </row>
    <row r="395" spans="1:52" hidden="1" x14ac:dyDescent="0.35">
      <c r="A395" s="50"/>
      <c r="B395" s="51"/>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c r="AV395" s="47"/>
      <c r="AW395" s="47"/>
      <c r="AX395" s="47"/>
      <c r="AY395" s="47"/>
      <c r="AZ395" s="47"/>
    </row>
    <row r="396" spans="1:52" hidden="1" x14ac:dyDescent="0.35">
      <c r="A396" s="50"/>
      <c r="B396" s="51"/>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47"/>
      <c r="AZ396" s="47"/>
    </row>
    <row r="397" spans="1:52" hidden="1" x14ac:dyDescent="0.35">
      <c r="A397" s="50"/>
      <c r="B397" s="51"/>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47"/>
      <c r="AZ397" s="47"/>
    </row>
    <row r="398" spans="1:52" hidden="1" x14ac:dyDescent="0.35">
      <c r="A398" s="50"/>
      <c r="B398" s="51"/>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c r="AW398" s="47"/>
      <c r="AX398" s="47"/>
      <c r="AY398" s="47"/>
      <c r="AZ398" s="47"/>
    </row>
    <row r="399" spans="1:52" hidden="1" x14ac:dyDescent="0.35">
      <c r="A399" s="50"/>
      <c r="B399" s="51"/>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c r="AW399" s="47"/>
      <c r="AX399" s="47"/>
      <c r="AY399" s="47"/>
      <c r="AZ399" s="47"/>
    </row>
    <row r="400" spans="1:52" hidden="1" x14ac:dyDescent="0.35">
      <c r="A400" s="50"/>
      <c r="B400" s="51"/>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c r="AW400" s="47"/>
      <c r="AX400" s="47"/>
      <c r="AY400" s="47"/>
      <c r="AZ400" s="47"/>
    </row>
    <row r="401" spans="1:52" hidden="1" x14ac:dyDescent="0.35">
      <c r="A401" s="50"/>
      <c r="B401" s="51"/>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c r="AW401" s="47"/>
      <c r="AX401" s="47"/>
      <c r="AY401" s="47"/>
      <c r="AZ401" s="47"/>
    </row>
    <row r="402" spans="1:52" hidden="1" x14ac:dyDescent="0.35">
      <c r="A402" s="50"/>
      <c r="B402" s="51"/>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c r="AV402" s="47"/>
      <c r="AW402" s="47"/>
      <c r="AX402" s="47"/>
      <c r="AY402" s="47"/>
      <c r="AZ402" s="47"/>
    </row>
    <row r="403" spans="1:52" hidden="1" x14ac:dyDescent="0.35">
      <c r="A403" s="50"/>
      <c r="B403" s="51"/>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c r="AW403" s="47"/>
      <c r="AX403" s="47"/>
      <c r="AY403" s="47"/>
      <c r="AZ403" s="47"/>
    </row>
    <row r="404" spans="1:52" hidden="1" x14ac:dyDescent="0.35">
      <c r="A404" s="50"/>
      <c r="B404" s="51"/>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47"/>
      <c r="AZ404" s="47"/>
    </row>
    <row r="405" spans="1:52" hidden="1" x14ac:dyDescent="0.35">
      <c r="A405" s="50"/>
      <c r="B405" s="51"/>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c r="AU405" s="47"/>
      <c r="AV405" s="47"/>
      <c r="AW405" s="47"/>
      <c r="AX405" s="47"/>
      <c r="AY405" s="47"/>
      <c r="AZ405" s="47"/>
    </row>
    <row r="406" spans="1:52" hidden="1" x14ac:dyDescent="0.35">
      <c r="A406" s="50"/>
      <c r="B406" s="51"/>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c r="AW406" s="47"/>
      <c r="AX406" s="47"/>
      <c r="AY406" s="47"/>
      <c r="AZ406" s="47"/>
    </row>
    <row r="407" spans="1:52" hidden="1" x14ac:dyDescent="0.35">
      <c r="A407" s="50"/>
      <c r="B407" s="51"/>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c r="AV407" s="47"/>
      <c r="AW407" s="47"/>
      <c r="AX407" s="47"/>
      <c r="AY407" s="47"/>
      <c r="AZ407" s="47"/>
    </row>
    <row r="408" spans="1:52" hidden="1" x14ac:dyDescent="0.35">
      <c r="A408" s="50"/>
      <c r="B408" s="51"/>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c r="AV408" s="47"/>
      <c r="AW408" s="47"/>
      <c r="AX408" s="47"/>
      <c r="AY408" s="47"/>
      <c r="AZ408" s="47"/>
    </row>
    <row r="409" spans="1:52" hidden="1" x14ac:dyDescent="0.35">
      <c r="A409" s="50"/>
      <c r="B409" s="51"/>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c r="AV409" s="47"/>
      <c r="AW409" s="47"/>
      <c r="AX409" s="47"/>
      <c r="AY409" s="47"/>
      <c r="AZ409" s="47"/>
    </row>
    <row r="410" spans="1:52" hidden="1" x14ac:dyDescent="0.35">
      <c r="A410" s="50"/>
      <c r="B410" s="51"/>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c r="AV410" s="47"/>
      <c r="AW410" s="47"/>
      <c r="AX410" s="47"/>
      <c r="AY410" s="47"/>
      <c r="AZ410" s="47"/>
    </row>
    <row r="411" spans="1:52" hidden="1" x14ac:dyDescent="0.35">
      <c r="A411" s="50"/>
      <c r="B411" s="51"/>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c r="AV411" s="47"/>
      <c r="AW411" s="47"/>
      <c r="AX411" s="47"/>
      <c r="AY411" s="47"/>
      <c r="AZ411" s="47"/>
    </row>
    <row r="412" spans="1:52" hidden="1" x14ac:dyDescent="0.35">
      <c r="A412" s="50"/>
      <c r="B412" s="51"/>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c r="AW412" s="47"/>
      <c r="AX412" s="47"/>
      <c r="AY412" s="47"/>
      <c r="AZ412" s="47"/>
    </row>
    <row r="413" spans="1:52" hidden="1" x14ac:dyDescent="0.35">
      <c r="A413" s="50"/>
      <c r="B413" s="51"/>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47"/>
      <c r="AX413" s="47"/>
      <c r="AY413" s="47"/>
      <c r="AZ413" s="47"/>
    </row>
    <row r="414" spans="1:52" hidden="1" x14ac:dyDescent="0.35">
      <c r="A414" s="50"/>
      <c r="B414" s="51"/>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47"/>
      <c r="AZ414" s="47"/>
    </row>
    <row r="415" spans="1:52" hidden="1" x14ac:dyDescent="0.35">
      <c r="A415" s="50"/>
      <c r="B415" s="51"/>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c r="AW415" s="47"/>
      <c r="AX415" s="47"/>
      <c r="AY415" s="47"/>
      <c r="AZ415" s="47"/>
    </row>
    <row r="416" spans="1:52" hidden="1" x14ac:dyDescent="0.35">
      <c r="A416" s="50"/>
      <c r="B416" s="51"/>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c r="AU416" s="47"/>
      <c r="AV416" s="47"/>
      <c r="AW416" s="47"/>
      <c r="AX416" s="47"/>
      <c r="AY416" s="47"/>
      <c r="AZ416" s="47"/>
    </row>
    <row r="417" spans="1:52" hidden="1" x14ac:dyDescent="0.35">
      <c r="A417" s="50"/>
      <c r="B417" s="51"/>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c r="AU417" s="47"/>
      <c r="AV417" s="47"/>
      <c r="AW417" s="47"/>
      <c r="AX417" s="47"/>
      <c r="AY417" s="47"/>
      <c r="AZ417" s="47"/>
    </row>
    <row r="418" spans="1:52" hidden="1" x14ac:dyDescent="0.35">
      <c r="A418" s="50"/>
      <c r="B418" s="51"/>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c r="AV418" s="47"/>
      <c r="AW418" s="47"/>
      <c r="AX418" s="47"/>
      <c r="AY418" s="47"/>
      <c r="AZ418" s="47"/>
    </row>
    <row r="419" spans="1:52" hidden="1" x14ac:dyDescent="0.35">
      <c r="A419" s="50"/>
      <c r="B419" s="51"/>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c r="AV419" s="47"/>
      <c r="AW419" s="47"/>
      <c r="AX419" s="47"/>
      <c r="AY419" s="47"/>
      <c r="AZ419" s="47"/>
    </row>
    <row r="420" spans="1:52" hidden="1" x14ac:dyDescent="0.35">
      <c r="A420" s="50"/>
      <c r="B420" s="51"/>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47"/>
      <c r="AZ420" s="47"/>
    </row>
    <row r="421" spans="1:52" hidden="1" x14ac:dyDescent="0.35">
      <c r="A421" s="50"/>
      <c r="B421" s="51"/>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c r="AV421" s="47"/>
      <c r="AW421" s="47"/>
      <c r="AX421" s="47"/>
      <c r="AY421" s="47"/>
      <c r="AZ421" s="47"/>
    </row>
    <row r="422" spans="1:52" hidden="1" x14ac:dyDescent="0.35">
      <c r="A422" s="50"/>
      <c r="B422" s="51"/>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c r="AW422" s="47"/>
      <c r="AX422" s="47"/>
      <c r="AY422" s="47"/>
      <c r="AZ422" s="47"/>
    </row>
    <row r="423" spans="1:52" hidden="1" x14ac:dyDescent="0.35">
      <c r="A423" s="50"/>
      <c r="B423" s="51"/>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c r="AW423" s="47"/>
      <c r="AX423" s="47"/>
      <c r="AY423" s="47"/>
      <c r="AZ423" s="47"/>
    </row>
    <row r="424" spans="1:52" hidden="1" x14ac:dyDescent="0.35">
      <c r="A424" s="50"/>
      <c r="B424" s="51"/>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c r="AW424" s="47"/>
      <c r="AX424" s="47"/>
      <c r="AY424" s="47"/>
      <c r="AZ424" s="47"/>
    </row>
    <row r="425" spans="1:52" hidden="1" x14ac:dyDescent="0.35">
      <c r="A425" s="50"/>
      <c r="B425" s="51"/>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47"/>
      <c r="AZ425" s="47"/>
    </row>
    <row r="426" spans="1:52" hidden="1" x14ac:dyDescent="0.35">
      <c r="A426" s="50"/>
      <c r="B426" s="51"/>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c r="AV426" s="47"/>
      <c r="AW426" s="47"/>
      <c r="AX426" s="47"/>
      <c r="AY426" s="47"/>
      <c r="AZ426" s="47"/>
    </row>
    <row r="427" spans="1:52" hidden="1" x14ac:dyDescent="0.35">
      <c r="A427" s="50"/>
      <c r="B427" s="51"/>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c r="AV427" s="47"/>
      <c r="AW427" s="47"/>
      <c r="AX427" s="47"/>
      <c r="AY427" s="47"/>
      <c r="AZ427" s="47"/>
    </row>
    <row r="428" spans="1:52" hidden="1" x14ac:dyDescent="0.35">
      <c r="A428" s="50"/>
      <c r="B428" s="51"/>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c r="AV428" s="47"/>
      <c r="AW428" s="47"/>
      <c r="AX428" s="47"/>
      <c r="AY428" s="47"/>
      <c r="AZ428" s="47"/>
    </row>
    <row r="429" spans="1:52" hidden="1" x14ac:dyDescent="0.35">
      <c r="A429" s="50"/>
      <c r="B429" s="51"/>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c r="AW429" s="47"/>
      <c r="AX429" s="47"/>
      <c r="AY429" s="47"/>
      <c r="AZ429" s="47"/>
    </row>
    <row r="430" spans="1:52" hidden="1" x14ac:dyDescent="0.35">
      <c r="A430" s="50"/>
      <c r="B430" s="51"/>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47"/>
      <c r="AZ430" s="47"/>
    </row>
    <row r="431" spans="1:52" hidden="1" x14ac:dyDescent="0.35">
      <c r="A431" s="50"/>
      <c r="B431" s="51"/>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c r="AW431" s="47"/>
      <c r="AX431" s="47"/>
      <c r="AY431" s="47"/>
      <c r="AZ431" s="47"/>
    </row>
    <row r="432" spans="1:52" hidden="1" x14ac:dyDescent="0.35">
      <c r="A432" s="50"/>
      <c r="B432" s="51"/>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7"/>
      <c r="AX432" s="47"/>
      <c r="AY432" s="47"/>
      <c r="AZ432" s="47"/>
    </row>
    <row r="433" spans="1:52" hidden="1" x14ac:dyDescent="0.35">
      <c r="A433" s="50"/>
      <c r="B433" s="51"/>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47"/>
      <c r="AZ433" s="47"/>
    </row>
    <row r="434" spans="1:52" hidden="1" x14ac:dyDescent="0.35">
      <c r="A434" s="50"/>
      <c r="B434" s="51"/>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47"/>
      <c r="AZ434" s="47"/>
    </row>
    <row r="435" spans="1:52" hidden="1" x14ac:dyDescent="0.35">
      <c r="A435" s="50"/>
      <c r="B435" s="51"/>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c r="AW435" s="47"/>
      <c r="AX435" s="47"/>
      <c r="AY435" s="47"/>
      <c r="AZ435" s="47"/>
    </row>
    <row r="436" spans="1:52" hidden="1" x14ac:dyDescent="0.35">
      <c r="A436" s="50"/>
      <c r="B436" s="51"/>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c r="AW436" s="47"/>
      <c r="AX436" s="47"/>
      <c r="AY436" s="47"/>
      <c r="AZ436" s="47"/>
    </row>
    <row r="437" spans="1:52" hidden="1" x14ac:dyDescent="0.35">
      <c r="A437" s="50"/>
      <c r="B437" s="51"/>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c r="AW437" s="47"/>
      <c r="AX437" s="47"/>
      <c r="AY437" s="47"/>
      <c r="AZ437" s="47"/>
    </row>
    <row r="438" spans="1:52" hidden="1" x14ac:dyDescent="0.35">
      <c r="A438" s="50"/>
      <c r="B438" s="51"/>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c r="AW438" s="47"/>
      <c r="AX438" s="47"/>
      <c r="AY438" s="47"/>
      <c r="AZ438" s="47"/>
    </row>
    <row r="439" spans="1:52" hidden="1" x14ac:dyDescent="0.35">
      <c r="A439" s="50"/>
      <c r="B439" s="51"/>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c r="AW439" s="47"/>
      <c r="AX439" s="47"/>
      <c r="AY439" s="47"/>
      <c r="AZ439" s="47"/>
    </row>
    <row r="440" spans="1:52" hidden="1" x14ac:dyDescent="0.35">
      <c r="A440" s="50"/>
      <c r="B440" s="51"/>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47"/>
      <c r="AZ440" s="47"/>
    </row>
    <row r="441" spans="1:52" hidden="1" x14ac:dyDescent="0.35">
      <c r="A441" s="50"/>
      <c r="B441" s="51"/>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c r="AW441" s="47"/>
      <c r="AX441" s="47"/>
      <c r="AY441" s="47"/>
      <c r="AZ441" s="47"/>
    </row>
    <row r="442" spans="1:52" hidden="1" x14ac:dyDescent="0.35">
      <c r="A442" s="50"/>
      <c r="B442" s="51"/>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47"/>
      <c r="AX442" s="47"/>
      <c r="AY442" s="47"/>
      <c r="AZ442" s="47"/>
    </row>
    <row r="443" spans="1:52" hidden="1" x14ac:dyDescent="0.35">
      <c r="A443" s="50"/>
      <c r="B443" s="51"/>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47"/>
      <c r="AZ443" s="47"/>
    </row>
    <row r="444" spans="1:52" hidden="1" x14ac:dyDescent="0.35">
      <c r="A444" s="50"/>
      <c r="B444" s="51"/>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47"/>
      <c r="AZ444" s="47"/>
    </row>
    <row r="445" spans="1:52" hidden="1" x14ac:dyDescent="0.35">
      <c r="A445" s="50"/>
      <c r="B445" s="51"/>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c r="AV445" s="47"/>
      <c r="AW445" s="47"/>
      <c r="AX445" s="47"/>
      <c r="AY445" s="47"/>
      <c r="AZ445" s="47"/>
    </row>
    <row r="446" spans="1:52" hidden="1" x14ac:dyDescent="0.35">
      <c r="A446" s="50"/>
      <c r="B446" s="51"/>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c r="AW446" s="47"/>
      <c r="AX446" s="47"/>
      <c r="AY446" s="47"/>
      <c r="AZ446" s="47"/>
    </row>
    <row r="447" spans="1:52" hidden="1" x14ac:dyDescent="0.35">
      <c r="A447" s="50"/>
      <c r="B447" s="51"/>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47"/>
      <c r="AX447" s="47"/>
      <c r="AY447" s="47"/>
      <c r="AZ447" s="47"/>
    </row>
    <row r="448" spans="1:52" hidden="1" x14ac:dyDescent="0.35">
      <c r="A448" s="50"/>
      <c r="B448" s="51"/>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47"/>
      <c r="AX448" s="47"/>
      <c r="AY448" s="47"/>
      <c r="AZ448" s="47"/>
    </row>
    <row r="449" spans="1:52" hidden="1" x14ac:dyDescent="0.35">
      <c r="A449" s="50"/>
      <c r="B449" s="51"/>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47"/>
      <c r="AZ449" s="47"/>
    </row>
    <row r="450" spans="1:52" hidden="1" x14ac:dyDescent="0.35">
      <c r="A450" s="50"/>
      <c r="B450" s="51"/>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47"/>
      <c r="AZ450" s="47"/>
    </row>
    <row r="451" spans="1:52" hidden="1" x14ac:dyDescent="0.35">
      <c r="A451" s="50"/>
      <c r="B451" s="51"/>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47"/>
      <c r="AZ451" s="47"/>
    </row>
    <row r="452" spans="1:52" hidden="1" x14ac:dyDescent="0.35">
      <c r="A452" s="50"/>
      <c r="B452" s="51"/>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47"/>
      <c r="AZ452" s="47"/>
    </row>
    <row r="453" spans="1:52" hidden="1" x14ac:dyDescent="0.35">
      <c r="A453" s="50"/>
      <c r="B453" s="51"/>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47"/>
      <c r="AZ453" s="47"/>
    </row>
    <row r="454" spans="1:52" hidden="1" x14ac:dyDescent="0.35">
      <c r="A454" s="50"/>
      <c r="B454" s="51"/>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row>
    <row r="455" spans="1:52" hidden="1" x14ac:dyDescent="0.35">
      <c r="A455" s="50"/>
      <c r="B455" s="51"/>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47"/>
      <c r="AZ455" s="47"/>
    </row>
    <row r="456" spans="1:52" hidden="1" x14ac:dyDescent="0.35">
      <c r="A456" s="50"/>
      <c r="B456" s="51"/>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c r="AW456" s="47"/>
      <c r="AX456" s="47"/>
      <c r="AY456" s="47"/>
      <c r="AZ456" s="47"/>
    </row>
    <row r="457" spans="1:52" hidden="1" x14ac:dyDescent="0.35">
      <c r="A457" s="50"/>
      <c r="B457" s="51"/>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47"/>
      <c r="AZ457" s="47"/>
    </row>
    <row r="458" spans="1:52" hidden="1" x14ac:dyDescent="0.35">
      <c r="A458" s="50"/>
      <c r="B458" s="51"/>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47"/>
      <c r="AZ458" s="47"/>
    </row>
    <row r="459" spans="1:52" hidden="1" x14ac:dyDescent="0.35">
      <c r="A459" s="50"/>
      <c r="B459" s="51"/>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7"/>
      <c r="AX459" s="47"/>
      <c r="AY459" s="47"/>
      <c r="AZ459" s="47"/>
    </row>
    <row r="460" spans="1:52" hidden="1" x14ac:dyDescent="0.35">
      <c r="A460" s="50"/>
      <c r="B460" s="51"/>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47"/>
      <c r="AZ460" s="47"/>
    </row>
    <row r="461" spans="1:52" hidden="1" x14ac:dyDescent="0.35">
      <c r="A461" s="50"/>
      <c r="B461" s="51"/>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47"/>
      <c r="AZ461" s="47"/>
    </row>
    <row r="462" spans="1:52" hidden="1" x14ac:dyDescent="0.35">
      <c r="A462" s="50"/>
      <c r="B462" s="51"/>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47"/>
      <c r="AZ462" s="47"/>
    </row>
    <row r="463" spans="1:52" hidden="1" x14ac:dyDescent="0.35">
      <c r="A463" s="50"/>
      <c r="B463" s="51"/>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c r="AW463" s="47"/>
      <c r="AX463" s="47"/>
      <c r="AY463" s="47"/>
      <c r="AZ463" s="47"/>
    </row>
    <row r="464" spans="1:52" hidden="1" x14ac:dyDescent="0.35">
      <c r="A464" s="50"/>
      <c r="B464" s="51"/>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47"/>
      <c r="AZ464" s="47"/>
    </row>
    <row r="465" spans="1:52" hidden="1" x14ac:dyDescent="0.35">
      <c r="A465" s="50"/>
      <c r="B465" s="51"/>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47"/>
      <c r="AZ465" s="47"/>
    </row>
    <row r="466" spans="1:52" hidden="1" x14ac:dyDescent="0.35">
      <c r="A466" s="50"/>
      <c r="B466" s="51"/>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47"/>
      <c r="AZ466" s="47"/>
    </row>
    <row r="467" spans="1:52" hidden="1" x14ac:dyDescent="0.35">
      <c r="A467" s="50"/>
      <c r="B467" s="51"/>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c r="AW467" s="47"/>
      <c r="AX467" s="47"/>
      <c r="AY467" s="47"/>
      <c r="AZ467" s="47"/>
    </row>
    <row r="468" spans="1:52" hidden="1" x14ac:dyDescent="0.35">
      <c r="A468" s="50"/>
      <c r="B468" s="51"/>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47"/>
      <c r="AZ468" s="47"/>
    </row>
    <row r="469" spans="1:52" hidden="1" x14ac:dyDescent="0.35">
      <c r="A469" s="50"/>
      <c r="B469" s="51"/>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47"/>
      <c r="AZ469" s="47"/>
    </row>
    <row r="470" spans="1:52" hidden="1" x14ac:dyDescent="0.35">
      <c r="A470" s="50"/>
      <c r="B470" s="51"/>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c r="AW470" s="47"/>
      <c r="AX470" s="47"/>
      <c r="AY470" s="47"/>
      <c r="AZ470" s="47"/>
    </row>
    <row r="471" spans="1:52" hidden="1" x14ac:dyDescent="0.35">
      <c r="A471" s="50"/>
      <c r="B471" s="51"/>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47"/>
      <c r="AZ471" s="47"/>
    </row>
    <row r="472" spans="1:52" hidden="1" x14ac:dyDescent="0.35">
      <c r="A472" s="50"/>
      <c r="B472" s="51"/>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47"/>
      <c r="AZ472" s="47"/>
    </row>
    <row r="473" spans="1:52" hidden="1" x14ac:dyDescent="0.35">
      <c r="A473" s="50"/>
      <c r="B473" s="51"/>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row>
    <row r="474" spans="1:52" hidden="1" x14ac:dyDescent="0.35">
      <c r="A474" s="50"/>
      <c r="B474" s="51"/>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c r="AW474" s="47"/>
      <c r="AX474" s="47"/>
      <c r="AY474" s="47"/>
      <c r="AZ474" s="47"/>
    </row>
    <row r="475" spans="1:52" hidden="1" x14ac:dyDescent="0.35">
      <c r="A475" s="50"/>
      <c r="B475" s="51"/>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c r="AW475" s="47"/>
      <c r="AX475" s="47"/>
      <c r="AY475" s="47"/>
      <c r="AZ475" s="47"/>
    </row>
    <row r="476" spans="1:52" hidden="1" x14ac:dyDescent="0.35">
      <c r="A476" s="50"/>
      <c r="B476" s="51"/>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c r="AW476" s="47"/>
      <c r="AX476" s="47"/>
      <c r="AY476" s="47"/>
      <c r="AZ476" s="47"/>
    </row>
    <row r="477" spans="1:52" hidden="1" x14ac:dyDescent="0.35">
      <c r="A477" s="50"/>
      <c r="B477" s="51"/>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47"/>
      <c r="AZ477" s="47"/>
    </row>
    <row r="478" spans="1:52" hidden="1" x14ac:dyDescent="0.35">
      <c r="A478" s="50"/>
      <c r="B478" s="51"/>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c r="AW478" s="47"/>
      <c r="AX478" s="47"/>
      <c r="AY478" s="47"/>
      <c r="AZ478" s="47"/>
    </row>
    <row r="479" spans="1:52" hidden="1" x14ac:dyDescent="0.35">
      <c r="A479" s="50"/>
      <c r="B479" s="51"/>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c r="AW479" s="47"/>
      <c r="AX479" s="47"/>
      <c r="AY479" s="47"/>
      <c r="AZ479" s="47"/>
    </row>
    <row r="480" spans="1:52" hidden="1" x14ac:dyDescent="0.35">
      <c r="A480" s="50"/>
      <c r="B480" s="51"/>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c r="AW480" s="47"/>
      <c r="AX480" s="47"/>
      <c r="AY480" s="47"/>
      <c r="AZ480" s="47"/>
    </row>
    <row r="481" spans="1:52" hidden="1" x14ac:dyDescent="0.35">
      <c r="A481" s="50"/>
      <c r="B481" s="51"/>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47"/>
      <c r="AX481" s="47"/>
      <c r="AY481" s="47"/>
      <c r="AZ481" s="47"/>
    </row>
    <row r="482" spans="1:52" hidden="1" x14ac:dyDescent="0.35">
      <c r="A482" s="50"/>
      <c r="B482" s="51"/>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c r="AW482" s="47"/>
      <c r="AX482" s="47"/>
      <c r="AY482" s="47"/>
      <c r="AZ482" s="47"/>
    </row>
    <row r="483" spans="1:52" hidden="1" x14ac:dyDescent="0.35">
      <c r="A483" s="50"/>
      <c r="B483" s="51"/>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c r="AW483" s="47"/>
      <c r="AX483" s="47"/>
      <c r="AY483" s="47"/>
      <c r="AZ483" s="47"/>
    </row>
    <row r="484" spans="1:52" hidden="1" x14ac:dyDescent="0.35">
      <c r="A484" s="50"/>
      <c r="B484" s="51"/>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47"/>
      <c r="AZ484" s="47"/>
    </row>
    <row r="485" spans="1:52" hidden="1" x14ac:dyDescent="0.35">
      <c r="A485" s="50"/>
      <c r="B485" s="51"/>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47"/>
      <c r="AZ485" s="47"/>
    </row>
    <row r="486" spans="1:52" hidden="1" x14ac:dyDescent="0.35">
      <c r="A486" s="50"/>
      <c r="B486" s="51"/>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47"/>
      <c r="AZ486" s="47"/>
    </row>
    <row r="487" spans="1:52" hidden="1" x14ac:dyDescent="0.35">
      <c r="A487" s="50"/>
      <c r="B487" s="51"/>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47"/>
      <c r="AZ487" s="47"/>
    </row>
    <row r="488" spans="1:52" hidden="1" x14ac:dyDescent="0.35">
      <c r="A488" s="50"/>
      <c r="B488" s="51"/>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c r="AW488" s="47"/>
      <c r="AX488" s="47"/>
      <c r="AY488" s="47"/>
      <c r="AZ488" s="47"/>
    </row>
    <row r="489" spans="1:52" hidden="1" x14ac:dyDescent="0.35">
      <c r="A489" s="50"/>
      <c r="B489" s="51"/>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47"/>
      <c r="AZ489" s="47"/>
    </row>
    <row r="490" spans="1:52" hidden="1" x14ac:dyDescent="0.35">
      <c r="A490" s="50"/>
      <c r="B490" s="51"/>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c r="AW490" s="47"/>
      <c r="AX490" s="47"/>
      <c r="AY490" s="47"/>
      <c r="AZ490" s="47"/>
    </row>
    <row r="491" spans="1:52" hidden="1" x14ac:dyDescent="0.35">
      <c r="A491" s="50"/>
      <c r="B491" s="51"/>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47"/>
      <c r="AZ491" s="47"/>
    </row>
    <row r="492" spans="1:52" hidden="1" x14ac:dyDescent="0.35">
      <c r="A492" s="50"/>
      <c r="B492" s="51"/>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47"/>
      <c r="AZ492" s="47"/>
    </row>
    <row r="493" spans="1:52" hidden="1" x14ac:dyDescent="0.35">
      <c r="A493" s="50"/>
      <c r="B493" s="51"/>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c r="AV493" s="47"/>
      <c r="AW493" s="47"/>
      <c r="AX493" s="47"/>
      <c r="AY493" s="47"/>
      <c r="AZ493" s="47"/>
    </row>
    <row r="494" spans="1:52" hidden="1" x14ac:dyDescent="0.35">
      <c r="A494" s="50"/>
      <c r="B494" s="51"/>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47"/>
      <c r="AZ494" s="47"/>
    </row>
    <row r="495" spans="1:52" hidden="1" x14ac:dyDescent="0.35">
      <c r="A495" s="50"/>
      <c r="B495" s="51"/>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c r="AW495" s="47"/>
      <c r="AX495" s="47"/>
      <c r="AY495" s="47"/>
      <c r="AZ495" s="47"/>
    </row>
    <row r="496" spans="1:52" hidden="1" x14ac:dyDescent="0.35">
      <c r="A496" s="50"/>
      <c r="B496" s="51"/>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47"/>
      <c r="AZ496" s="47"/>
    </row>
    <row r="497" spans="1:52" hidden="1" x14ac:dyDescent="0.35">
      <c r="A497" s="50"/>
      <c r="B497" s="51"/>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47"/>
      <c r="AZ497" s="47"/>
    </row>
    <row r="498" spans="1:52" hidden="1" x14ac:dyDescent="0.35">
      <c r="A498" s="50"/>
      <c r="B498" s="51"/>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c r="AW498" s="47"/>
      <c r="AX498" s="47"/>
      <c r="AY498" s="47"/>
      <c r="AZ498" s="47"/>
    </row>
    <row r="499" spans="1:52" hidden="1" x14ac:dyDescent="0.35">
      <c r="A499" s="50"/>
      <c r="B499" s="51"/>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c r="AW499" s="47"/>
      <c r="AX499" s="47"/>
      <c r="AY499" s="47"/>
      <c r="AZ499" s="47"/>
    </row>
    <row r="500" spans="1:52" hidden="1" x14ac:dyDescent="0.35">
      <c r="A500" s="50"/>
      <c r="B500" s="51"/>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47"/>
      <c r="AZ500" s="47"/>
    </row>
    <row r="501" spans="1:52" hidden="1" x14ac:dyDescent="0.35">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c r="AA501" s="46"/>
      <c r="AB501" s="46"/>
      <c r="AC501" s="46"/>
      <c r="AD501" s="46"/>
      <c r="AE501" s="46"/>
      <c r="AF501" s="46"/>
      <c r="AG501" s="46"/>
      <c r="AH501" s="46"/>
      <c r="AI501" s="46"/>
      <c r="AJ501" s="46"/>
      <c r="AK501" s="46"/>
      <c r="AL501" s="46"/>
      <c r="AM501" s="46"/>
      <c r="AN501" s="46"/>
      <c r="AO501" s="46"/>
      <c r="AP501" s="46"/>
      <c r="AQ501" s="46"/>
      <c r="AR501" s="46"/>
      <c r="AS501" s="46"/>
      <c r="AT501" s="46"/>
      <c r="AU501" s="46"/>
      <c r="AV501" s="46"/>
      <c r="AW501" s="46"/>
      <c r="AX501" s="46"/>
      <c r="AY501" s="46"/>
      <c r="AZ501" s="46"/>
    </row>
    <row r="502" spans="1:52" hidden="1" x14ac:dyDescent="0.35">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c r="AA502" s="46"/>
      <c r="AB502" s="46"/>
      <c r="AC502" s="46"/>
      <c r="AD502" s="46"/>
      <c r="AE502" s="46"/>
      <c r="AF502" s="46"/>
      <c r="AG502" s="46"/>
      <c r="AH502" s="46"/>
      <c r="AI502" s="46"/>
      <c r="AJ502" s="46"/>
      <c r="AK502" s="46"/>
      <c r="AL502" s="46"/>
      <c r="AM502" s="46"/>
      <c r="AN502" s="46"/>
      <c r="AO502" s="46"/>
      <c r="AP502" s="46"/>
      <c r="AQ502" s="46"/>
      <c r="AR502" s="46"/>
      <c r="AS502" s="46"/>
      <c r="AT502" s="46"/>
      <c r="AU502" s="46"/>
      <c r="AV502" s="46"/>
      <c r="AW502" s="46"/>
      <c r="AX502" s="46"/>
      <c r="AY502" s="46"/>
      <c r="AZ502" s="46"/>
    </row>
  </sheetData>
  <mergeCells count="19">
    <mergeCell ref="Q6:Q7"/>
    <mergeCell ref="R6:R7"/>
    <mergeCell ref="H6:H7"/>
    <mergeCell ref="J6:J7"/>
    <mergeCell ref="L6:L7"/>
    <mergeCell ref="M6:M7"/>
    <mergeCell ref="N6:N7"/>
    <mergeCell ref="O6:O7"/>
    <mergeCell ref="P5:P7"/>
    <mergeCell ref="Q5:R5"/>
    <mergeCell ref="N5:O5"/>
    <mergeCell ref="I5:K5"/>
    <mergeCell ref="L5:M5"/>
    <mergeCell ref="C6:C7"/>
    <mergeCell ref="D6:D7"/>
    <mergeCell ref="I6:I7"/>
    <mergeCell ref="K6:K7"/>
    <mergeCell ref="E6:E7"/>
    <mergeCell ref="G6:G7"/>
  </mergeCells>
  <pageMargins left="0.7" right="0.7" top="0.75" bottom="0.75" header="0.3" footer="0.3"/>
  <pageSetup orientation="portrait" r:id="rId1"/>
  <headerFooter>
    <oddHeader>&amp;L&amp;"Times New Roman,Regular"&amp;12&amp;K000000 </oddHeader>
    <oddFooter>&amp;LCentral Bank of Ireland, 2025</oddFooter>
    <evenHeader>&amp;L&amp;"Times New Roman,Regular"&amp;12&amp;K000000 </evenHeader>
    <firstHeader>&amp;L&amp;"Times New Roman,Regular"&amp;12&amp;K000000 </first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a586b747-2a7c-4f57-bcd1-e81df5c8c005" origin="userSelected">
  <element uid="33ed6465-8d2f-4fab-bbbc-787e2c148707" value=""/>
  <element uid="28c775dd-3fa7-40f2-8368-0e7fa48abc25" value=""/>
</sisl>
</file>

<file path=customXml/itemProps1.xml><?xml version="1.0" encoding="utf-8"?>
<ds:datastoreItem xmlns:ds="http://schemas.openxmlformats.org/officeDocument/2006/customXml" ds:itemID="{83A5C0F3-B577-483E-9BF9-864CA2195F30}">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Table A.4</vt:lpstr>
      <vt:lpstr>Table A.4 - Assets</vt:lpstr>
      <vt:lpstr>Table A.4 - Liabilities</vt:lpstr>
      <vt:lpstr>'Table A.4'!Print_Area</vt:lpstr>
      <vt:lpstr>'Table A.4 - Assets'!Print_Area</vt:lpstr>
      <vt:lpstr>'Table A.4 - Liabilities'!Print_Area</vt:lpstr>
    </vt:vector>
  </TitlesOfParts>
  <Company>Central Bank of Ireland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Lally, Sarah</dc:creator>
  <cp:keywords>Public</cp:keywords>
  <cp:lastModifiedBy>Mugrabi, Farah</cp:lastModifiedBy>
  <dcterms:created xsi:type="dcterms:W3CDTF">2022-04-27T13:53:56Z</dcterms:created>
  <dcterms:modified xsi:type="dcterms:W3CDTF">2025-03-20T17:58:27Z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594c074c-15c3-49ee-93a3-d22f6ff8d09c</vt:lpwstr>
  </property>
  <property fmtid="{D5CDD505-2E9C-101B-9397-08002B2CF9AE}" pid="3" name="bjSaver">
    <vt:lpwstr>Xy4Os2V551jncX7yw5fso2TXMTpq2ho3</vt:lpwstr>
  </property>
  <property fmtid="{D5CDD505-2E9C-101B-9397-08002B2CF9AE}" pid="4" name="bjDocumentSecurityLabel">
    <vt:lpwstr>Public</vt:lpwstr>
  </property>
  <property fmtid="{D5CDD505-2E9C-101B-9397-08002B2CF9AE}" pid="5" name="bjDocumentLabelXML">
    <vt:lpwstr>&lt;?xml version="1.0" encoding="us-ascii"?&gt;&lt;sisl xmlns:xsi="http://www.w3.org/2001/XMLSchema-instance" xmlns:xsd="http://www.w3.org/2001/XMLSchema" sislVersion="0" policy="a586b747-2a7c-4f57-bcd1-e81df5c8c005" origin="userSelected" xmlns="http://www.boldonj</vt:lpwstr>
  </property>
  <property fmtid="{D5CDD505-2E9C-101B-9397-08002B2CF9AE}" pid="6" name="bjDocumentLabelXML-0">
    <vt:lpwstr>ames.com/2008/01/sie/internal/label"&gt;&lt;element uid="33ed6465-8d2f-4fab-bbbc-787e2c148707" value="" /&gt;&lt;element uid="28c775dd-3fa7-40f2-8368-0e7fa48abc25" value="" /&gt;&lt;/sisl&gt;</vt:lpwstr>
  </property>
  <property fmtid="{D5CDD505-2E9C-101B-9397-08002B2CF9AE}" pid="7" name="bjLeftHeaderLabel-first">
    <vt:lpwstr>&amp;"Times New Roman,Regular"&amp;12&amp;K000000 </vt:lpwstr>
  </property>
  <property fmtid="{D5CDD505-2E9C-101B-9397-08002B2CF9AE}" pid="8" name="bjLeftHeaderLabel-even">
    <vt:lpwstr>&amp;"Times New Roman,Regular"&amp;12&amp;K000000 </vt:lpwstr>
  </property>
  <property fmtid="{D5CDD505-2E9C-101B-9397-08002B2CF9AE}" pid="9" name="bjLeftHeaderLabel">
    <vt:lpwstr>&amp;"Times New Roman,Regular"&amp;12&amp;K000000 </vt:lpwstr>
  </property>
  <property fmtid="{D5CDD505-2E9C-101B-9397-08002B2CF9AE}" pid="10" name="bjClsUserRVM">
    <vt:lpwstr>[]</vt:lpwstr>
  </property>
</Properties>
</file>