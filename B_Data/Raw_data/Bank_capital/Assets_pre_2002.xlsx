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mugrabi\Desktop\House_credit_cycles\B_Data\Raw_data\Bank_capital\"/>
    </mc:Choice>
  </mc:AlternateContent>
  <bookViews>
    <workbookView xWindow="0" yWindow="0" windowWidth="13130" windowHeight="6110"/>
  </bookViews>
  <sheets>
    <sheet name="readme" sheetId="2" r:id="rId1"/>
    <sheet name="table_a-4_credit_institution" sheetId="5" r:id="rId2"/>
    <sheet name="STATS_data" sheetId="3" r:id="rId3"/>
    <sheet name="Merging_STAT_Tab4" sheetId="4" r:id="rId4"/>
  </sheets>
  <calcPr calcId="162913"/>
</workbook>
</file>

<file path=xl/calcChain.xml><?xml version="1.0" encoding="utf-8"?>
<calcChain xmlns="http://schemas.openxmlformats.org/spreadsheetml/2006/main">
  <c r="C134" i="4" l="1"/>
  <c r="C2" i="5"/>
  <c r="A221" i="4" l="1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2" i="4"/>
  <c r="A133" i="4"/>
  <c r="A123" i="4"/>
  <c r="A124" i="4"/>
  <c r="A125" i="4"/>
  <c r="A126" i="4"/>
  <c r="A127" i="4"/>
  <c r="A128" i="4"/>
  <c r="A129" i="4"/>
  <c r="A130" i="4"/>
  <c r="A13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2" i="4"/>
  <c r="C99" i="4"/>
  <c r="C35" i="4"/>
  <c r="C261" i="5"/>
  <c r="C262" i="5"/>
  <c r="C263" i="5"/>
  <c r="C264" i="5"/>
  <c r="C265" i="5"/>
  <c r="C266" i="5"/>
  <c r="C257" i="5"/>
  <c r="C258" i="5"/>
  <c r="C259" i="5"/>
  <c r="C260" i="5"/>
  <c r="C251" i="5"/>
  <c r="C252" i="5"/>
  <c r="C253" i="5"/>
  <c r="C254" i="5"/>
  <c r="C255" i="5"/>
  <c r="C256" i="5"/>
  <c r="C247" i="5"/>
  <c r="C248" i="5"/>
  <c r="C249" i="5"/>
  <c r="C250" i="5"/>
  <c r="C7" i="5"/>
  <c r="B139" i="4" s="1"/>
  <c r="C139" i="4" s="1"/>
  <c r="C8" i="5"/>
  <c r="B140" i="4" s="1"/>
  <c r="C140" i="4" s="1"/>
  <c r="C9" i="5"/>
  <c r="B141" i="4" s="1"/>
  <c r="C141" i="4" s="1"/>
  <c r="C10" i="5"/>
  <c r="B142" i="4" s="1"/>
  <c r="C142" i="4" s="1"/>
  <c r="C11" i="5"/>
  <c r="B143" i="4" s="1"/>
  <c r="C143" i="4" s="1"/>
  <c r="C12" i="5"/>
  <c r="B144" i="4" s="1"/>
  <c r="C144" i="4" s="1"/>
  <c r="C13" i="5"/>
  <c r="B145" i="4" s="1"/>
  <c r="C145" i="4" s="1"/>
  <c r="C14" i="5"/>
  <c r="B146" i="4" s="1"/>
  <c r="C146" i="4" s="1"/>
  <c r="C15" i="5"/>
  <c r="B147" i="4" s="1"/>
  <c r="C147" i="4" s="1"/>
  <c r="C16" i="5"/>
  <c r="B148" i="4" s="1"/>
  <c r="C148" i="4" s="1"/>
  <c r="C17" i="5"/>
  <c r="B149" i="4" s="1"/>
  <c r="C149" i="4" s="1"/>
  <c r="C18" i="5"/>
  <c r="B150" i="4" s="1"/>
  <c r="C150" i="4" s="1"/>
  <c r="C19" i="5"/>
  <c r="B151" i="4" s="1"/>
  <c r="C151" i="4" s="1"/>
  <c r="C20" i="5"/>
  <c r="B152" i="4" s="1"/>
  <c r="C152" i="4" s="1"/>
  <c r="C21" i="5"/>
  <c r="B153" i="4" s="1"/>
  <c r="C153" i="4" s="1"/>
  <c r="C22" i="5"/>
  <c r="B154" i="4" s="1"/>
  <c r="C154" i="4" s="1"/>
  <c r="C23" i="5"/>
  <c r="B155" i="4" s="1"/>
  <c r="C155" i="4" s="1"/>
  <c r="C24" i="5"/>
  <c r="B156" i="4" s="1"/>
  <c r="C156" i="4" s="1"/>
  <c r="C25" i="5"/>
  <c r="B157" i="4" s="1"/>
  <c r="C157" i="4" s="1"/>
  <c r="C26" i="5"/>
  <c r="B158" i="4" s="1"/>
  <c r="C158" i="4" s="1"/>
  <c r="C27" i="5"/>
  <c r="B159" i="4" s="1"/>
  <c r="C159" i="4" s="1"/>
  <c r="C28" i="5"/>
  <c r="B160" i="4" s="1"/>
  <c r="C160" i="4" s="1"/>
  <c r="C29" i="5"/>
  <c r="B161" i="4" s="1"/>
  <c r="C161" i="4" s="1"/>
  <c r="C30" i="5"/>
  <c r="B162" i="4" s="1"/>
  <c r="C162" i="4" s="1"/>
  <c r="C31" i="5"/>
  <c r="B163" i="4" s="1"/>
  <c r="C163" i="4" s="1"/>
  <c r="C32" i="5"/>
  <c r="B164" i="4" s="1"/>
  <c r="C164" i="4" s="1"/>
  <c r="C33" i="5"/>
  <c r="B165" i="4" s="1"/>
  <c r="C165" i="4" s="1"/>
  <c r="C34" i="5"/>
  <c r="B166" i="4" s="1"/>
  <c r="C166" i="4" s="1"/>
  <c r="C35" i="5"/>
  <c r="B167" i="4" s="1"/>
  <c r="C167" i="4" s="1"/>
  <c r="C36" i="5"/>
  <c r="B168" i="4" s="1"/>
  <c r="C168" i="4" s="1"/>
  <c r="C37" i="5"/>
  <c r="B169" i="4" s="1"/>
  <c r="C169" i="4" s="1"/>
  <c r="C38" i="5"/>
  <c r="B170" i="4" s="1"/>
  <c r="C170" i="4" s="1"/>
  <c r="C39" i="5"/>
  <c r="B171" i="4" s="1"/>
  <c r="C171" i="4" s="1"/>
  <c r="C40" i="5"/>
  <c r="B172" i="4" s="1"/>
  <c r="C172" i="4" s="1"/>
  <c r="C41" i="5"/>
  <c r="B173" i="4" s="1"/>
  <c r="C173" i="4" s="1"/>
  <c r="C42" i="5"/>
  <c r="B174" i="4" s="1"/>
  <c r="C174" i="4" s="1"/>
  <c r="C43" i="5"/>
  <c r="B175" i="4" s="1"/>
  <c r="C175" i="4" s="1"/>
  <c r="C44" i="5"/>
  <c r="B176" i="4" s="1"/>
  <c r="C176" i="4" s="1"/>
  <c r="C45" i="5"/>
  <c r="B177" i="4" s="1"/>
  <c r="C177" i="4" s="1"/>
  <c r="C46" i="5"/>
  <c r="B178" i="4" s="1"/>
  <c r="C178" i="4" s="1"/>
  <c r="C47" i="5"/>
  <c r="B179" i="4" s="1"/>
  <c r="C179" i="4" s="1"/>
  <c r="C48" i="5"/>
  <c r="B180" i="4" s="1"/>
  <c r="C180" i="4" s="1"/>
  <c r="C49" i="5"/>
  <c r="B181" i="4" s="1"/>
  <c r="C181" i="4" s="1"/>
  <c r="C50" i="5"/>
  <c r="B182" i="4" s="1"/>
  <c r="C182" i="4" s="1"/>
  <c r="C51" i="5"/>
  <c r="B183" i="4" s="1"/>
  <c r="C183" i="4" s="1"/>
  <c r="C52" i="5"/>
  <c r="B184" i="4" s="1"/>
  <c r="C184" i="4" s="1"/>
  <c r="C53" i="5"/>
  <c r="B185" i="4" s="1"/>
  <c r="C185" i="4" s="1"/>
  <c r="C54" i="5"/>
  <c r="B186" i="4" s="1"/>
  <c r="C186" i="4" s="1"/>
  <c r="C55" i="5"/>
  <c r="B187" i="4" s="1"/>
  <c r="C187" i="4" s="1"/>
  <c r="C56" i="5"/>
  <c r="B188" i="4" s="1"/>
  <c r="C188" i="4" s="1"/>
  <c r="C57" i="5"/>
  <c r="B189" i="4" s="1"/>
  <c r="C189" i="4" s="1"/>
  <c r="C58" i="5"/>
  <c r="B190" i="4" s="1"/>
  <c r="C190" i="4" s="1"/>
  <c r="C59" i="5"/>
  <c r="B191" i="4" s="1"/>
  <c r="C191" i="4" s="1"/>
  <c r="C60" i="5"/>
  <c r="B192" i="4" s="1"/>
  <c r="C192" i="4" s="1"/>
  <c r="C61" i="5"/>
  <c r="B193" i="4" s="1"/>
  <c r="C193" i="4" s="1"/>
  <c r="C62" i="5"/>
  <c r="B194" i="4" s="1"/>
  <c r="C194" i="4" s="1"/>
  <c r="C63" i="5"/>
  <c r="B195" i="4" s="1"/>
  <c r="C195" i="4" s="1"/>
  <c r="C64" i="5"/>
  <c r="B196" i="4" s="1"/>
  <c r="C196" i="4" s="1"/>
  <c r="C65" i="5"/>
  <c r="B197" i="4" s="1"/>
  <c r="C197" i="4" s="1"/>
  <c r="C66" i="5"/>
  <c r="B198" i="4" s="1"/>
  <c r="C198" i="4" s="1"/>
  <c r="C67" i="5"/>
  <c r="B199" i="4" s="1"/>
  <c r="C199" i="4" s="1"/>
  <c r="C68" i="5"/>
  <c r="B200" i="4" s="1"/>
  <c r="C200" i="4" s="1"/>
  <c r="C69" i="5"/>
  <c r="B201" i="4" s="1"/>
  <c r="C201" i="4" s="1"/>
  <c r="C70" i="5"/>
  <c r="B202" i="4" s="1"/>
  <c r="C202" i="4" s="1"/>
  <c r="C71" i="5"/>
  <c r="B203" i="4" s="1"/>
  <c r="C203" i="4" s="1"/>
  <c r="C72" i="5"/>
  <c r="B204" i="4" s="1"/>
  <c r="C204" i="4" s="1"/>
  <c r="C73" i="5"/>
  <c r="B205" i="4" s="1"/>
  <c r="C205" i="4" s="1"/>
  <c r="C74" i="5"/>
  <c r="B206" i="4" s="1"/>
  <c r="C206" i="4" s="1"/>
  <c r="C75" i="5"/>
  <c r="B207" i="4" s="1"/>
  <c r="C207" i="4" s="1"/>
  <c r="C76" i="5"/>
  <c r="B208" i="4" s="1"/>
  <c r="C208" i="4" s="1"/>
  <c r="C77" i="5"/>
  <c r="B209" i="4" s="1"/>
  <c r="C209" i="4" s="1"/>
  <c r="C78" i="5"/>
  <c r="B210" i="4" s="1"/>
  <c r="C210" i="4" s="1"/>
  <c r="C79" i="5"/>
  <c r="B211" i="4" s="1"/>
  <c r="C211" i="4" s="1"/>
  <c r="C80" i="5"/>
  <c r="B212" i="4" s="1"/>
  <c r="C212" i="4" s="1"/>
  <c r="C81" i="5"/>
  <c r="B213" i="4" s="1"/>
  <c r="C213" i="4" s="1"/>
  <c r="C82" i="5"/>
  <c r="B214" i="4" s="1"/>
  <c r="C214" i="4" s="1"/>
  <c r="C83" i="5"/>
  <c r="B215" i="4" s="1"/>
  <c r="C215" i="4" s="1"/>
  <c r="C84" i="5"/>
  <c r="B216" i="4" s="1"/>
  <c r="C216" i="4" s="1"/>
  <c r="C85" i="5"/>
  <c r="B217" i="4" s="1"/>
  <c r="C217" i="4" s="1"/>
  <c r="C86" i="5"/>
  <c r="B218" i="4" s="1"/>
  <c r="C218" i="4" s="1"/>
  <c r="C87" i="5"/>
  <c r="B219" i="4" s="1"/>
  <c r="C219" i="4" s="1"/>
  <c r="C88" i="5"/>
  <c r="B220" i="4" s="1"/>
  <c r="C220" i="4" s="1"/>
  <c r="C89" i="5"/>
  <c r="B221" i="4" s="1"/>
  <c r="C221" i="4" s="1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3" i="5"/>
  <c r="B135" i="4" s="1"/>
  <c r="C135" i="4" s="1"/>
  <c r="C4" i="5"/>
  <c r="B136" i="4" s="1"/>
  <c r="C136" i="4" s="1"/>
  <c r="C5" i="5"/>
  <c r="B137" i="4" s="1"/>
  <c r="C137" i="4" s="1"/>
  <c r="C6" i="5"/>
  <c r="B138" i="4" s="1"/>
  <c r="C138" i="4" s="1"/>
  <c r="B134" i="4"/>
  <c r="C133" i="4"/>
  <c r="C132" i="4"/>
  <c r="C131" i="4"/>
  <c r="C130" i="4"/>
  <c r="C128" i="4"/>
  <c r="C126" i="4"/>
  <c r="C125" i="4"/>
  <c r="C124" i="4"/>
  <c r="C123" i="4"/>
  <c r="C122" i="4"/>
  <c r="C120" i="4"/>
  <c r="C119" i="4"/>
  <c r="C118" i="4"/>
  <c r="C117" i="4"/>
  <c r="C116" i="4"/>
  <c r="C114" i="4"/>
  <c r="C112" i="4"/>
  <c r="C111" i="4"/>
  <c r="C110" i="4"/>
  <c r="C109" i="4"/>
  <c r="C108" i="4"/>
  <c r="C107" i="4"/>
  <c r="C106" i="4"/>
  <c r="C104" i="4"/>
  <c r="C103" i="4"/>
  <c r="C102" i="4"/>
  <c r="C101" i="4"/>
  <c r="C100" i="4"/>
  <c r="C98" i="4"/>
  <c r="C96" i="4"/>
  <c r="C95" i="4"/>
  <c r="C94" i="4"/>
  <c r="C93" i="4"/>
  <c r="C92" i="4"/>
  <c r="C90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91" i="4" l="1"/>
  <c r="C127" i="4"/>
  <c r="C115" i="4"/>
  <c r="C89" i="4"/>
  <c r="C97" i="4"/>
  <c r="C105" i="4"/>
  <c r="C113" i="4"/>
  <c r="C121" i="4"/>
  <c r="C129" i="4"/>
</calcChain>
</file>

<file path=xl/sharedStrings.xml><?xml version="1.0" encoding="utf-8"?>
<sst xmlns="http://schemas.openxmlformats.org/spreadsheetml/2006/main" count="31" uniqueCount="27">
  <si>
    <t>Date</t>
  </si>
  <si>
    <t>Total Assets</t>
  </si>
  <si>
    <t>Total Irish Resident Assets</t>
  </si>
  <si>
    <t>Total Non-Resident Assets</t>
  </si>
  <si>
    <t>Other Credit Institutions - Aggregate Balance Sheet</t>
  </si>
  <si>
    <t>Licenced Banks - Aggregate Balance Sheet</t>
  </si>
  <si>
    <t>Building Societies - Aggregate Balance Sheet</t>
  </si>
  <si>
    <t>Farah Mugrabi</t>
  </si>
  <si>
    <t>Realized</t>
  </si>
  <si>
    <t>Table4</t>
  </si>
  <si>
    <r>
      <rPr>
        <b/>
        <i/>
        <sz val="11"/>
        <color rgb="FF000000"/>
        <rFont val="Calibri"/>
        <family val="2"/>
      </rPr>
      <t>Source:</t>
    </r>
    <r>
      <rPr>
        <i/>
        <sz val="11"/>
        <color rgb="FF000000"/>
        <rFont val="Calibri"/>
        <family val="2"/>
        <scheme val="minor"/>
      </rPr>
      <t xml:space="preserve"> ie_table_a-4_credit_institutions_-_aggregate_balance_sheet.xlsx</t>
    </r>
  </si>
  <si>
    <r>
      <rPr>
        <b/>
        <i/>
        <sz val="11"/>
        <color rgb="FF000000"/>
        <rFont val="Calibri"/>
        <family val="2"/>
      </rPr>
      <t>Source:</t>
    </r>
    <r>
      <rPr>
        <i/>
        <sz val="11"/>
        <color rgb="FF000000"/>
        <rFont val="Calibri"/>
        <family val="2"/>
        <scheme val="minor"/>
      </rPr>
      <t xml:space="preserve"> Total Assets with Residency Breakdown_1992 to 2002.xlsx</t>
    </r>
  </si>
  <si>
    <t>Method:</t>
  </si>
  <si>
    <t>I bring Total Assets in the STATS data sheet all together in 1 column</t>
  </si>
  <si>
    <t>I take the total assets issued by Irish residents: Calculated Total, this is more than the sum of the three groups:</t>
  </si>
  <si>
    <r>
      <rPr>
        <b/>
        <sz val="11"/>
        <color rgb="FF000000"/>
        <rFont val="Calibri"/>
        <family val="2"/>
      </rPr>
      <t>Public data Link:</t>
    </r>
    <r>
      <rPr>
        <sz val="11"/>
        <color rgb="FF000000"/>
        <rFont val="Calibri"/>
        <family val="2"/>
        <scheme val="minor"/>
      </rPr>
      <t xml:space="preserve"> https://www.centralbank.ie/docs/default-source/statistics/data-and-analysis/credit-and-banking-statistics/bank-balance-sheets/bank-balance-sheets-data/ie_table_a-4_credit_institutions_-_aggregate_balance_sheet.xlsx?sfvrsn=2d49f1d_52</t>
    </r>
  </si>
  <si>
    <t>1) ie_table_a-4_credit_institutions_-_aggregate_balance_sheet</t>
  </si>
  <si>
    <t>2) Total Assets with Residency Breakdown_1992 to 2002.xlsx</t>
  </si>
  <si>
    <t>Source: Stats CBI</t>
  </si>
  <si>
    <r>
      <rPr>
        <sz val="11"/>
        <color rgb="FF000000"/>
        <rFont val="Calibri"/>
        <family val="2"/>
      </rPr>
      <t>Public data Link:</t>
    </r>
    <r>
      <rPr>
        <sz val="11"/>
        <color rgb="FF000000"/>
        <rFont val="Calibri"/>
        <family val="2"/>
        <scheme val="minor"/>
      </rPr>
      <t xml:space="preserve"> https://www.centralbank.ie/docs/default-source/statistics/data-and-analysis/credit-and-banking-statistics/bank-balance-sheets/bank-balance-sheets-data/ie_table_a-4_credit_institutions_-_aggregate_balance_sheet.xlsx?sfvrsn=2d49f1d_52</t>
    </r>
  </si>
  <si>
    <t xml:space="preserve">I will call this data STAT_data sheet in the R code Bank_crisis </t>
  </si>
  <si>
    <t>For post 2003 values, in the R script Bank_crisis I call directly to the excel file in the CBI website to automatize uptadates, here I bring it just for a comparisson (see Sheet Merging_STAT_Tab4 graph)</t>
  </si>
  <si>
    <t>There, I check in if by merging table 4 and stat data I will obtain something coherent, I do</t>
  </si>
  <si>
    <t>I exported the estimated series in the excel Assets_extrapolated.xlsx</t>
  </si>
  <si>
    <t>Goal:</t>
  </si>
  <si>
    <t>I extrapolated the domestic assets provided by domestic credit institutions with OLS regression, see R code C_Properties/C1.Bank_crisis.R, to get data from 1970s</t>
  </si>
  <si>
    <t>Sources: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</si>
</sst>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1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0"/>
      <name val="Arial"/>
      <family val="2"/>
    </font>
    <font>
      <sz val="10"/>
      <name val="Arial"/>
      <family val="2"/>
    </font>
    <font>
      <sz val="8.25"/>
      <color indexed="8"/>
      <name val="Tahoma"/>
      <family val="2"/>
    </font>
    <font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164" fontId="1" fillId="0" borderId="0" xfId="0" applyNumberFormat="1" applyFont="1"/>
    <xf numFmtId="14" fontId="0" fillId="0" borderId="0" xfId="0" applyNumberFormat="1"/>
    <xf numFmtId="0" fontId="0" fillId="0" borderId="0" xfId="0" applyBorder="1"/>
    <xf numFmtId="14" fontId="0" fillId="0" borderId="2" xfId="0" applyNumberForma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left" indent="1"/>
    </xf>
    <xf numFmtId="0" fontId="5" fillId="0" borderId="6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3" borderId="0" xfId="0" applyFill="1"/>
    <xf numFmtId="0" fontId="6" fillId="0" borderId="6" xfId="0" applyFont="1" applyBorder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6" xfId="0" applyFont="1" applyBorder="1" applyAlignment="1">
      <alignment horizontal="left" indent="2"/>
    </xf>
    <xf numFmtId="0" fontId="0" fillId="0" borderId="6" xfId="0" applyBorder="1" applyAlignment="1">
      <alignment horizontal="left" indent="2"/>
    </xf>
    <xf numFmtId="0" fontId="6" fillId="0" borderId="3" xfId="0" applyFont="1" applyBorder="1"/>
  </cellXfs>
  <cellStyles count="2">
    <cellStyle name="Normal" xfId="0" builtinId="0"/>
    <cellStyle name="Normal 10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MERGED</a:t>
            </a:r>
            <a:r>
              <a:rPr lang="en-IE" baseline="0"/>
              <a:t> SERIES STATS AND TAB4 ASSETS ISSUED BY IRISH RESIDENTS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Merging_STAT_Tab4!$C$2:$C$221</c:f>
              <c:numCache>
                <c:formatCode>General</c:formatCode>
                <c:ptCount val="220"/>
                <c:pt idx="0">
                  <c:v>44894</c:v>
                </c:pt>
                <c:pt idx="1">
                  <c:v>45623</c:v>
                </c:pt>
                <c:pt idx="2">
                  <c:v>46120</c:v>
                </c:pt>
                <c:pt idx="3">
                  <c:v>46405</c:v>
                </c:pt>
                <c:pt idx="4">
                  <c:v>46630</c:v>
                </c:pt>
                <c:pt idx="5">
                  <c:v>46345</c:v>
                </c:pt>
                <c:pt idx="6">
                  <c:v>46842</c:v>
                </c:pt>
                <c:pt idx="7">
                  <c:v>47382</c:v>
                </c:pt>
                <c:pt idx="8">
                  <c:v>48552</c:v>
                </c:pt>
                <c:pt idx="9">
                  <c:v>50061</c:v>
                </c:pt>
                <c:pt idx="10">
                  <c:v>50040</c:v>
                </c:pt>
                <c:pt idx="11">
                  <c:v>49977</c:v>
                </c:pt>
                <c:pt idx="12">
                  <c:v>49592</c:v>
                </c:pt>
                <c:pt idx="13">
                  <c:v>50206</c:v>
                </c:pt>
                <c:pt idx="14">
                  <c:v>49935</c:v>
                </c:pt>
                <c:pt idx="15">
                  <c:v>51407</c:v>
                </c:pt>
                <c:pt idx="16">
                  <c:v>51368</c:v>
                </c:pt>
                <c:pt idx="17">
                  <c:v>52042</c:v>
                </c:pt>
                <c:pt idx="18">
                  <c:v>53734</c:v>
                </c:pt>
                <c:pt idx="19">
                  <c:v>53226</c:v>
                </c:pt>
                <c:pt idx="20">
                  <c:v>52910</c:v>
                </c:pt>
                <c:pt idx="21">
                  <c:v>53071</c:v>
                </c:pt>
                <c:pt idx="22">
                  <c:v>51864</c:v>
                </c:pt>
                <c:pt idx="23">
                  <c:v>52781</c:v>
                </c:pt>
                <c:pt idx="24">
                  <c:v>52945</c:v>
                </c:pt>
                <c:pt idx="25">
                  <c:v>53798</c:v>
                </c:pt>
                <c:pt idx="26">
                  <c:v>49499</c:v>
                </c:pt>
                <c:pt idx="27">
                  <c:v>51827</c:v>
                </c:pt>
                <c:pt idx="28">
                  <c:v>56213</c:v>
                </c:pt>
                <c:pt idx="29">
                  <c:v>50798</c:v>
                </c:pt>
                <c:pt idx="30">
                  <c:v>50618</c:v>
                </c:pt>
                <c:pt idx="31">
                  <c:v>51175</c:v>
                </c:pt>
                <c:pt idx="32">
                  <c:v>52851</c:v>
                </c:pt>
                <c:pt idx="33">
                  <c:v>52853</c:v>
                </c:pt>
                <c:pt idx="34">
                  <c:v>53214</c:v>
                </c:pt>
                <c:pt idx="35">
                  <c:v>54306</c:v>
                </c:pt>
                <c:pt idx="36">
                  <c:v>55239</c:v>
                </c:pt>
                <c:pt idx="37">
                  <c:v>54169</c:v>
                </c:pt>
                <c:pt idx="38">
                  <c:v>54923</c:v>
                </c:pt>
                <c:pt idx="39">
                  <c:v>55732</c:v>
                </c:pt>
                <c:pt idx="40">
                  <c:v>56064</c:v>
                </c:pt>
                <c:pt idx="41">
                  <c:v>56500</c:v>
                </c:pt>
                <c:pt idx="42">
                  <c:v>55838</c:v>
                </c:pt>
                <c:pt idx="43">
                  <c:v>56979</c:v>
                </c:pt>
                <c:pt idx="44">
                  <c:v>57750</c:v>
                </c:pt>
                <c:pt idx="45">
                  <c:v>58411</c:v>
                </c:pt>
                <c:pt idx="46">
                  <c:v>58835</c:v>
                </c:pt>
                <c:pt idx="47">
                  <c:v>62423</c:v>
                </c:pt>
                <c:pt idx="48">
                  <c:v>61370</c:v>
                </c:pt>
                <c:pt idx="49">
                  <c:v>62662</c:v>
                </c:pt>
                <c:pt idx="50">
                  <c:v>63867</c:v>
                </c:pt>
                <c:pt idx="51">
                  <c:v>66759</c:v>
                </c:pt>
                <c:pt idx="52">
                  <c:v>63977</c:v>
                </c:pt>
                <c:pt idx="53">
                  <c:v>64215</c:v>
                </c:pt>
                <c:pt idx="54">
                  <c:v>64596</c:v>
                </c:pt>
                <c:pt idx="55">
                  <c:v>65799</c:v>
                </c:pt>
                <c:pt idx="56">
                  <c:v>65844</c:v>
                </c:pt>
                <c:pt idx="57">
                  <c:v>68434</c:v>
                </c:pt>
                <c:pt idx="58">
                  <c:v>69064</c:v>
                </c:pt>
                <c:pt idx="59">
                  <c:v>71204</c:v>
                </c:pt>
                <c:pt idx="60">
                  <c:v>71174</c:v>
                </c:pt>
                <c:pt idx="61">
                  <c:v>71697</c:v>
                </c:pt>
                <c:pt idx="62">
                  <c:v>74932</c:v>
                </c:pt>
                <c:pt idx="63">
                  <c:v>75886</c:v>
                </c:pt>
                <c:pt idx="64">
                  <c:v>78706</c:v>
                </c:pt>
                <c:pt idx="65">
                  <c:v>79504</c:v>
                </c:pt>
                <c:pt idx="66">
                  <c:v>81429</c:v>
                </c:pt>
                <c:pt idx="67">
                  <c:v>82357</c:v>
                </c:pt>
                <c:pt idx="68">
                  <c:v>85244</c:v>
                </c:pt>
                <c:pt idx="69">
                  <c:v>85945</c:v>
                </c:pt>
                <c:pt idx="70">
                  <c:v>88973</c:v>
                </c:pt>
                <c:pt idx="71">
                  <c:v>93675</c:v>
                </c:pt>
                <c:pt idx="72">
                  <c:v>94984</c:v>
                </c:pt>
                <c:pt idx="73">
                  <c:v>95168</c:v>
                </c:pt>
                <c:pt idx="74">
                  <c:v>97979</c:v>
                </c:pt>
                <c:pt idx="75">
                  <c:v>100936</c:v>
                </c:pt>
                <c:pt idx="76">
                  <c:v>103300</c:v>
                </c:pt>
                <c:pt idx="77">
                  <c:v>102251</c:v>
                </c:pt>
                <c:pt idx="78">
                  <c:v>104610</c:v>
                </c:pt>
                <c:pt idx="79">
                  <c:v>107011</c:v>
                </c:pt>
                <c:pt idx="80">
                  <c:v>106490</c:v>
                </c:pt>
                <c:pt idx="81">
                  <c:v>111907</c:v>
                </c:pt>
                <c:pt idx="82">
                  <c:v>110487</c:v>
                </c:pt>
                <c:pt idx="83">
                  <c:v>111835</c:v>
                </c:pt>
                <c:pt idx="84">
                  <c:v>113965</c:v>
                </c:pt>
                <c:pt idx="85">
                  <c:v>115018</c:v>
                </c:pt>
                <c:pt idx="86">
                  <c:v>120116</c:v>
                </c:pt>
                <c:pt idx="87">
                  <c:v>123040</c:v>
                </c:pt>
                <c:pt idx="88">
                  <c:v>124136</c:v>
                </c:pt>
                <c:pt idx="89">
                  <c:v>125732</c:v>
                </c:pt>
                <c:pt idx="90">
                  <c:v>128402</c:v>
                </c:pt>
                <c:pt idx="91">
                  <c:v>129928</c:v>
                </c:pt>
                <c:pt idx="92">
                  <c:v>129418</c:v>
                </c:pt>
                <c:pt idx="93">
                  <c:v>134821</c:v>
                </c:pt>
                <c:pt idx="94">
                  <c:v>136127</c:v>
                </c:pt>
                <c:pt idx="95">
                  <c:v>136493</c:v>
                </c:pt>
                <c:pt idx="96">
                  <c:v>140022</c:v>
                </c:pt>
                <c:pt idx="97">
                  <c:v>144390</c:v>
                </c:pt>
                <c:pt idx="98">
                  <c:v>149214</c:v>
                </c:pt>
                <c:pt idx="99">
                  <c:v>150992</c:v>
                </c:pt>
                <c:pt idx="100">
                  <c:v>149907</c:v>
                </c:pt>
                <c:pt idx="101">
                  <c:v>149435</c:v>
                </c:pt>
                <c:pt idx="102">
                  <c:v>151672</c:v>
                </c:pt>
                <c:pt idx="103">
                  <c:v>157443</c:v>
                </c:pt>
                <c:pt idx="104">
                  <c:v>157354</c:v>
                </c:pt>
                <c:pt idx="105">
                  <c:v>159206</c:v>
                </c:pt>
                <c:pt idx="106">
                  <c:v>159437</c:v>
                </c:pt>
                <c:pt idx="107">
                  <c:v>155141</c:v>
                </c:pt>
                <c:pt idx="108">
                  <c:v>160514</c:v>
                </c:pt>
                <c:pt idx="109">
                  <c:v>162335</c:v>
                </c:pt>
                <c:pt idx="110">
                  <c:v>166945</c:v>
                </c:pt>
                <c:pt idx="111">
                  <c:v>169575</c:v>
                </c:pt>
                <c:pt idx="112">
                  <c:v>170122</c:v>
                </c:pt>
                <c:pt idx="113">
                  <c:v>172966</c:v>
                </c:pt>
                <c:pt idx="114">
                  <c:v>171459</c:v>
                </c:pt>
                <c:pt idx="115">
                  <c:v>171231</c:v>
                </c:pt>
                <c:pt idx="116">
                  <c:v>173687</c:v>
                </c:pt>
                <c:pt idx="117">
                  <c:v>170088</c:v>
                </c:pt>
                <c:pt idx="118">
                  <c:v>175933</c:v>
                </c:pt>
                <c:pt idx="119">
                  <c:v>178124</c:v>
                </c:pt>
                <c:pt idx="120">
                  <c:v>178499</c:v>
                </c:pt>
                <c:pt idx="121">
                  <c:v>183538</c:v>
                </c:pt>
                <c:pt idx="122">
                  <c:v>179054</c:v>
                </c:pt>
                <c:pt idx="123">
                  <c:v>180836</c:v>
                </c:pt>
                <c:pt idx="124">
                  <c:v>178236</c:v>
                </c:pt>
                <c:pt idx="125">
                  <c:v>177668</c:v>
                </c:pt>
                <c:pt idx="126">
                  <c:v>183724</c:v>
                </c:pt>
                <c:pt idx="127">
                  <c:v>186268</c:v>
                </c:pt>
                <c:pt idx="128">
                  <c:v>189584</c:v>
                </c:pt>
                <c:pt idx="129">
                  <c:v>188748</c:v>
                </c:pt>
                <c:pt idx="130">
                  <c:v>195041</c:v>
                </c:pt>
                <c:pt idx="131">
                  <c:v>197097</c:v>
                </c:pt>
                <c:pt idx="132">
                  <c:v>200747</c:v>
                </c:pt>
                <c:pt idx="133">
                  <c:v>204936</c:v>
                </c:pt>
                <c:pt idx="134">
                  <c:v>202908</c:v>
                </c:pt>
                <c:pt idx="135">
                  <c:v>204636</c:v>
                </c:pt>
                <c:pt idx="136">
                  <c:v>207636</c:v>
                </c:pt>
                <c:pt idx="137">
                  <c:v>204971</c:v>
                </c:pt>
                <c:pt idx="138">
                  <c:v>211924</c:v>
                </c:pt>
                <c:pt idx="139">
                  <c:v>218217</c:v>
                </c:pt>
                <c:pt idx="140">
                  <c:v>221116</c:v>
                </c:pt>
                <c:pt idx="141">
                  <c:v>225027</c:v>
                </c:pt>
                <c:pt idx="142">
                  <c:v>226393</c:v>
                </c:pt>
                <c:pt idx="143">
                  <c:v>231931</c:v>
                </c:pt>
                <c:pt idx="144">
                  <c:v>229600</c:v>
                </c:pt>
                <c:pt idx="145">
                  <c:v>235740</c:v>
                </c:pt>
                <c:pt idx="146">
                  <c:v>243193</c:v>
                </c:pt>
                <c:pt idx="147">
                  <c:v>246472</c:v>
                </c:pt>
                <c:pt idx="148">
                  <c:v>252515</c:v>
                </c:pt>
                <c:pt idx="149">
                  <c:v>256166</c:v>
                </c:pt>
                <c:pt idx="150">
                  <c:v>275036</c:v>
                </c:pt>
                <c:pt idx="151">
                  <c:v>274558</c:v>
                </c:pt>
                <c:pt idx="152">
                  <c:v>279390</c:v>
                </c:pt>
                <c:pt idx="153">
                  <c:v>286381</c:v>
                </c:pt>
                <c:pt idx="154">
                  <c:v>293004</c:v>
                </c:pt>
                <c:pt idx="155">
                  <c:v>299228</c:v>
                </c:pt>
                <c:pt idx="156">
                  <c:v>305024</c:v>
                </c:pt>
                <c:pt idx="157">
                  <c:v>308959</c:v>
                </c:pt>
                <c:pt idx="158">
                  <c:v>317252</c:v>
                </c:pt>
                <c:pt idx="159">
                  <c:v>322261</c:v>
                </c:pt>
                <c:pt idx="160">
                  <c:v>330953</c:v>
                </c:pt>
                <c:pt idx="161">
                  <c:v>341341</c:v>
                </c:pt>
                <c:pt idx="162">
                  <c:v>351160</c:v>
                </c:pt>
                <c:pt idx="163">
                  <c:v>357553</c:v>
                </c:pt>
                <c:pt idx="164">
                  <c:v>361873</c:v>
                </c:pt>
                <c:pt idx="165">
                  <c:v>372150</c:v>
                </c:pt>
                <c:pt idx="166">
                  <c:v>381303</c:v>
                </c:pt>
                <c:pt idx="167">
                  <c:v>391671</c:v>
                </c:pt>
                <c:pt idx="168">
                  <c:v>399190</c:v>
                </c:pt>
                <c:pt idx="169">
                  <c:v>424772</c:v>
                </c:pt>
                <c:pt idx="170">
                  <c:v>424744</c:v>
                </c:pt>
                <c:pt idx="171">
                  <c:v>436568</c:v>
                </c:pt>
                <c:pt idx="172">
                  <c:v>445351</c:v>
                </c:pt>
                <c:pt idx="173">
                  <c:v>456951</c:v>
                </c:pt>
                <c:pt idx="174">
                  <c:v>455115</c:v>
                </c:pt>
                <c:pt idx="175">
                  <c:v>465185</c:v>
                </c:pt>
                <c:pt idx="176">
                  <c:v>471022</c:v>
                </c:pt>
                <c:pt idx="177">
                  <c:v>480650</c:v>
                </c:pt>
                <c:pt idx="178">
                  <c:v>496353</c:v>
                </c:pt>
                <c:pt idx="179">
                  <c:v>506041</c:v>
                </c:pt>
                <c:pt idx="180">
                  <c:v>500490</c:v>
                </c:pt>
                <c:pt idx="181">
                  <c:v>502431</c:v>
                </c:pt>
                <c:pt idx="182">
                  <c:v>508903</c:v>
                </c:pt>
                <c:pt idx="183">
                  <c:v>508439</c:v>
                </c:pt>
                <c:pt idx="184">
                  <c:v>514712</c:v>
                </c:pt>
                <c:pt idx="185">
                  <c:v>528812</c:v>
                </c:pt>
                <c:pt idx="186">
                  <c:v>525811</c:v>
                </c:pt>
                <c:pt idx="187">
                  <c:v>508666</c:v>
                </c:pt>
                <c:pt idx="188">
                  <c:v>517767</c:v>
                </c:pt>
                <c:pt idx="189">
                  <c:v>525409</c:v>
                </c:pt>
                <c:pt idx="190">
                  <c:v>577425</c:v>
                </c:pt>
                <c:pt idx="191">
                  <c:v>593504</c:v>
                </c:pt>
                <c:pt idx="192">
                  <c:v>564829</c:v>
                </c:pt>
                <c:pt idx="193">
                  <c:v>571190</c:v>
                </c:pt>
                <c:pt idx="194">
                  <c:v>575004</c:v>
                </c:pt>
                <c:pt idx="195">
                  <c:v>572174</c:v>
                </c:pt>
                <c:pt idx="196">
                  <c:v>601163</c:v>
                </c:pt>
                <c:pt idx="197">
                  <c:v>594360</c:v>
                </c:pt>
                <c:pt idx="198">
                  <c:v>574225</c:v>
                </c:pt>
                <c:pt idx="199">
                  <c:v>581175</c:v>
                </c:pt>
                <c:pt idx="200">
                  <c:v>612902</c:v>
                </c:pt>
                <c:pt idx="201">
                  <c:v>626742</c:v>
                </c:pt>
                <c:pt idx="202">
                  <c:v>636295</c:v>
                </c:pt>
                <c:pt idx="203">
                  <c:v>642815</c:v>
                </c:pt>
                <c:pt idx="204">
                  <c:v>662655</c:v>
                </c:pt>
                <c:pt idx="205">
                  <c:v>663253</c:v>
                </c:pt>
                <c:pt idx="206">
                  <c:v>653551</c:v>
                </c:pt>
                <c:pt idx="207">
                  <c:v>658816</c:v>
                </c:pt>
                <c:pt idx="208">
                  <c:v>660877</c:v>
                </c:pt>
                <c:pt idx="209">
                  <c:v>654067</c:v>
                </c:pt>
                <c:pt idx="210">
                  <c:v>652903</c:v>
                </c:pt>
                <c:pt idx="211">
                  <c:v>648760</c:v>
                </c:pt>
                <c:pt idx="212">
                  <c:v>638129</c:v>
                </c:pt>
                <c:pt idx="213">
                  <c:v>632552</c:v>
                </c:pt>
                <c:pt idx="214">
                  <c:v>629360</c:v>
                </c:pt>
                <c:pt idx="215">
                  <c:v>639103</c:v>
                </c:pt>
                <c:pt idx="216">
                  <c:v>643937</c:v>
                </c:pt>
                <c:pt idx="217">
                  <c:v>620310</c:v>
                </c:pt>
                <c:pt idx="218">
                  <c:v>625162</c:v>
                </c:pt>
                <c:pt idx="219">
                  <c:v>618089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1-4FA6-99D8-6A40F2BE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803256"/>
        <c:axId val="975804568"/>
      </c:lineChart>
      <c:catAx>
        <c:axId val="975803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04568"/>
        <c:crosses val="autoZero"/>
        <c:auto val="1"/>
        <c:lblAlgn val="ctr"/>
        <c:lblOffset val="100"/>
        <c:noMultiLvlLbl val="0"/>
      </c:catAx>
      <c:valAx>
        <c:axId val="97580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03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203</xdr:row>
      <xdr:rowOff>22225</xdr:rowOff>
    </xdr:from>
    <xdr:to>
      <xdr:col>11</xdr:col>
      <xdr:colOff>314325</xdr:colOff>
      <xdr:row>218</xdr:row>
      <xdr:rowOff>3175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S24"/>
  <sheetViews>
    <sheetView showGridLines="0" tabSelected="1" topLeftCell="A9" workbookViewId="0">
      <selection activeCell="B22" sqref="B22"/>
    </sheetView>
  </sheetViews>
  <sheetFormatPr defaultRowHeight="14.5" x14ac:dyDescent="0.35"/>
  <cols>
    <col min="1" max="1" width="3.54296875" customWidth="1"/>
    <col min="19" max="19" width="2.54296875" customWidth="1"/>
  </cols>
  <sheetData>
    <row r="2" spans="2:19" ht="12.5" customHeight="1" x14ac:dyDescent="0.35">
      <c r="B2" s="24" t="s">
        <v>24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x14ac:dyDescent="0.35">
      <c r="B3" s="8" t="s">
        <v>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9"/>
    </row>
    <row r="4" spans="2:19" x14ac:dyDescent="0.35">
      <c r="B4" s="8" t="s">
        <v>23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9"/>
    </row>
    <row r="5" spans="2:19" x14ac:dyDescent="0.35"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9"/>
    </row>
    <row r="6" spans="2:19" x14ac:dyDescent="0.35">
      <c r="B6" s="15" t="s">
        <v>26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9"/>
    </row>
    <row r="7" spans="2:19" s="3" customFormat="1" x14ac:dyDescent="0.35">
      <c r="B7" s="8" t="s">
        <v>16</v>
      </c>
    </row>
    <row r="8" spans="2:19" x14ac:dyDescent="0.35">
      <c r="B8" s="22" t="s">
        <v>19</v>
      </c>
      <c r="C8" s="3"/>
      <c r="D8" s="3"/>
      <c r="E8" s="3"/>
      <c r="F8" s="3"/>
      <c r="G8" s="3"/>
      <c r="I8" s="3"/>
      <c r="J8" s="3"/>
      <c r="K8" s="3"/>
      <c r="L8" s="3"/>
      <c r="M8" s="3"/>
      <c r="N8" s="3"/>
      <c r="O8" s="3"/>
      <c r="P8" s="3"/>
      <c r="Q8" s="3"/>
      <c r="R8" s="3"/>
      <c r="S8" s="9"/>
    </row>
    <row r="9" spans="2:19" x14ac:dyDescent="0.35">
      <c r="B9" s="8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9"/>
    </row>
    <row r="10" spans="2:19" x14ac:dyDescent="0.35">
      <c r="B10" s="23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2:19" x14ac:dyDescent="0.35"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2:19" x14ac:dyDescent="0.35">
      <c r="B12" s="15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2:19" x14ac:dyDescent="0.35">
      <c r="B13" s="8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2:19" s="3" customFormat="1" x14ac:dyDescent="0.35">
      <c r="B14" s="8" t="s">
        <v>14</v>
      </c>
    </row>
    <row r="15" spans="2:19" x14ac:dyDescent="0.35">
      <c r="B15" s="10" t="s">
        <v>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9"/>
    </row>
    <row r="16" spans="2:19" x14ac:dyDescent="0.35">
      <c r="B16" s="10" t="s">
        <v>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9"/>
    </row>
    <row r="17" spans="2:19" x14ac:dyDescent="0.35">
      <c r="B17" s="10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9"/>
    </row>
    <row r="18" spans="2:19" x14ac:dyDescent="0.35">
      <c r="B18" s="8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9"/>
    </row>
    <row r="19" spans="2:19" x14ac:dyDescent="0.35">
      <c r="B19" s="8" t="s">
        <v>21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9"/>
    </row>
    <row r="20" spans="2:19" x14ac:dyDescent="0.35">
      <c r="B20" s="8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9"/>
    </row>
    <row r="21" spans="2:19" x14ac:dyDescent="0.35">
      <c r="B21" s="1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9"/>
    </row>
    <row r="22" spans="2:19" x14ac:dyDescent="0.35">
      <c r="B22" s="11" t="s">
        <v>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9"/>
    </row>
    <row r="23" spans="2:19" x14ac:dyDescent="0.35"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9"/>
    </row>
    <row r="24" spans="2:19" ht="8" customHeight="1" x14ac:dyDescent="0.35">
      <c r="B24" s="1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13"/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67"/>
  <sheetViews>
    <sheetView topLeftCell="B1" workbookViewId="0">
      <selection activeCell="C2" sqref="C2"/>
    </sheetView>
  </sheetViews>
  <sheetFormatPr defaultRowHeight="14.5" x14ac:dyDescent="0.35"/>
  <cols>
    <col min="1" max="1" width="10.453125" bestFit="1" customWidth="1"/>
  </cols>
  <sheetData>
    <row r="1" spans="1:6" s="16" customFormat="1" ht="37.5" x14ac:dyDescent="0.35">
      <c r="B1" s="17" t="s">
        <v>1</v>
      </c>
      <c r="C1" s="18" t="s">
        <v>2</v>
      </c>
      <c r="D1" s="19" t="s">
        <v>3</v>
      </c>
      <c r="F1" s="20" t="s">
        <v>10</v>
      </c>
    </row>
    <row r="2" spans="1:6" x14ac:dyDescent="0.35">
      <c r="A2" s="2">
        <v>37622</v>
      </c>
      <c r="B2">
        <v>477233</v>
      </c>
      <c r="C2">
        <f>B2-D2</f>
        <v>200747</v>
      </c>
      <c r="D2">
        <v>276486</v>
      </c>
      <c r="F2" t="s">
        <v>15</v>
      </c>
    </row>
    <row r="3" spans="1:6" x14ac:dyDescent="0.35">
      <c r="A3" s="2">
        <v>37653</v>
      </c>
      <c r="B3">
        <v>494064</v>
      </c>
      <c r="C3">
        <f t="shared" ref="C3:C66" si="0">B3-D3</f>
        <v>204936</v>
      </c>
      <c r="D3">
        <v>289128</v>
      </c>
    </row>
    <row r="4" spans="1:6" x14ac:dyDescent="0.35">
      <c r="A4" s="2">
        <v>37681</v>
      </c>
      <c r="B4">
        <v>494554</v>
      </c>
      <c r="C4">
        <f t="shared" si="0"/>
        <v>202908</v>
      </c>
      <c r="D4">
        <v>291646</v>
      </c>
    </row>
    <row r="5" spans="1:6" x14ac:dyDescent="0.35">
      <c r="A5" s="2">
        <v>37712</v>
      </c>
      <c r="B5">
        <v>499978</v>
      </c>
      <c r="C5">
        <f t="shared" si="0"/>
        <v>204636</v>
      </c>
      <c r="D5">
        <v>295342</v>
      </c>
    </row>
    <row r="6" spans="1:6" x14ac:dyDescent="0.35">
      <c r="A6" s="2">
        <v>37742</v>
      </c>
      <c r="B6">
        <v>511965</v>
      </c>
      <c r="C6">
        <f t="shared" si="0"/>
        <v>207636</v>
      </c>
      <c r="D6">
        <v>304329</v>
      </c>
    </row>
    <row r="7" spans="1:6" x14ac:dyDescent="0.35">
      <c r="A7" s="2">
        <v>37773</v>
      </c>
      <c r="B7">
        <v>519461</v>
      </c>
      <c r="C7">
        <f t="shared" si="0"/>
        <v>204971</v>
      </c>
      <c r="D7">
        <v>314490</v>
      </c>
    </row>
    <row r="8" spans="1:6" x14ac:dyDescent="0.35">
      <c r="A8" s="2">
        <v>37803</v>
      </c>
      <c r="B8">
        <v>529687</v>
      </c>
      <c r="C8">
        <f t="shared" si="0"/>
        <v>211924</v>
      </c>
      <c r="D8">
        <v>317763</v>
      </c>
    </row>
    <row r="9" spans="1:6" x14ac:dyDescent="0.35">
      <c r="A9" s="2">
        <v>37834</v>
      </c>
      <c r="B9">
        <v>539354</v>
      </c>
      <c r="C9">
        <f t="shared" si="0"/>
        <v>218217</v>
      </c>
      <c r="D9">
        <v>321137</v>
      </c>
    </row>
    <row r="10" spans="1:6" x14ac:dyDescent="0.35">
      <c r="A10" s="2">
        <v>37865</v>
      </c>
      <c r="B10">
        <v>554939</v>
      </c>
      <c r="C10">
        <f t="shared" si="0"/>
        <v>221116</v>
      </c>
      <c r="D10">
        <v>333823</v>
      </c>
    </row>
    <row r="11" spans="1:6" x14ac:dyDescent="0.35">
      <c r="A11" s="2">
        <v>37895</v>
      </c>
      <c r="B11">
        <v>558226</v>
      </c>
      <c r="C11">
        <f t="shared" si="0"/>
        <v>225027</v>
      </c>
      <c r="D11">
        <v>333199</v>
      </c>
    </row>
    <row r="12" spans="1:6" x14ac:dyDescent="0.35">
      <c r="A12" s="2">
        <v>37926</v>
      </c>
      <c r="B12">
        <v>560042</v>
      </c>
      <c r="C12">
        <f t="shared" si="0"/>
        <v>226393</v>
      </c>
      <c r="D12">
        <v>333649</v>
      </c>
    </row>
    <row r="13" spans="1:6" x14ac:dyDescent="0.35">
      <c r="A13" s="2">
        <v>37956</v>
      </c>
      <c r="B13">
        <v>575168</v>
      </c>
      <c r="C13">
        <f t="shared" si="0"/>
        <v>231931</v>
      </c>
      <c r="D13">
        <v>343237</v>
      </c>
    </row>
    <row r="14" spans="1:6" x14ac:dyDescent="0.35">
      <c r="A14" s="2">
        <v>37987</v>
      </c>
      <c r="B14">
        <v>584048</v>
      </c>
      <c r="C14">
        <f t="shared" si="0"/>
        <v>229600</v>
      </c>
      <c r="D14">
        <v>354448</v>
      </c>
    </row>
    <row r="15" spans="1:6" x14ac:dyDescent="0.35">
      <c r="A15" s="2">
        <v>38018</v>
      </c>
      <c r="B15">
        <v>602936</v>
      </c>
      <c r="C15">
        <f t="shared" si="0"/>
        <v>235740</v>
      </c>
      <c r="D15">
        <v>367196</v>
      </c>
    </row>
    <row r="16" spans="1:6" x14ac:dyDescent="0.35">
      <c r="A16" s="2">
        <v>38047</v>
      </c>
      <c r="B16">
        <v>628355</v>
      </c>
      <c r="C16">
        <f t="shared" si="0"/>
        <v>243193</v>
      </c>
      <c r="D16">
        <v>385162</v>
      </c>
    </row>
    <row r="17" spans="1:4" x14ac:dyDescent="0.35">
      <c r="A17" s="2">
        <v>38078</v>
      </c>
      <c r="B17">
        <v>629524</v>
      </c>
      <c r="C17">
        <f t="shared" si="0"/>
        <v>246472</v>
      </c>
      <c r="D17">
        <v>383052</v>
      </c>
    </row>
    <row r="18" spans="1:4" x14ac:dyDescent="0.35">
      <c r="A18" s="2">
        <v>38108</v>
      </c>
      <c r="B18">
        <v>644604</v>
      </c>
      <c r="C18">
        <f t="shared" si="0"/>
        <v>252515</v>
      </c>
      <c r="D18">
        <v>392089</v>
      </c>
    </row>
    <row r="19" spans="1:4" x14ac:dyDescent="0.35">
      <c r="A19" s="2">
        <v>38139</v>
      </c>
      <c r="B19">
        <v>653151</v>
      </c>
      <c r="C19">
        <f t="shared" si="0"/>
        <v>256166</v>
      </c>
      <c r="D19">
        <v>396985</v>
      </c>
    </row>
    <row r="20" spans="1:4" x14ac:dyDescent="0.35">
      <c r="A20" s="2">
        <v>38169</v>
      </c>
      <c r="B20">
        <v>671210</v>
      </c>
      <c r="C20">
        <f t="shared" si="0"/>
        <v>275036</v>
      </c>
      <c r="D20">
        <v>396174</v>
      </c>
    </row>
    <row r="21" spans="1:4" x14ac:dyDescent="0.35">
      <c r="A21" s="2">
        <v>38200</v>
      </c>
      <c r="B21">
        <v>676396</v>
      </c>
      <c r="C21">
        <f t="shared" si="0"/>
        <v>274558</v>
      </c>
      <c r="D21">
        <v>401838</v>
      </c>
    </row>
    <row r="22" spans="1:4" x14ac:dyDescent="0.35">
      <c r="A22" s="2">
        <v>38231</v>
      </c>
      <c r="B22">
        <v>689797</v>
      </c>
      <c r="C22">
        <f t="shared" si="0"/>
        <v>279390</v>
      </c>
      <c r="D22">
        <v>410407</v>
      </c>
    </row>
    <row r="23" spans="1:4" x14ac:dyDescent="0.35">
      <c r="A23" s="2">
        <v>38261</v>
      </c>
      <c r="B23">
        <v>697895</v>
      </c>
      <c r="C23">
        <f t="shared" si="0"/>
        <v>286381</v>
      </c>
      <c r="D23">
        <v>411514</v>
      </c>
    </row>
    <row r="24" spans="1:4" x14ac:dyDescent="0.35">
      <c r="A24" s="2">
        <v>38292</v>
      </c>
      <c r="B24">
        <v>702835</v>
      </c>
      <c r="C24">
        <f t="shared" si="0"/>
        <v>293004</v>
      </c>
      <c r="D24">
        <v>409831</v>
      </c>
    </row>
    <row r="25" spans="1:4" x14ac:dyDescent="0.35">
      <c r="A25" s="2">
        <v>38322</v>
      </c>
      <c r="B25">
        <v>722544</v>
      </c>
      <c r="C25">
        <f t="shared" si="0"/>
        <v>299228</v>
      </c>
      <c r="D25">
        <v>423316</v>
      </c>
    </row>
    <row r="26" spans="1:4" x14ac:dyDescent="0.35">
      <c r="A26" s="2">
        <v>38353</v>
      </c>
      <c r="B26">
        <v>751106</v>
      </c>
      <c r="C26">
        <f t="shared" si="0"/>
        <v>305024</v>
      </c>
      <c r="D26">
        <v>446082</v>
      </c>
    </row>
    <row r="27" spans="1:4" x14ac:dyDescent="0.35">
      <c r="A27" s="2">
        <v>38384</v>
      </c>
      <c r="B27">
        <v>758327</v>
      </c>
      <c r="C27">
        <f t="shared" si="0"/>
        <v>308959</v>
      </c>
      <c r="D27">
        <v>449368</v>
      </c>
    </row>
    <row r="28" spans="1:4" x14ac:dyDescent="0.35">
      <c r="A28" s="2">
        <v>38412</v>
      </c>
      <c r="B28">
        <v>775512</v>
      </c>
      <c r="C28">
        <f t="shared" si="0"/>
        <v>317252</v>
      </c>
      <c r="D28">
        <v>458260</v>
      </c>
    </row>
    <row r="29" spans="1:4" x14ac:dyDescent="0.35">
      <c r="A29" s="2">
        <v>38443</v>
      </c>
      <c r="B29">
        <v>790581</v>
      </c>
      <c r="C29">
        <f t="shared" si="0"/>
        <v>322261</v>
      </c>
      <c r="D29">
        <v>468320</v>
      </c>
    </row>
    <row r="30" spans="1:4" x14ac:dyDescent="0.35">
      <c r="A30" s="2">
        <v>38473</v>
      </c>
      <c r="B30">
        <v>820078</v>
      </c>
      <c r="C30">
        <f t="shared" si="0"/>
        <v>330953</v>
      </c>
      <c r="D30">
        <v>489125</v>
      </c>
    </row>
    <row r="31" spans="1:4" x14ac:dyDescent="0.35">
      <c r="A31" s="2">
        <v>38504</v>
      </c>
      <c r="B31">
        <v>843274</v>
      </c>
      <c r="C31">
        <f t="shared" si="0"/>
        <v>341341</v>
      </c>
      <c r="D31">
        <v>501933</v>
      </c>
    </row>
    <row r="32" spans="1:4" x14ac:dyDescent="0.35">
      <c r="A32" s="2">
        <v>38534</v>
      </c>
      <c r="B32">
        <v>852813</v>
      </c>
      <c r="C32">
        <f t="shared" si="0"/>
        <v>351160</v>
      </c>
      <c r="D32">
        <v>501653</v>
      </c>
    </row>
    <row r="33" spans="1:4" x14ac:dyDescent="0.35">
      <c r="A33" s="2">
        <v>38565</v>
      </c>
      <c r="B33">
        <v>870441</v>
      </c>
      <c r="C33">
        <f t="shared" si="0"/>
        <v>357553</v>
      </c>
      <c r="D33">
        <v>512888</v>
      </c>
    </row>
    <row r="34" spans="1:4" x14ac:dyDescent="0.35">
      <c r="A34" s="2">
        <v>38596</v>
      </c>
      <c r="B34">
        <v>882408</v>
      </c>
      <c r="C34">
        <f t="shared" si="0"/>
        <v>361873</v>
      </c>
      <c r="D34">
        <v>520535</v>
      </c>
    </row>
    <row r="35" spans="1:4" x14ac:dyDescent="0.35">
      <c r="A35" s="2">
        <v>38626</v>
      </c>
      <c r="B35">
        <v>911401</v>
      </c>
      <c r="C35">
        <f t="shared" si="0"/>
        <v>372150</v>
      </c>
      <c r="D35">
        <v>539251</v>
      </c>
    </row>
    <row r="36" spans="1:4" x14ac:dyDescent="0.35">
      <c r="A36" s="2">
        <v>38657</v>
      </c>
      <c r="B36">
        <v>921003</v>
      </c>
      <c r="C36">
        <f t="shared" si="0"/>
        <v>381303</v>
      </c>
      <c r="D36">
        <v>539700</v>
      </c>
    </row>
    <row r="37" spans="1:4" x14ac:dyDescent="0.35">
      <c r="A37" s="2">
        <v>38687</v>
      </c>
      <c r="B37">
        <v>941907</v>
      </c>
      <c r="C37">
        <f t="shared" si="0"/>
        <v>391671</v>
      </c>
      <c r="D37">
        <v>550236</v>
      </c>
    </row>
    <row r="38" spans="1:4" x14ac:dyDescent="0.35">
      <c r="A38" s="2">
        <v>38718</v>
      </c>
      <c r="B38">
        <v>934468</v>
      </c>
      <c r="C38">
        <f t="shared" si="0"/>
        <v>399190</v>
      </c>
      <c r="D38">
        <v>535278</v>
      </c>
    </row>
    <row r="39" spans="1:4" x14ac:dyDescent="0.35">
      <c r="A39" s="2">
        <v>38749</v>
      </c>
      <c r="B39">
        <v>972857</v>
      </c>
      <c r="C39">
        <f t="shared" si="0"/>
        <v>424772</v>
      </c>
      <c r="D39">
        <v>548085</v>
      </c>
    </row>
    <row r="40" spans="1:4" x14ac:dyDescent="0.35">
      <c r="A40" s="2">
        <v>38777</v>
      </c>
      <c r="B40">
        <v>988467</v>
      </c>
      <c r="C40">
        <f t="shared" si="0"/>
        <v>424744</v>
      </c>
      <c r="D40">
        <v>563723</v>
      </c>
    </row>
    <row r="41" spans="1:4" x14ac:dyDescent="0.35">
      <c r="A41" s="2">
        <v>38808</v>
      </c>
      <c r="B41">
        <v>1009129</v>
      </c>
      <c r="C41">
        <f t="shared" si="0"/>
        <v>436568</v>
      </c>
      <c r="D41">
        <v>572561</v>
      </c>
    </row>
    <row r="42" spans="1:4" x14ac:dyDescent="0.35">
      <c r="A42" s="2">
        <v>38838</v>
      </c>
      <c r="B42">
        <v>1021519</v>
      </c>
      <c r="C42">
        <f t="shared" si="0"/>
        <v>445351</v>
      </c>
      <c r="D42">
        <v>576168</v>
      </c>
    </row>
    <row r="43" spans="1:4" x14ac:dyDescent="0.35">
      <c r="A43" s="2">
        <v>38869</v>
      </c>
      <c r="B43">
        <v>1050968</v>
      </c>
      <c r="C43">
        <f t="shared" si="0"/>
        <v>456951</v>
      </c>
      <c r="D43">
        <v>594017</v>
      </c>
    </row>
    <row r="44" spans="1:4" x14ac:dyDescent="0.35">
      <c r="A44" s="2">
        <v>38899</v>
      </c>
      <c r="B44">
        <v>1053388</v>
      </c>
      <c r="C44">
        <f t="shared" si="0"/>
        <v>455115</v>
      </c>
      <c r="D44">
        <v>598273</v>
      </c>
    </row>
    <row r="45" spans="1:4" x14ac:dyDescent="0.35">
      <c r="A45" s="2">
        <v>38930</v>
      </c>
      <c r="B45">
        <v>1071539</v>
      </c>
      <c r="C45">
        <f t="shared" si="0"/>
        <v>465185</v>
      </c>
      <c r="D45">
        <v>606354</v>
      </c>
    </row>
    <row r="46" spans="1:4" x14ac:dyDescent="0.35">
      <c r="A46" s="2">
        <v>38961</v>
      </c>
      <c r="B46">
        <v>1092294</v>
      </c>
      <c r="C46">
        <f t="shared" si="0"/>
        <v>471022</v>
      </c>
      <c r="D46">
        <v>621272</v>
      </c>
    </row>
    <row r="47" spans="1:4" x14ac:dyDescent="0.35">
      <c r="A47" s="2">
        <v>38991</v>
      </c>
      <c r="B47">
        <v>1119557</v>
      </c>
      <c r="C47">
        <f t="shared" si="0"/>
        <v>480650</v>
      </c>
      <c r="D47">
        <v>638907</v>
      </c>
    </row>
    <row r="48" spans="1:4" x14ac:dyDescent="0.35">
      <c r="A48" s="2">
        <v>39022</v>
      </c>
      <c r="B48">
        <v>1152404</v>
      </c>
      <c r="C48">
        <f t="shared" si="0"/>
        <v>496353</v>
      </c>
      <c r="D48">
        <v>656051</v>
      </c>
    </row>
    <row r="49" spans="1:4" x14ac:dyDescent="0.35">
      <c r="A49" s="2">
        <v>39052</v>
      </c>
      <c r="B49">
        <v>1178128</v>
      </c>
      <c r="C49">
        <f t="shared" si="0"/>
        <v>506041</v>
      </c>
      <c r="D49">
        <v>672087</v>
      </c>
    </row>
    <row r="50" spans="1:4" x14ac:dyDescent="0.35">
      <c r="A50" s="2">
        <v>39083</v>
      </c>
      <c r="B50">
        <v>1184568</v>
      </c>
      <c r="C50">
        <f t="shared" si="0"/>
        <v>500490</v>
      </c>
      <c r="D50">
        <v>684078</v>
      </c>
    </row>
    <row r="51" spans="1:4" x14ac:dyDescent="0.35">
      <c r="A51" s="2">
        <v>39114</v>
      </c>
      <c r="B51">
        <v>1185046</v>
      </c>
      <c r="C51">
        <f t="shared" si="0"/>
        <v>502431</v>
      </c>
      <c r="D51">
        <v>682615</v>
      </c>
    </row>
    <row r="52" spans="1:4" x14ac:dyDescent="0.35">
      <c r="A52" s="2">
        <v>39142</v>
      </c>
      <c r="B52">
        <v>1209777</v>
      </c>
      <c r="C52">
        <f t="shared" si="0"/>
        <v>508903</v>
      </c>
      <c r="D52">
        <v>700874</v>
      </c>
    </row>
    <row r="53" spans="1:4" x14ac:dyDescent="0.35">
      <c r="A53" s="2">
        <v>39173</v>
      </c>
      <c r="B53">
        <v>1232537</v>
      </c>
      <c r="C53">
        <f t="shared" si="0"/>
        <v>508439</v>
      </c>
      <c r="D53">
        <v>724098</v>
      </c>
    </row>
    <row r="54" spans="1:4" x14ac:dyDescent="0.35">
      <c r="A54" s="2">
        <v>39203</v>
      </c>
      <c r="B54">
        <v>1261135</v>
      </c>
      <c r="C54">
        <f t="shared" si="0"/>
        <v>514712</v>
      </c>
      <c r="D54">
        <v>746423</v>
      </c>
    </row>
    <row r="55" spans="1:4" x14ac:dyDescent="0.35">
      <c r="A55" s="2">
        <v>39234</v>
      </c>
      <c r="B55">
        <v>1285222</v>
      </c>
      <c r="C55">
        <f t="shared" si="0"/>
        <v>528812</v>
      </c>
      <c r="D55">
        <v>756410</v>
      </c>
    </row>
    <row r="56" spans="1:4" x14ac:dyDescent="0.35">
      <c r="A56" s="2">
        <v>39264</v>
      </c>
      <c r="B56">
        <v>1272634</v>
      </c>
      <c r="C56">
        <f t="shared" si="0"/>
        <v>525811</v>
      </c>
      <c r="D56">
        <v>746823</v>
      </c>
    </row>
    <row r="57" spans="1:4" x14ac:dyDescent="0.35">
      <c r="A57" s="2">
        <v>39295</v>
      </c>
      <c r="B57">
        <v>1260182</v>
      </c>
      <c r="C57">
        <f t="shared" si="0"/>
        <v>508666</v>
      </c>
      <c r="D57">
        <v>751516</v>
      </c>
    </row>
    <row r="58" spans="1:4" x14ac:dyDescent="0.35">
      <c r="A58" s="2">
        <v>39326</v>
      </c>
      <c r="B58">
        <v>1269767</v>
      </c>
      <c r="C58">
        <f t="shared" si="0"/>
        <v>517767</v>
      </c>
      <c r="D58">
        <v>752000</v>
      </c>
    </row>
    <row r="59" spans="1:4" x14ac:dyDescent="0.35">
      <c r="A59" s="2">
        <v>39356</v>
      </c>
      <c r="B59">
        <v>1273656</v>
      </c>
      <c r="C59">
        <f t="shared" si="0"/>
        <v>525409</v>
      </c>
      <c r="D59">
        <v>748247</v>
      </c>
    </row>
    <row r="60" spans="1:4" x14ac:dyDescent="0.35">
      <c r="A60" s="2">
        <v>39387</v>
      </c>
      <c r="B60">
        <v>1310064</v>
      </c>
      <c r="C60">
        <f t="shared" si="0"/>
        <v>577425</v>
      </c>
      <c r="D60">
        <v>732639</v>
      </c>
    </row>
    <row r="61" spans="1:4" x14ac:dyDescent="0.35">
      <c r="A61" s="2">
        <v>39417</v>
      </c>
      <c r="B61">
        <v>1337356</v>
      </c>
      <c r="C61">
        <f t="shared" si="0"/>
        <v>593504</v>
      </c>
      <c r="D61">
        <v>743852</v>
      </c>
    </row>
    <row r="62" spans="1:4" x14ac:dyDescent="0.35">
      <c r="A62" s="2">
        <v>39448</v>
      </c>
      <c r="B62">
        <v>1399561</v>
      </c>
      <c r="C62">
        <f t="shared" si="0"/>
        <v>564829</v>
      </c>
      <c r="D62">
        <v>834732</v>
      </c>
    </row>
    <row r="63" spans="1:4" x14ac:dyDescent="0.35">
      <c r="A63" s="2">
        <v>39479</v>
      </c>
      <c r="B63">
        <v>1400890</v>
      </c>
      <c r="C63">
        <f t="shared" si="0"/>
        <v>571190</v>
      </c>
      <c r="D63">
        <v>829700</v>
      </c>
    </row>
    <row r="64" spans="1:4" x14ac:dyDescent="0.35">
      <c r="A64" s="2">
        <v>39508</v>
      </c>
      <c r="B64">
        <v>1401153</v>
      </c>
      <c r="C64">
        <f t="shared" si="0"/>
        <v>575004</v>
      </c>
      <c r="D64">
        <v>826149</v>
      </c>
    </row>
    <row r="65" spans="1:4" x14ac:dyDescent="0.35">
      <c r="A65" s="2">
        <v>39539</v>
      </c>
      <c r="B65">
        <v>1394258</v>
      </c>
      <c r="C65">
        <f t="shared" si="0"/>
        <v>572174</v>
      </c>
      <c r="D65">
        <v>822084</v>
      </c>
    </row>
    <row r="66" spans="1:4" x14ac:dyDescent="0.35">
      <c r="A66" s="2">
        <v>39569</v>
      </c>
      <c r="B66">
        <v>1442385</v>
      </c>
      <c r="C66">
        <f t="shared" si="0"/>
        <v>601163</v>
      </c>
      <c r="D66">
        <v>841222</v>
      </c>
    </row>
    <row r="67" spans="1:4" x14ac:dyDescent="0.35">
      <c r="A67" s="2">
        <v>39600</v>
      </c>
      <c r="B67">
        <v>1429255</v>
      </c>
      <c r="C67">
        <f t="shared" ref="C67:C130" si="1">B67-D67</f>
        <v>594360</v>
      </c>
      <c r="D67">
        <v>834895</v>
      </c>
    </row>
    <row r="68" spans="1:4" x14ac:dyDescent="0.35">
      <c r="A68" s="2">
        <v>39630</v>
      </c>
      <c r="B68">
        <v>1392678</v>
      </c>
      <c r="C68">
        <f t="shared" si="1"/>
        <v>574225</v>
      </c>
      <c r="D68">
        <v>818453</v>
      </c>
    </row>
    <row r="69" spans="1:4" x14ac:dyDescent="0.35">
      <c r="A69" s="2">
        <v>39661</v>
      </c>
      <c r="B69">
        <v>1441585</v>
      </c>
      <c r="C69">
        <f t="shared" si="1"/>
        <v>581175</v>
      </c>
      <c r="D69">
        <v>860410</v>
      </c>
    </row>
    <row r="70" spans="1:4" x14ac:dyDescent="0.35">
      <c r="A70" s="2">
        <v>39692</v>
      </c>
      <c r="B70">
        <v>1446359</v>
      </c>
      <c r="C70">
        <f t="shared" si="1"/>
        <v>612902</v>
      </c>
      <c r="D70">
        <v>833457</v>
      </c>
    </row>
    <row r="71" spans="1:4" x14ac:dyDescent="0.35">
      <c r="A71" s="2">
        <v>39722</v>
      </c>
      <c r="B71">
        <v>1452718</v>
      </c>
      <c r="C71">
        <f t="shared" si="1"/>
        <v>626742</v>
      </c>
      <c r="D71">
        <v>825976</v>
      </c>
    </row>
    <row r="72" spans="1:4" x14ac:dyDescent="0.35">
      <c r="A72" s="2">
        <v>39753</v>
      </c>
      <c r="B72">
        <v>1460830</v>
      </c>
      <c r="C72">
        <f t="shared" si="1"/>
        <v>636295</v>
      </c>
      <c r="D72">
        <v>824535</v>
      </c>
    </row>
    <row r="73" spans="1:4" x14ac:dyDescent="0.35">
      <c r="A73" s="2">
        <v>39783</v>
      </c>
      <c r="B73">
        <v>1412197</v>
      </c>
      <c r="C73">
        <f t="shared" si="1"/>
        <v>642815</v>
      </c>
      <c r="D73">
        <v>769382</v>
      </c>
    </row>
    <row r="74" spans="1:4" x14ac:dyDescent="0.35">
      <c r="A74" s="2">
        <v>39814</v>
      </c>
      <c r="B74">
        <v>1421325</v>
      </c>
      <c r="C74">
        <f t="shared" si="1"/>
        <v>662655</v>
      </c>
      <c r="D74">
        <v>758670</v>
      </c>
    </row>
    <row r="75" spans="1:4" x14ac:dyDescent="0.35">
      <c r="A75" s="2">
        <v>39845</v>
      </c>
      <c r="B75">
        <v>1415103</v>
      </c>
      <c r="C75">
        <f t="shared" si="1"/>
        <v>663253</v>
      </c>
      <c r="D75">
        <v>751850</v>
      </c>
    </row>
    <row r="76" spans="1:4" x14ac:dyDescent="0.35">
      <c r="A76" s="2">
        <v>39873</v>
      </c>
      <c r="B76">
        <v>1396436</v>
      </c>
      <c r="C76">
        <f t="shared" si="1"/>
        <v>653551</v>
      </c>
      <c r="D76">
        <v>742885</v>
      </c>
    </row>
    <row r="77" spans="1:4" x14ac:dyDescent="0.35">
      <c r="A77" s="2">
        <v>39904</v>
      </c>
      <c r="B77">
        <v>1406261</v>
      </c>
      <c r="C77">
        <f t="shared" si="1"/>
        <v>658816</v>
      </c>
      <c r="D77">
        <v>747445</v>
      </c>
    </row>
    <row r="78" spans="1:4" x14ac:dyDescent="0.35">
      <c r="A78" s="2">
        <v>39934</v>
      </c>
      <c r="B78">
        <v>1405956</v>
      </c>
      <c r="C78">
        <f t="shared" si="1"/>
        <v>660877</v>
      </c>
      <c r="D78">
        <v>745079</v>
      </c>
    </row>
    <row r="79" spans="1:4" x14ac:dyDescent="0.35">
      <c r="A79" s="2">
        <v>39965</v>
      </c>
      <c r="B79">
        <v>1394400</v>
      </c>
      <c r="C79">
        <f t="shared" si="1"/>
        <v>654067</v>
      </c>
      <c r="D79">
        <v>740333</v>
      </c>
    </row>
    <row r="80" spans="1:4" x14ac:dyDescent="0.35">
      <c r="A80" s="2">
        <v>39995</v>
      </c>
      <c r="B80">
        <v>1389191</v>
      </c>
      <c r="C80">
        <f t="shared" si="1"/>
        <v>652903</v>
      </c>
      <c r="D80">
        <v>736288</v>
      </c>
    </row>
    <row r="81" spans="1:4" x14ac:dyDescent="0.35">
      <c r="A81" s="2">
        <v>40026</v>
      </c>
      <c r="B81">
        <v>1377798</v>
      </c>
      <c r="C81">
        <f t="shared" si="1"/>
        <v>648760</v>
      </c>
      <c r="D81">
        <v>729038</v>
      </c>
    </row>
    <row r="82" spans="1:4" x14ac:dyDescent="0.35">
      <c r="A82" s="2">
        <v>40057</v>
      </c>
      <c r="B82">
        <v>1340049</v>
      </c>
      <c r="C82">
        <f t="shared" si="1"/>
        <v>638129</v>
      </c>
      <c r="D82">
        <v>701920</v>
      </c>
    </row>
    <row r="83" spans="1:4" x14ac:dyDescent="0.35">
      <c r="A83" s="2">
        <v>40087</v>
      </c>
      <c r="B83">
        <v>1330006</v>
      </c>
      <c r="C83">
        <f t="shared" si="1"/>
        <v>632552</v>
      </c>
      <c r="D83">
        <v>697454</v>
      </c>
    </row>
    <row r="84" spans="1:4" x14ac:dyDescent="0.35">
      <c r="A84" s="2">
        <v>40118</v>
      </c>
      <c r="B84">
        <v>1317479</v>
      </c>
      <c r="C84">
        <f t="shared" si="1"/>
        <v>629360</v>
      </c>
      <c r="D84">
        <v>688119</v>
      </c>
    </row>
    <row r="85" spans="1:4" x14ac:dyDescent="0.35">
      <c r="A85" s="2">
        <v>40148</v>
      </c>
      <c r="B85">
        <v>1323584</v>
      </c>
      <c r="C85">
        <f t="shared" si="1"/>
        <v>639103</v>
      </c>
      <c r="D85">
        <v>684481</v>
      </c>
    </row>
    <row r="86" spans="1:4" x14ac:dyDescent="0.35">
      <c r="A86" s="2">
        <v>40179</v>
      </c>
      <c r="B86">
        <v>1337057</v>
      </c>
      <c r="C86">
        <f t="shared" si="1"/>
        <v>643937</v>
      </c>
      <c r="D86">
        <v>693120</v>
      </c>
    </row>
    <row r="87" spans="1:4" x14ac:dyDescent="0.35">
      <c r="A87" s="2">
        <v>40210</v>
      </c>
      <c r="B87">
        <v>1310404</v>
      </c>
      <c r="C87">
        <f t="shared" si="1"/>
        <v>620310</v>
      </c>
      <c r="D87">
        <v>690094</v>
      </c>
    </row>
    <row r="88" spans="1:4" x14ac:dyDescent="0.35">
      <c r="A88" s="2">
        <v>40238</v>
      </c>
      <c r="B88">
        <v>1316908</v>
      </c>
      <c r="C88">
        <f t="shared" si="1"/>
        <v>625162</v>
      </c>
      <c r="D88">
        <v>691746</v>
      </c>
    </row>
    <row r="89" spans="1:4" x14ac:dyDescent="0.35">
      <c r="A89" s="2">
        <v>40269</v>
      </c>
      <c r="B89">
        <v>1307198</v>
      </c>
      <c r="C89">
        <f t="shared" si="1"/>
        <v>618089</v>
      </c>
      <c r="D89">
        <v>689109</v>
      </c>
    </row>
    <row r="90" spans="1:4" x14ac:dyDescent="0.35">
      <c r="A90" s="2">
        <v>40299</v>
      </c>
      <c r="B90">
        <v>1344794</v>
      </c>
      <c r="C90">
        <f t="shared" si="1"/>
        <v>626720</v>
      </c>
      <c r="D90">
        <v>718074</v>
      </c>
    </row>
    <row r="91" spans="1:4" x14ac:dyDescent="0.35">
      <c r="A91" s="2">
        <v>40330</v>
      </c>
      <c r="B91">
        <v>1342980</v>
      </c>
      <c r="C91">
        <f t="shared" si="1"/>
        <v>623128</v>
      </c>
      <c r="D91">
        <v>719852</v>
      </c>
    </row>
    <row r="92" spans="1:4" x14ac:dyDescent="0.35">
      <c r="A92" s="2">
        <v>40360</v>
      </c>
      <c r="B92">
        <v>1317279</v>
      </c>
      <c r="C92">
        <f t="shared" si="1"/>
        <v>625163</v>
      </c>
      <c r="D92">
        <v>692116</v>
      </c>
    </row>
    <row r="93" spans="1:4" x14ac:dyDescent="0.35">
      <c r="A93" s="2">
        <v>40391</v>
      </c>
      <c r="B93">
        <v>1342229</v>
      </c>
      <c r="C93">
        <f t="shared" si="1"/>
        <v>620669</v>
      </c>
      <c r="D93">
        <v>721560</v>
      </c>
    </row>
    <row r="94" spans="1:4" x14ac:dyDescent="0.35">
      <c r="A94" s="2">
        <v>40422</v>
      </c>
      <c r="B94">
        <v>1311672</v>
      </c>
      <c r="C94">
        <f t="shared" si="1"/>
        <v>621553</v>
      </c>
      <c r="D94">
        <v>690119</v>
      </c>
    </row>
    <row r="95" spans="1:4" x14ac:dyDescent="0.35">
      <c r="A95" s="2">
        <v>40452</v>
      </c>
      <c r="B95">
        <v>1240482</v>
      </c>
      <c r="C95">
        <f t="shared" si="1"/>
        <v>604740</v>
      </c>
      <c r="D95">
        <v>635742</v>
      </c>
    </row>
    <row r="96" spans="1:4" x14ac:dyDescent="0.35">
      <c r="A96" s="2">
        <v>40483</v>
      </c>
      <c r="B96">
        <v>1228246</v>
      </c>
      <c r="C96">
        <f t="shared" si="1"/>
        <v>597527</v>
      </c>
      <c r="D96">
        <v>630719</v>
      </c>
    </row>
    <row r="97" spans="1:4" x14ac:dyDescent="0.35">
      <c r="A97" s="2">
        <v>40513</v>
      </c>
      <c r="B97">
        <v>1168008</v>
      </c>
      <c r="C97">
        <f t="shared" si="1"/>
        <v>609101</v>
      </c>
      <c r="D97">
        <v>558907</v>
      </c>
    </row>
    <row r="98" spans="1:4" x14ac:dyDescent="0.35">
      <c r="A98" s="2">
        <v>40544</v>
      </c>
      <c r="B98">
        <v>1121751</v>
      </c>
      <c r="C98">
        <f t="shared" si="1"/>
        <v>588303</v>
      </c>
      <c r="D98">
        <v>533448</v>
      </c>
    </row>
    <row r="99" spans="1:4" x14ac:dyDescent="0.35">
      <c r="A99" s="2">
        <v>40575</v>
      </c>
      <c r="B99">
        <v>1114576</v>
      </c>
      <c r="C99">
        <f t="shared" si="1"/>
        <v>593152</v>
      </c>
      <c r="D99">
        <v>521424</v>
      </c>
    </row>
    <row r="100" spans="1:4" x14ac:dyDescent="0.35">
      <c r="A100" s="2">
        <v>40603</v>
      </c>
      <c r="B100">
        <v>1084828</v>
      </c>
      <c r="C100">
        <f t="shared" si="1"/>
        <v>578022</v>
      </c>
      <c r="D100">
        <v>506806</v>
      </c>
    </row>
    <row r="101" spans="1:4" x14ac:dyDescent="0.35">
      <c r="A101" s="2">
        <v>40634</v>
      </c>
      <c r="B101">
        <v>1052086</v>
      </c>
      <c r="C101">
        <f t="shared" si="1"/>
        <v>557961</v>
      </c>
      <c r="D101">
        <v>494125</v>
      </c>
    </row>
    <row r="102" spans="1:4" x14ac:dyDescent="0.35">
      <c r="A102" s="2">
        <v>40664</v>
      </c>
      <c r="B102">
        <v>1038964</v>
      </c>
      <c r="C102">
        <f t="shared" si="1"/>
        <v>542469</v>
      </c>
      <c r="D102">
        <v>496495</v>
      </c>
    </row>
    <row r="103" spans="1:4" x14ac:dyDescent="0.35">
      <c r="A103" s="2">
        <v>40695</v>
      </c>
      <c r="B103">
        <v>1023188</v>
      </c>
      <c r="C103">
        <f t="shared" si="1"/>
        <v>543888</v>
      </c>
      <c r="D103">
        <v>479300</v>
      </c>
    </row>
    <row r="104" spans="1:4" x14ac:dyDescent="0.35">
      <c r="A104" s="2">
        <v>40725</v>
      </c>
      <c r="B104">
        <v>1029197</v>
      </c>
      <c r="C104">
        <f t="shared" si="1"/>
        <v>547110</v>
      </c>
      <c r="D104">
        <v>482087</v>
      </c>
    </row>
    <row r="105" spans="1:4" x14ac:dyDescent="0.35">
      <c r="A105" s="2">
        <v>40756</v>
      </c>
      <c r="B105">
        <v>1027999</v>
      </c>
      <c r="C105">
        <f t="shared" si="1"/>
        <v>550401</v>
      </c>
      <c r="D105">
        <v>477598</v>
      </c>
    </row>
    <row r="106" spans="1:4" x14ac:dyDescent="0.35">
      <c r="A106" s="2">
        <v>40787</v>
      </c>
      <c r="B106">
        <v>1046213</v>
      </c>
      <c r="C106">
        <f t="shared" si="1"/>
        <v>547369</v>
      </c>
      <c r="D106">
        <v>498844</v>
      </c>
    </row>
    <row r="107" spans="1:4" x14ac:dyDescent="0.35">
      <c r="A107" s="2">
        <v>40817</v>
      </c>
      <c r="B107">
        <v>1031458</v>
      </c>
      <c r="C107">
        <f t="shared" si="1"/>
        <v>547372</v>
      </c>
      <c r="D107">
        <v>484086</v>
      </c>
    </row>
    <row r="108" spans="1:4" x14ac:dyDescent="0.35">
      <c r="A108" s="2">
        <v>40848</v>
      </c>
      <c r="B108">
        <v>1028538</v>
      </c>
      <c r="C108">
        <f t="shared" si="1"/>
        <v>537638</v>
      </c>
      <c r="D108">
        <v>490900</v>
      </c>
    </row>
    <row r="109" spans="1:4" x14ac:dyDescent="0.35">
      <c r="A109" s="2">
        <v>40878</v>
      </c>
      <c r="B109">
        <v>1025896</v>
      </c>
      <c r="C109">
        <f t="shared" si="1"/>
        <v>531539</v>
      </c>
      <c r="D109">
        <v>494357</v>
      </c>
    </row>
    <row r="110" spans="1:4" x14ac:dyDescent="0.35">
      <c r="A110" s="2">
        <v>40909</v>
      </c>
      <c r="B110">
        <v>1003946</v>
      </c>
      <c r="C110">
        <f t="shared" si="1"/>
        <v>526308</v>
      </c>
      <c r="D110">
        <v>477638</v>
      </c>
    </row>
    <row r="111" spans="1:4" x14ac:dyDescent="0.35">
      <c r="A111" s="2">
        <v>40940</v>
      </c>
      <c r="B111">
        <v>968241</v>
      </c>
      <c r="C111">
        <f t="shared" si="1"/>
        <v>517198</v>
      </c>
      <c r="D111">
        <v>451043</v>
      </c>
    </row>
    <row r="112" spans="1:4" x14ac:dyDescent="0.35">
      <c r="A112" s="2">
        <v>40969</v>
      </c>
      <c r="B112">
        <v>948885</v>
      </c>
      <c r="C112">
        <f t="shared" si="1"/>
        <v>516282</v>
      </c>
      <c r="D112">
        <v>432603</v>
      </c>
    </row>
    <row r="113" spans="1:4" x14ac:dyDescent="0.35">
      <c r="A113" s="2">
        <v>41000</v>
      </c>
      <c r="B113">
        <v>940272</v>
      </c>
      <c r="C113">
        <f t="shared" si="1"/>
        <v>505933</v>
      </c>
      <c r="D113">
        <v>434339</v>
      </c>
    </row>
    <row r="114" spans="1:4" x14ac:dyDescent="0.35">
      <c r="A114" s="2">
        <v>41030</v>
      </c>
      <c r="B114">
        <v>954021</v>
      </c>
      <c r="C114">
        <f t="shared" si="1"/>
        <v>508589</v>
      </c>
      <c r="D114">
        <v>445432</v>
      </c>
    </row>
    <row r="115" spans="1:4" x14ac:dyDescent="0.35">
      <c r="A115" s="2">
        <v>41061</v>
      </c>
      <c r="B115">
        <v>953296</v>
      </c>
      <c r="C115">
        <f t="shared" si="1"/>
        <v>506427</v>
      </c>
      <c r="D115">
        <v>446869</v>
      </c>
    </row>
    <row r="116" spans="1:4" x14ac:dyDescent="0.35">
      <c r="A116" s="2">
        <v>41091</v>
      </c>
      <c r="B116">
        <v>929724</v>
      </c>
      <c r="C116">
        <f t="shared" si="1"/>
        <v>480875</v>
      </c>
      <c r="D116">
        <v>448849</v>
      </c>
    </row>
    <row r="117" spans="1:4" x14ac:dyDescent="0.35">
      <c r="A117" s="2">
        <v>41122</v>
      </c>
      <c r="B117">
        <v>915320</v>
      </c>
      <c r="C117">
        <f t="shared" si="1"/>
        <v>479587</v>
      </c>
      <c r="D117">
        <v>435733</v>
      </c>
    </row>
    <row r="118" spans="1:4" x14ac:dyDescent="0.35">
      <c r="A118" s="2">
        <v>41153</v>
      </c>
      <c r="B118">
        <v>912098</v>
      </c>
      <c r="C118">
        <f t="shared" si="1"/>
        <v>477850</v>
      </c>
      <c r="D118">
        <v>434248</v>
      </c>
    </row>
    <row r="119" spans="1:4" x14ac:dyDescent="0.35">
      <c r="A119" s="2">
        <v>41183</v>
      </c>
      <c r="B119">
        <v>910247</v>
      </c>
      <c r="C119">
        <f t="shared" si="1"/>
        <v>480609</v>
      </c>
      <c r="D119">
        <v>429638</v>
      </c>
    </row>
    <row r="120" spans="1:4" x14ac:dyDescent="0.35">
      <c r="A120" s="2">
        <v>41214</v>
      </c>
      <c r="B120">
        <v>899528</v>
      </c>
      <c r="C120">
        <f t="shared" si="1"/>
        <v>476962</v>
      </c>
      <c r="D120">
        <v>422566</v>
      </c>
    </row>
    <row r="121" spans="1:4" x14ac:dyDescent="0.35">
      <c r="A121" s="2">
        <v>41244</v>
      </c>
      <c r="B121">
        <v>872679</v>
      </c>
      <c r="C121">
        <f t="shared" si="1"/>
        <v>467821</v>
      </c>
      <c r="D121">
        <v>404858</v>
      </c>
    </row>
    <row r="122" spans="1:4" x14ac:dyDescent="0.35">
      <c r="A122" s="2">
        <v>41275</v>
      </c>
      <c r="B122">
        <v>858988</v>
      </c>
      <c r="C122">
        <f t="shared" si="1"/>
        <v>463429</v>
      </c>
      <c r="D122">
        <v>395559</v>
      </c>
    </row>
    <row r="123" spans="1:4" x14ac:dyDescent="0.35">
      <c r="A123" s="2">
        <v>41306</v>
      </c>
      <c r="B123">
        <v>821285</v>
      </c>
      <c r="C123">
        <f t="shared" si="1"/>
        <v>427022</v>
      </c>
      <c r="D123">
        <v>394263</v>
      </c>
    </row>
    <row r="124" spans="1:4" x14ac:dyDescent="0.35">
      <c r="A124" s="2">
        <v>41334</v>
      </c>
      <c r="B124">
        <v>804148</v>
      </c>
      <c r="C124">
        <f t="shared" si="1"/>
        <v>425224</v>
      </c>
      <c r="D124">
        <v>378924</v>
      </c>
    </row>
    <row r="125" spans="1:4" x14ac:dyDescent="0.35">
      <c r="A125" s="2">
        <v>41365</v>
      </c>
      <c r="B125">
        <v>796266</v>
      </c>
      <c r="C125">
        <f t="shared" si="1"/>
        <v>423250</v>
      </c>
      <c r="D125">
        <v>373016</v>
      </c>
    </row>
    <row r="126" spans="1:4" x14ac:dyDescent="0.35">
      <c r="A126" s="2">
        <v>41395</v>
      </c>
      <c r="B126">
        <v>800098</v>
      </c>
      <c r="C126">
        <f t="shared" si="1"/>
        <v>425396</v>
      </c>
      <c r="D126">
        <v>374702</v>
      </c>
    </row>
    <row r="127" spans="1:4" x14ac:dyDescent="0.35">
      <c r="A127" s="2">
        <v>41426</v>
      </c>
      <c r="B127">
        <v>785824</v>
      </c>
      <c r="C127">
        <f t="shared" si="1"/>
        <v>424013</v>
      </c>
      <c r="D127">
        <v>361811</v>
      </c>
    </row>
    <row r="128" spans="1:4" x14ac:dyDescent="0.35">
      <c r="A128" s="2">
        <v>41456</v>
      </c>
      <c r="B128">
        <v>769871</v>
      </c>
      <c r="C128">
        <f t="shared" si="1"/>
        <v>419398</v>
      </c>
      <c r="D128">
        <v>350473</v>
      </c>
    </row>
    <row r="129" spans="1:4" x14ac:dyDescent="0.35">
      <c r="A129" s="2">
        <v>41487</v>
      </c>
      <c r="B129">
        <v>764018</v>
      </c>
      <c r="C129">
        <f t="shared" si="1"/>
        <v>416311</v>
      </c>
      <c r="D129">
        <v>347707</v>
      </c>
    </row>
    <row r="130" spans="1:4" x14ac:dyDescent="0.35">
      <c r="A130" s="2">
        <v>41518</v>
      </c>
      <c r="B130">
        <v>764059</v>
      </c>
      <c r="C130">
        <f t="shared" si="1"/>
        <v>415765</v>
      </c>
      <c r="D130">
        <v>348294</v>
      </c>
    </row>
    <row r="131" spans="1:4" x14ac:dyDescent="0.35">
      <c r="A131" s="2">
        <v>41548</v>
      </c>
      <c r="B131">
        <v>750517</v>
      </c>
      <c r="C131">
        <f t="shared" ref="C131:C194" si="2">B131-D131</f>
        <v>405419</v>
      </c>
      <c r="D131">
        <v>345098</v>
      </c>
    </row>
    <row r="132" spans="1:4" x14ac:dyDescent="0.35">
      <c r="A132" s="2">
        <v>41579</v>
      </c>
      <c r="B132">
        <v>754546</v>
      </c>
      <c r="C132">
        <f t="shared" si="2"/>
        <v>405331</v>
      </c>
      <c r="D132">
        <v>349215</v>
      </c>
    </row>
    <row r="133" spans="1:4" x14ac:dyDescent="0.35">
      <c r="A133" s="2">
        <v>41609</v>
      </c>
      <c r="B133">
        <v>740621</v>
      </c>
      <c r="C133">
        <f t="shared" si="2"/>
        <v>401254</v>
      </c>
      <c r="D133">
        <v>339367</v>
      </c>
    </row>
    <row r="134" spans="1:4" x14ac:dyDescent="0.35">
      <c r="A134" s="2">
        <v>41640</v>
      </c>
      <c r="B134">
        <v>727905</v>
      </c>
      <c r="C134">
        <f t="shared" si="2"/>
        <v>399709</v>
      </c>
      <c r="D134">
        <v>328196</v>
      </c>
    </row>
    <row r="135" spans="1:4" x14ac:dyDescent="0.35">
      <c r="A135" s="2">
        <v>41671</v>
      </c>
      <c r="B135">
        <v>734799</v>
      </c>
      <c r="C135">
        <f t="shared" si="2"/>
        <v>397976</v>
      </c>
      <c r="D135">
        <v>336823</v>
      </c>
    </row>
    <row r="136" spans="1:4" x14ac:dyDescent="0.35">
      <c r="A136" s="2">
        <v>41699</v>
      </c>
      <c r="B136">
        <v>722575</v>
      </c>
      <c r="C136">
        <f t="shared" si="2"/>
        <v>393090</v>
      </c>
      <c r="D136">
        <v>329485</v>
      </c>
    </row>
    <row r="137" spans="1:4" x14ac:dyDescent="0.35">
      <c r="A137" s="2">
        <v>41730</v>
      </c>
      <c r="B137">
        <v>720736</v>
      </c>
      <c r="C137">
        <f t="shared" si="2"/>
        <v>392950</v>
      </c>
      <c r="D137">
        <v>327786</v>
      </c>
    </row>
    <row r="138" spans="1:4" x14ac:dyDescent="0.35">
      <c r="A138" s="2">
        <v>41760</v>
      </c>
      <c r="B138">
        <v>718147</v>
      </c>
      <c r="C138">
        <f t="shared" si="2"/>
        <v>386935</v>
      </c>
      <c r="D138">
        <v>331212</v>
      </c>
    </row>
    <row r="139" spans="1:4" x14ac:dyDescent="0.35">
      <c r="A139" s="2">
        <v>41791</v>
      </c>
      <c r="B139">
        <v>725018</v>
      </c>
      <c r="C139">
        <f t="shared" si="2"/>
        <v>381605</v>
      </c>
      <c r="D139">
        <v>343413</v>
      </c>
    </row>
    <row r="140" spans="1:4" x14ac:dyDescent="0.35">
      <c r="A140" s="2">
        <v>41821</v>
      </c>
      <c r="B140">
        <v>706902</v>
      </c>
      <c r="C140">
        <f t="shared" si="2"/>
        <v>371018</v>
      </c>
      <c r="D140">
        <v>335884</v>
      </c>
    </row>
    <row r="141" spans="1:4" x14ac:dyDescent="0.35">
      <c r="A141" s="2">
        <v>41852</v>
      </c>
      <c r="B141">
        <v>708968</v>
      </c>
      <c r="C141">
        <f t="shared" si="2"/>
        <v>369560</v>
      </c>
      <c r="D141">
        <v>339408</v>
      </c>
    </row>
    <row r="142" spans="1:4" x14ac:dyDescent="0.35">
      <c r="A142" s="2">
        <v>41883</v>
      </c>
      <c r="B142">
        <v>706694</v>
      </c>
      <c r="C142">
        <f t="shared" si="2"/>
        <v>364540</v>
      </c>
      <c r="D142">
        <v>342154</v>
      </c>
    </row>
    <row r="143" spans="1:4" x14ac:dyDescent="0.35">
      <c r="A143" s="2">
        <v>41913</v>
      </c>
      <c r="B143">
        <v>710068</v>
      </c>
      <c r="C143">
        <f t="shared" si="2"/>
        <v>365687</v>
      </c>
      <c r="D143">
        <v>344381</v>
      </c>
    </row>
    <row r="144" spans="1:4" x14ac:dyDescent="0.35">
      <c r="A144" s="2">
        <v>41944</v>
      </c>
      <c r="B144">
        <v>698703</v>
      </c>
      <c r="C144">
        <f t="shared" si="2"/>
        <v>361666</v>
      </c>
      <c r="D144">
        <v>337037</v>
      </c>
    </row>
    <row r="145" spans="1:4" x14ac:dyDescent="0.35">
      <c r="A145" s="2">
        <v>41974</v>
      </c>
      <c r="B145">
        <v>685473</v>
      </c>
      <c r="C145">
        <f t="shared" si="2"/>
        <v>354672</v>
      </c>
      <c r="D145">
        <v>330801</v>
      </c>
    </row>
    <row r="146" spans="1:4" x14ac:dyDescent="0.35">
      <c r="A146" s="2">
        <v>42005</v>
      </c>
      <c r="B146">
        <v>692511</v>
      </c>
      <c r="C146">
        <f t="shared" si="2"/>
        <v>351241</v>
      </c>
      <c r="D146">
        <v>341270</v>
      </c>
    </row>
    <row r="147" spans="1:4" x14ac:dyDescent="0.35">
      <c r="A147" s="2">
        <v>42036</v>
      </c>
      <c r="B147">
        <v>681048</v>
      </c>
      <c r="C147">
        <f t="shared" si="2"/>
        <v>344940</v>
      </c>
      <c r="D147">
        <v>336108</v>
      </c>
    </row>
    <row r="148" spans="1:4" x14ac:dyDescent="0.35">
      <c r="A148" s="2">
        <v>42064</v>
      </c>
      <c r="B148">
        <v>680690</v>
      </c>
      <c r="C148">
        <f t="shared" si="2"/>
        <v>345499</v>
      </c>
      <c r="D148">
        <v>335191</v>
      </c>
    </row>
    <row r="149" spans="1:4" x14ac:dyDescent="0.35">
      <c r="A149" s="2">
        <v>42095</v>
      </c>
      <c r="B149">
        <v>660146</v>
      </c>
      <c r="C149">
        <f t="shared" si="2"/>
        <v>340205</v>
      </c>
      <c r="D149">
        <v>319941</v>
      </c>
    </row>
    <row r="150" spans="1:4" x14ac:dyDescent="0.35">
      <c r="A150" s="2">
        <v>42125</v>
      </c>
      <c r="B150">
        <v>662928</v>
      </c>
      <c r="C150">
        <f t="shared" si="2"/>
        <v>339424</v>
      </c>
      <c r="D150">
        <v>323504</v>
      </c>
    </row>
    <row r="151" spans="1:4" x14ac:dyDescent="0.35">
      <c r="A151" s="2">
        <v>42156</v>
      </c>
      <c r="B151">
        <v>652979</v>
      </c>
      <c r="C151">
        <f t="shared" si="2"/>
        <v>333256</v>
      </c>
      <c r="D151">
        <v>319723</v>
      </c>
    </row>
    <row r="152" spans="1:4" x14ac:dyDescent="0.35">
      <c r="A152" s="2">
        <v>42186</v>
      </c>
      <c r="B152">
        <v>644249</v>
      </c>
      <c r="C152">
        <f t="shared" si="2"/>
        <v>337079</v>
      </c>
      <c r="D152">
        <v>307170</v>
      </c>
    </row>
    <row r="153" spans="1:4" x14ac:dyDescent="0.35">
      <c r="A153" s="2">
        <v>42217</v>
      </c>
      <c r="B153">
        <v>634958</v>
      </c>
      <c r="C153">
        <f t="shared" si="2"/>
        <v>334057</v>
      </c>
      <c r="D153">
        <v>300901</v>
      </c>
    </row>
    <row r="154" spans="1:4" x14ac:dyDescent="0.35">
      <c r="A154" s="2">
        <v>42248</v>
      </c>
      <c r="B154">
        <v>624022</v>
      </c>
      <c r="C154">
        <f t="shared" si="2"/>
        <v>331122</v>
      </c>
      <c r="D154">
        <v>292900</v>
      </c>
    </row>
    <row r="155" spans="1:4" x14ac:dyDescent="0.35">
      <c r="A155" s="2">
        <v>42278</v>
      </c>
      <c r="B155">
        <v>631671</v>
      </c>
      <c r="C155">
        <f t="shared" si="2"/>
        <v>332262</v>
      </c>
      <c r="D155">
        <v>299409</v>
      </c>
    </row>
    <row r="156" spans="1:4" x14ac:dyDescent="0.35">
      <c r="A156" s="2">
        <v>42309</v>
      </c>
      <c r="B156">
        <v>633366</v>
      </c>
      <c r="C156">
        <f t="shared" si="2"/>
        <v>326731</v>
      </c>
      <c r="D156">
        <v>306635</v>
      </c>
    </row>
    <row r="157" spans="1:4" x14ac:dyDescent="0.35">
      <c r="A157" s="2">
        <v>42339</v>
      </c>
      <c r="B157">
        <v>613191</v>
      </c>
      <c r="C157">
        <f t="shared" si="2"/>
        <v>322372</v>
      </c>
      <c r="D157">
        <v>290819</v>
      </c>
    </row>
    <row r="158" spans="1:4" x14ac:dyDescent="0.35">
      <c r="A158" s="2">
        <v>42370</v>
      </c>
      <c r="B158">
        <v>610597</v>
      </c>
      <c r="C158">
        <f t="shared" si="2"/>
        <v>320350</v>
      </c>
      <c r="D158">
        <v>290247</v>
      </c>
    </row>
    <row r="159" spans="1:4" x14ac:dyDescent="0.35">
      <c r="A159" s="2">
        <v>42401</v>
      </c>
      <c r="B159">
        <v>621527</v>
      </c>
      <c r="C159">
        <f t="shared" si="2"/>
        <v>321602</v>
      </c>
      <c r="D159">
        <v>299925</v>
      </c>
    </row>
    <row r="160" spans="1:4" x14ac:dyDescent="0.35">
      <c r="A160" s="2">
        <v>42430</v>
      </c>
      <c r="B160">
        <v>603775</v>
      </c>
      <c r="C160">
        <f t="shared" si="2"/>
        <v>315020</v>
      </c>
      <c r="D160">
        <v>288755</v>
      </c>
    </row>
    <row r="161" spans="1:4" x14ac:dyDescent="0.35">
      <c r="A161" s="2">
        <v>42461</v>
      </c>
      <c r="B161">
        <v>603572</v>
      </c>
      <c r="C161">
        <f t="shared" si="2"/>
        <v>315115</v>
      </c>
      <c r="D161">
        <v>288457</v>
      </c>
    </row>
    <row r="162" spans="1:4" x14ac:dyDescent="0.35">
      <c r="A162" s="2">
        <v>42491</v>
      </c>
      <c r="B162">
        <v>604816</v>
      </c>
      <c r="C162">
        <f t="shared" si="2"/>
        <v>314895</v>
      </c>
      <c r="D162">
        <v>289921</v>
      </c>
    </row>
    <row r="163" spans="1:4" x14ac:dyDescent="0.35">
      <c r="A163" s="2">
        <v>42522</v>
      </c>
      <c r="B163">
        <v>599189</v>
      </c>
      <c r="C163">
        <f t="shared" si="2"/>
        <v>317417</v>
      </c>
      <c r="D163">
        <v>281772</v>
      </c>
    </row>
    <row r="164" spans="1:4" x14ac:dyDescent="0.35">
      <c r="A164" s="2">
        <v>42552</v>
      </c>
      <c r="B164">
        <v>600608</v>
      </c>
      <c r="C164">
        <f t="shared" si="2"/>
        <v>313083</v>
      </c>
      <c r="D164">
        <v>287525</v>
      </c>
    </row>
    <row r="165" spans="1:4" x14ac:dyDescent="0.35">
      <c r="A165" s="2">
        <v>42583</v>
      </c>
      <c r="B165">
        <v>600612</v>
      </c>
      <c r="C165">
        <f t="shared" si="2"/>
        <v>316044</v>
      </c>
      <c r="D165">
        <v>284568</v>
      </c>
    </row>
    <row r="166" spans="1:4" x14ac:dyDescent="0.35">
      <c r="A166" s="2">
        <v>42614</v>
      </c>
      <c r="B166">
        <v>596448</v>
      </c>
      <c r="C166">
        <f t="shared" si="2"/>
        <v>319107</v>
      </c>
      <c r="D166">
        <v>277341</v>
      </c>
    </row>
    <row r="167" spans="1:4" x14ac:dyDescent="0.35">
      <c r="A167" s="2">
        <v>42644</v>
      </c>
      <c r="B167">
        <v>594395</v>
      </c>
      <c r="C167">
        <f t="shared" si="2"/>
        <v>316051</v>
      </c>
      <c r="D167">
        <v>278344</v>
      </c>
    </row>
    <row r="168" spans="1:4" x14ac:dyDescent="0.35">
      <c r="A168" s="2">
        <v>42675</v>
      </c>
      <c r="B168">
        <v>591775</v>
      </c>
      <c r="C168">
        <f t="shared" si="2"/>
        <v>310470</v>
      </c>
      <c r="D168">
        <v>281305</v>
      </c>
    </row>
    <row r="169" spans="1:4" x14ac:dyDescent="0.35">
      <c r="A169" s="2">
        <v>42705</v>
      </c>
      <c r="B169">
        <v>590337</v>
      </c>
      <c r="C169">
        <f t="shared" si="2"/>
        <v>312311</v>
      </c>
      <c r="D169">
        <v>278026</v>
      </c>
    </row>
    <row r="170" spans="1:4" x14ac:dyDescent="0.35">
      <c r="A170" s="2">
        <v>42736</v>
      </c>
      <c r="B170">
        <v>590532</v>
      </c>
      <c r="C170">
        <f t="shared" si="2"/>
        <v>303607</v>
      </c>
      <c r="D170">
        <v>286925</v>
      </c>
    </row>
    <row r="171" spans="1:4" x14ac:dyDescent="0.35">
      <c r="A171" s="2">
        <v>42767</v>
      </c>
      <c r="B171">
        <v>588545</v>
      </c>
      <c r="C171">
        <f t="shared" si="2"/>
        <v>306589</v>
      </c>
      <c r="D171">
        <v>281956</v>
      </c>
    </row>
    <row r="172" spans="1:4" x14ac:dyDescent="0.35">
      <c r="A172" s="2">
        <v>42795</v>
      </c>
      <c r="B172">
        <v>581630</v>
      </c>
      <c r="C172">
        <f t="shared" si="2"/>
        <v>308249</v>
      </c>
      <c r="D172">
        <v>273381</v>
      </c>
    </row>
    <row r="173" spans="1:4" x14ac:dyDescent="0.35">
      <c r="A173" s="2">
        <v>42826</v>
      </c>
      <c r="B173">
        <v>582550</v>
      </c>
      <c r="C173">
        <f t="shared" si="2"/>
        <v>305585</v>
      </c>
      <c r="D173">
        <v>276965</v>
      </c>
    </row>
    <row r="174" spans="1:4" x14ac:dyDescent="0.35">
      <c r="A174" s="2">
        <v>42856</v>
      </c>
      <c r="B174">
        <v>575399</v>
      </c>
      <c r="C174">
        <f t="shared" si="2"/>
        <v>307040</v>
      </c>
      <c r="D174">
        <v>268359</v>
      </c>
    </row>
    <row r="175" spans="1:4" x14ac:dyDescent="0.35">
      <c r="A175" s="2">
        <v>42887</v>
      </c>
      <c r="B175">
        <v>572546</v>
      </c>
      <c r="C175">
        <f t="shared" si="2"/>
        <v>308335</v>
      </c>
      <c r="D175">
        <v>264211</v>
      </c>
    </row>
    <row r="176" spans="1:4" x14ac:dyDescent="0.35">
      <c r="A176" s="2">
        <v>42917</v>
      </c>
      <c r="B176">
        <v>568580</v>
      </c>
      <c r="C176">
        <f t="shared" si="2"/>
        <v>306319</v>
      </c>
      <c r="D176">
        <v>262261</v>
      </c>
    </row>
    <row r="177" spans="1:4" x14ac:dyDescent="0.35">
      <c r="A177" s="2">
        <v>42948</v>
      </c>
      <c r="B177">
        <v>567937</v>
      </c>
      <c r="C177">
        <f t="shared" si="2"/>
        <v>305316</v>
      </c>
      <c r="D177">
        <v>262621</v>
      </c>
    </row>
    <row r="178" spans="1:4" x14ac:dyDescent="0.35">
      <c r="A178" s="2">
        <v>42979</v>
      </c>
      <c r="B178">
        <v>568360</v>
      </c>
      <c r="C178">
        <f t="shared" si="2"/>
        <v>304297</v>
      </c>
      <c r="D178">
        <v>264063</v>
      </c>
    </row>
    <row r="179" spans="1:4" x14ac:dyDescent="0.35">
      <c r="A179" s="2">
        <v>43009</v>
      </c>
      <c r="B179">
        <v>569043</v>
      </c>
      <c r="C179">
        <f t="shared" si="2"/>
        <v>305614</v>
      </c>
      <c r="D179">
        <v>263429</v>
      </c>
    </row>
    <row r="180" spans="1:4" x14ac:dyDescent="0.35">
      <c r="A180" s="2">
        <v>43040</v>
      </c>
      <c r="B180">
        <v>556679</v>
      </c>
      <c r="C180">
        <f t="shared" si="2"/>
        <v>297192</v>
      </c>
      <c r="D180">
        <v>259487</v>
      </c>
    </row>
    <row r="181" spans="1:4" x14ac:dyDescent="0.35">
      <c r="A181" s="2">
        <v>43070</v>
      </c>
      <c r="B181">
        <v>552080</v>
      </c>
      <c r="C181">
        <f t="shared" si="2"/>
        <v>299109</v>
      </c>
      <c r="D181">
        <v>252971</v>
      </c>
    </row>
    <row r="182" spans="1:4" x14ac:dyDescent="0.35">
      <c r="A182" s="2">
        <v>43101</v>
      </c>
      <c r="B182">
        <v>546301</v>
      </c>
      <c r="C182">
        <f t="shared" si="2"/>
        <v>294696</v>
      </c>
      <c r="D182">
        <v>251605</v>
      </c>
    </row>
    <row r="183" spans="1:4" x14ac:dyDescent="0.35">
      <c r="A183" s="2">
        <v>43132</v>
      </c>
      <c r="B183">
        <v>551745</v>
      </c>
      <c r="C183">
        <f t="shared" si="2"/>
        <v>294889</v>
      </c>
      <c r="D183">
        <v>256856</v>
      </c>
    </row>
    <row r="184" spans="1:4" x14ac:dyDescent="0.35">
      <c r="A184" s="2">
        <v>43160</v>
      </c>
      <c r="B184">
        <v>557799</v>
      </c>
      <c r="C184">
        <f t="shared" si="2"/>
        <v>302236</v>
      </c>
      <c r="D184">
        <v>255563</v>
      </c>
    </row>
    <row r="185" spans="1:4" x14ac:dyDescent="0.35">
      <c r="A185" s="2">
        <v>43191</v>
      </c>
      <c r="B185">
        <v>553037</v>
      </c>
      <c r="C185">
        <f t="shared" si="2"/>
        <v>299798</v>
      </c>
      <c r="D185">
        <v>253239</v>
      </c>
    </row>
    <row r="186" spans="1:4" x14ac:dyDescent="0.35">
      <c r="A186" s="2">
        <v>43221</v>
      </c>
      <c r="B186">
        <v>564220</v>
      </c>
      <c r="C186">
        <f t="shared" si="2"/>
        <v>300931</v>
      </c>
      <c r="D186">
        <v>263289</v>
      </c>
    </row>
    <row r="187" spans="1:4" x14ac:dyDescent="0.35">
      <c r="A187" s="2">
        <v>43252</v>
      </c>
      <c r="B187">
        <v>559915</v>
      </c>
      <c r="C187">
        <f t="shared" si="2"/>
        <v>301794</v>
      </c>
      <c r="D187">
        <v>258121</v>
      </c>
    </row>
    <row r="188" spans="1:4" x14ac:dyDescent="0.35">
      <c r="A188" s="2">
        <v>43282</v>
      </c>
      <c r="B188">
        <v>559638</v>
      </c>
      <c r="C188">
        <f t="shared" si="2"/>
        <v>298347</v>
      </c>
      <c r="D188">
        <v>261291</v>
      </c>
    </row>
    <row r="189" spans="1:4" x14ac:dyDescent="0.35">
      <c r="A189" s="2">
        <v>43313</v>
      </c>
      <c r="B189">
        <v>559099</v>
      </c>
      <c r="C189">
        <f t="shared" si="2"/>
        <v>300354</v>
      </c>
      <c r="D189">
        <v>258745</v>
      </c>
    </row>
    <row r="190" spans="1:4" x14ac:dyDescent="0.35">
      <c r="A190" s="2">
        <v>43344</v>
      </c>
      <c r="B190">
        <v>556669</v>
      </c>
      <c r="C190">
        <f t="shared" si="2"/>
        <v>300559</v>
      </c>
      <c r="D190">
        <v>256110</v>
      </c>
    </row>
    <row r="191" spans="1:4" x14ac:dyDescent="0.35">
      <c r="A191" s="2">
        <v>43374</v>
      </c>
      <c r="B191">
        <v>556034</v>
      </c>
      <c r="C191">
        <f t="shared" si="2"/>
        <v>300902</v>
      </c>
      <c r="D191">
        <v>255132</v>
      </c>
    </row>
    <row r="192" spans="1:4" x14ac:dyDescent="0.35">
      <c r="A192" s="2">
        <v>43405</v>
      </c>
      <c r="B192">
        <v>557384</v>
      </c>
      <c r="C192">
        <f t="shared" si="2"/>
        <v>293331</v>
      </c>
      <c r="D192">
        <v>264053</v>
      </c>
    </row>
    <row r="193" spans="1:4" x14ac:dyDescent="0.35">
      <c r="A193" s="2">
        <v>43435</v>
      </c>
      <c r="B193">
        <v>599797</v>
      </c>
      <c r="C193">
        <f t="shared" si="2"/>
        <v>293551</v>
      </c>
      <c r="D193">
        <v>306246</v>
      </c>
    </row>
    <row r="194" spans="1:4" x14ac:dyDescent="0.35">
      <c r="A194" s="2">
        <v>43466</v>
      </c>
      <c r="B194">
        <v>612434</v>
      </c>
      <c r="C194">
        <f t="shared" si="2"/>
        <v>292735</v>
      </c>
      <c r="D194">
        <v>319699</v>
      </c>
    </row>
    <row r="195" spans="1:4" x14ac:dyDescent="0.35">
      <c r="A195" s="2">
        <v>43497</v>
      </c>
      <c r="B195">
        <v>606829</v>
      </c>
      <c r="C195">
        <f t="shared" ref="C195:C258" si="3">B195-D195</f>
        <v>292770</v>
      </c>
      <c r="D195">
        <v>314059</v>
      </c>
    </row>
    <row r="196" spans="1:4" x14ac:dyDescent="0.35">
      <c r="A196" s="2">
        <v>43525</v>
      </c>
      <c r="B196">
        <v>636571</v>
      </c>
      <c r="C196">
        <f t="shared" si="3"/>
        <v>292194</v>
      </c>
      <c r="D196">
        <v>344377</v>
      </c>
    </row>
    <row r="197" spans="1:4" x14ac:dyDescent="0.35">
      <c r="A197" s="2">
        <v>43556</v>
      </c>
      <c r="B197">
        <v>640124</v>
      </c>
      <c r="C197">
        <f t="shared" si="3"/>
        <v>296693</v>
      </c>
      <c r="D197">
        <v>343431</v>
      </c>
    </row>
    <row r="198" spans="1:4" x14ac:dyDescent="0.35">
      <c r="A198" s="2">
        <v>43586</v>
      </c>
      <c r="B198">
        <v>635232</v>
      </c>
      <c r="C198">
        <f t="shared" si="3"/>
        <v>296520</v>
      </c>
      <c r="D198">
        <v>338712</v>
      </c>
    </row>
    <row r="199" spans="1:4" x14ac:dyDescent="0.35">
      <c r="A199" s="2">
        <v>43617</v>
      </c>
      <c r="B199">
        <v>645772</v>
      </c>
      <c r="C199">
        <f t="shared" si="3"/>
        <v>294505</v>
      </c>
      <c r="D199">
        <v>351267</v>
      </c>
    </row>
    <row r="200" spans="1:4" x14ac:dyDescent="0.35">
      <c r="A200" s="2">
        <v>43647</v>
      </c>
      <c r="B200">
        <v>669262</v>
      </c>
      <c r="C200">
        <f t="shared" si="3"/>
        <v>296707</v>
      </c>
      <c r="D200">
        <v>372555</v>
      </c>
    </row>
    <row r="201" spans="1:4" x14ac:dyDescent="0.35">
      <c r="A201" s="2">
        <v>43678</v>
      </c>
      <c r="B201">
        <v>680346</v>
      </c>
      <c r="C201">
        <f t="shared" si="3"/>
        <v>295634</v>
      </c>
      <c r="D201">
        <v>384712</v>
      </c>
    </row>
    <row r="202" spans="1:4" x14ac:dyDescent="0.35">
      <c r="A202" s="2">
        <v>43709</v>
      </c>
      <c r="B202">
        <v>678125</v>
      </c>
      <c r="C202">
        <f t="shared" si="3"/>
        <v>295288</v>
      </c>
      <c r="D202">
        <v>382837</v>
      </c>
    </row>
    <row r="203" spans="1:4" x14ac:dyDescent="0.35">
      <c r="A203" s="2">
        <v>43739</v>
      </c>
      <c r="B203">
        <v>688807</v>
      </c>
      <c r="C203">
        <f t="shared" si="3"/>
        <v>303220</v>
      </c>
      <c r="D203">
        <v>385587</v>
      </c>
    </row>
    <row r="204" spans="1:4" x14ac:dyDescent="0.35">
      <c r="A204" s="2">
        <v>43770</v>
      </c>
      <c r="B204">
        <v>685537</v>
      </c>
      <c r="C204">
        <f t="shared" si="3"/>
        <v>301814</v>
      </c>
      <c r="D204">
        <v>383723</v>
      </c>
    </row>
    <row r="205" spans="1:4" x14ac:dyDescent="0.35">
      <c r="A205" s="2">
        <v>43800</v>
      </c>
      <c r="B205">
        <v>675324</v>
      </c>
      <c r="C205">
        <f t="shared" si="3"/>
        <v>296385</v>
      </c>
      <c r="D205">
        <v>378939</v>
      </c>
    </row>
    <row r="206" spans="1:4" x14ac:dyDescent="0.35">
      <c r="A206" s="2">
        <v>43831</v>
      </c>
      <c r="B206">
        <v>679965</v>
      </c>
      <c r="C206">
        <f t="shared" si="3"/>
        <v>294063</v>
      </c>
      <c r="D206">
        <v>385902</v>
      </c>
    </row>
    <row r="207" spans="1:4" x14ac:dyDescent="0.35">
      <c r="A207" s="2">
        <v>43862</v>
      </c>
      <c r="B207">
        <v>701556</v>
      </c>
      <c r="C207">
        <f t="shared" si="3"/>
        <v>297129</v>
      </c>
      <c r="D207">
        <v>404427</v>
      </c>
    </row>
    <row r="208" spans="1:4" x14ac:dyDescent="0.35">
      <c r="A208" s="2">
        <v>43891</v>
      </c>
      <c r="B208">
        <v>724975</v>
      </c>
      <c r="C208">
        <f t="shared" si="3"/>
        <v>296501</v>
      </c>
      <c r="D208">
        <v>428474</v>
      </c>
    </row>
    <row r="209" spans="1:4" x14ac:dyDescent="0.35">
      <c r="A209" s="2">
        <v>43922</v>
      </c>
      <c r="B209">
        <v>726659</v>
      </c>
      <c r="C209">
        <f t="shared" si="3"/>
        <v>303037</v>
      </c>
      <c r="D209">
        <v>423622</v>
      </c>
    </row>
    <row r="210" spans="1:4" x14ac:dyDescent="0.35">
      <c r="A210" s="2">
        <v>43952</v>
      </c>
      <c r="B210">
        <v>715208</v>
      </c>
      <c r="C210">
        <f t="shared" si="3"/>
        <v>304111</v>
      </c>
      <c r="D210">
        <v>411097</v>
      </c>
    </row>
    <row r="211" spans="1:4" x14ac:dyDescent="0.35">
      <c r="A211" s="2">
        <v>43983</v>
      </c>
      <c r="B211">
        <v>710993</v>
      </c>
      <c r="C211">
        <f t="shared" si="3"/>
        <v>304360</v>
      </c>
      <c r="D211">
        <v>406633</v>
      </c>
    </row>
    <row r="212" spans="1:4" x14ac:dyDescent="0.35">
      <c r="A212" s="2">
        <v>44013</v>
      </c>
      <c r="B212">
        <v>713614</v>
      </c>
      <c r="C212">
        <f t="shared" si="3"/>
        <v>308152</v>
      </c>
      <c r="D212">
        <v>405462</v>
      </c>
    </row>
    <row r="213" spans="1:4" x14ac:dyDescent="0.35">
      <c r="A213" s="2">
        <v>44044</v>
      </c>
      <c r="B213">
        <v>703767</v>
      </c>
      <c r="C213">
        <f t="shared" si="3"/>
        <v>310574</v>
      </c>
      <c r="D213">
        <v>393193</v>
      </c>
    </row>
    <row r="214" spans="1:4" x14ac:dyDescent="0.35">
      <c r="A214" s="2">
        <v>44075</v>
      </c>
      <c r="B214">
        <v>711974</v>
      </c>
      <c r="C214">
        <f t="shared" si="3"/>
        <v>313589</v>
      </c>
      <c r="D214">
        <v>398385</v>
      </c>
    </row>
    <row r="215" spans="1:4" x14ac:dyDescent="0.35">
      <c r="A215" s="2">
        <v>44105</v>
      </c>
      <c r="B215">
        <v>728102</v>
      </c>
      <c r="C215">
        <f t="shared" si="3"/>
        <v>314843</v>
      </c>
      <c r="D215">
        <v>413259</v>
      </c>
    </row>
    <row r="216" spans="1:4" x14ac:dyDescent="0.35">
      <c r="A216" s="2">
        <v>44136</v>
      </c>
      <c r="B216">
        <v>754414</v>
      </c>
      <c r="C216">
        <f t="shared" si="3"/>
        <v>313656</v>
      </c>
      <c r="D216">
        <v>440758</v>
      </c>
    </row>
    <row r="217" spans="1:4" x14ac:dyDescent="0.35">
      <c r="A217" s="2">
        <v>44166</v>
      </c>
      <c r="B217">
        <v>756029</v>
      </c>
      <c r="C217">
        <f t="shared" si="3"/>
        <v>316787</v>
      </c>
      <c r="D217">
        <v>439242</v>
      </c>
    </row>
    <row r="218" spans="1:4" x14ac:dyDescent="0.35">
      <c r="A218" s="2">
        <v>44197</v>
      </c>
      <c r="B218">
        <v>768208</v>
      </c>
      <c r="C218">
        <f t="shared" si="3"/>
        <v>316606</v>
      </c>
      <c r="D218">
        <v>451602</v>
      </c>
    </row>
    <row r="219" spans="1:4" x14ac:dyDescent="0.35">
      <c r="A219" s="2">
        <v>44228</v>
      </c>
      <c r="B219">
        <v>770876</v>
      </c>
      <c r="C219">
        <f t="shared" si="3"/>
        <v>314519</v>
      </c>
      <c r="D219">
        <v>456357</v>
      </c>
    </row>
    <row r="220" spans="1:4" x14ac:dyDescent="0.35">
      <c r="A220" s="2">
        <v>44256</v>
      </c>
      <c r="B220">
        <v>780058</v>
      </c>
      <c r="C220">
        <f t="shared" si="3"/>
        <v>331648</v>
      </c>
      <c r="D220">
        <v>448410</v>
      </c>
    </row>
    <row r="221" spans="1:4" x14ac:dyDescent="0.35">
      <c r="A221" s="2">
        <v>44287</v>
      </c>
      <c r="B221">
        <v>791450</v>
      </c>
      <c r="C221">
        <f t="shared" si="3"/>
        <v>331645</v>
      </c>
      <c r="D221">
        <v>459805</v>
      </c>
    </row>
    <row r="222" spans="1:4" x14ac:dyDescent="0.35">
      <c r="A222" s="2">
        <v>44317</v>
      </c>
      <c r="B222">
        <v>769312</v>
      </c>
      <c r="C222">
        <f t="shared" si="3"/>
        <v>332929</v>
      </c>
      <c r="D222">
        <v>436383</v>
      </c>
    </row>
    <row r="223" spans="1:4" x14ac:dyDescent="0.35">
      <c r="A223" s="2">
        <v>44348</v>
      </c>
      <c r="B223">
        <v>782083</v>
      </c>
      <c r="C223">
        <f t="shared" si="3"/>
        <v>345622</v>
      </c>
      <c r="D223">
        <v>436461</v>
      </c>
    </row>
    <row r="224" spans="1:4" x14ac:dyDescent="0.35">
      <c r="A224" s="2">
        <v>44378</v>
      </c>
      <c r="B224">
        <v>794820</v>
      </c>
      <c r="C224">
        <f t="shared" si="3"/>
        <v>344428</v>
      </c>
      <c r="D224">
        <v>450392</v>
      </c>
    </row>
    <row r="225" spans="1:4" x14ac:dyDescent="0.35">
      <c r="A225" s="2">
        <v>44409</v>
      </c>
      <c r="B225">
        <v>791253</v>
      </c>
      <c r="C225">
        <f t="shared" si="3"/>
        <v>344772</v>
      </c>
      <c r="D225">
        <v>446481</v>
      </c>
    </row>
    <row r="226" spans="1:4" x14ac:dyDescent="0.35">
      <c r="A226" s="2">
        <v>44440</v>
      </c>
      <c r="B226">
        <v>793661</v>
      </c>
      <c r="C226">
        <f t="shared" si="3"/>
        <v>349253</v>
      </c>
      <c r="D226">
        <v>444408</v>
      </c>
    </row>
    <row r="227" spans="1:4" x14ac:dyDescent="0.35">
      <c r="A227" s="2">
        <v>44470</v>
      </c>
      <c r="B227">
        <v>800009</v>
      </c>
      <c r="C227">
        <f t="shared" si="3"/>
        <v>349288</v>
      </c>
      <c r="D227">
        <v>450721</v>
      </c>
    </row>
    <row r="228" spans="1:4" x14ac:dyDescent="0.35">
      <c r="A228" s="2">
        <v>44501</v>
      </c>
      <c r="B228">
        <v>812980</v>
      </c>
      <c r="C228">
        <f t="shared" si="3"/>
        <v>346538</v>
      </c>
      <c r="D228">
        <v>466442</v>
      </c>
    </row>
    <row r="229" spans="1:4" x14ac:dyDescent="0.35">
      <c r="A229" s="2">
        <v>44531</v>
      </c>
      <c r="B229">
        <v>764057</v>
      </c>
      <c r="C229">
        <f t="shared" si="3"/>
        <v>355269</v>
      </c>
      <c r="D229">
        <v>408788</v>
      </c>
    </row>
    <row r="230" spans="1:4" x14ac:dyDescent="0.35">
      <c r="A230" s="2">
        <v>44562</v>
      </c>
      <c r="B230">
        <v>815926</v>
      </c>
      <c r="C230">
        <f t="shared" si="3"/>
        <v>365823</v>
      </c>
      <c r="D230">
        <v>450103</v>
      </c>
    </row>
    <row r="231" spans="1:4" x14ac:dyDescent="0.35">
      <c r="A231" s="2">
        <v>44593</v>
      </c>
      <c r="B231">
        <v>820505</v>
      </c>
      <c r="C231">
        <f t="shared" si="3"/>
        <v>366634</v>
      </c>
      <c r="D231">
        <v>453871</v>
      </c>
    </row>
    <row r="232" spans="1:4" x14ac:dyDescent="0.35">
      <c r="A232" s="2">
        <v>44621</v>
      </c>
      <c r="B232">
        <v>829550</v>
      </c>
      <c r="C232">
        <f t="shared" si="3"/>
        <v>368559</v>
      </c>
      <c r="D232">
        <v>460991</v>
      </c>
    </row>
    <row r="233" spans="1:4" x14ac:dyDescent="0.35">
      <c r="A233" s="2">
        <v>44652</v>
      </c>
      <c r="B233">
        <v>875198</v>
      </c>
      <c r="C233">
        <f t="shared" si="3"/>
        <v>376040</v>
      </c>
      <c r="D233">
        <v>499158</v>
      </c>
    </row>
    <row r="234" spans="1:4" x14ac:dyDescent="0.35">
      <c r="A234" s="2">
        <v>44682</v>
      </c>
      <c r="B234">
        <v>863498</v>
      </c>
      <c r="C234">
        <f t="shared" si="3"/>
        <v>367865</v>
      </c>
      <c r="D234">
        <v>495633</v>
      </c>
    </row>
    <row r="235" spans="1:4" x14ac:dyDescent="0.35">
      <c r="A235" s="2">
        <v>44713</v>
      </c>
      <c r="B235">
        <v>842634</v>
      </c>
      <c r="C235">
        <f t="shared" si="3"/>
        <v>386229</v>
      </c>
      <c r="D235">
        <v>456405</v>
      </c>
    </row>
    <row r="236" spans="1:4" x14ac:dyDescent="0.35">
      <c r="A236" s="2">
        <v>44743</v>
      </c>
      <c r="B236">
        <v>878885</v>
      </c>
      <c r="C236">
        <f t="shared" si="3"/>
        <v>385184</v>
      </c>
      <c r="D236">
        <v>493701</v>
      </c>
    </row>
    <row r="237" spans="1:4" x14ac:dyDescent="0.35">
      <c r="A237" s="2">
        <v>44774</v>
      </c>
      <c r="B237">
        <v>899761</v>
      </c>
      <c r="C237">
        <f t="shared" si="3"/>
        <v>390573</v>
      </c>
      <c r="D237">
        <v>509188</v>
      </c>
    </row>
    <row r="238" spans="1:4" x14ac:dyDescent="0.35">
      <c r="A238" s="2">
        <v>44805</v>
      </c>
      <c r="B238">
        <v>928309</v>
      </c>
      <c r="C238">
        <f t="shared" si="3"/>
        <v>392271</v>
      </c>
      <c r="D238">
        <v>536038</v>
      </c>
    </row>
    <row r="239" spans="1:4" x14ac:dyDescent="0.35">
      <c r="A239" s="2">
        <v>44835</v>
      </c>
      <c r="B239">
        <v>927754</v>
      </c>
      <c r="C239">
        <f t="shared" si="3"/>
        <v>396517</v>
      </c>
      <c r="D239">
        <v>531237</v>
      </c>
    </row>
    <row r="240" spans="1:4" x14ac:dyDescent="0.35">
      <c r="A240" s="2">
        <v>44866</v>
      </c>
      <c r="B240">
        <v>905692</v>
      </c>
      <c r="C240">
        <f t="shared" si="3"/>
        <v>382302</v>
      </c>
      <c r="D240">
        <v>523390</v>
      </c>
    </row>
    <row r="241" spans="1:4" x14ac:dyDescent="0.35">
      <c r="A241" s="2">
        <v>44896</v>
      </c>
      <c r="B241">
        <v>867516</v>
      </c>
      <c r="C241">
        <f t="shared" si="3"/>
        <v>380248</v>
      </c>
      <c r="D241">
        <v>487268</v>
      </c>
    </row>
    <row r="242" spans="1:4" x14ac:dyDescent="0.35">
      <c r="A242" s="2">
        <v>44927</v>
      </c>
      <c r="B242">
        <v>871337</v>
      </c>
      <c r="C242">
        <f t="shared" si="3"/>
        <v>364120</v>
      </c>
      <c r="D242">
        <v>507217</v>
      </c>
    </row>
    <row r="243" spans="1:4" x14ac:dyDescent="0.35">
      <c r="A243" s="2">
        <v>44958</v>
      </c>
      <c r="B243">
        <v>880187</v>
      </c>
      <c r="C243">
        <f t="shared" si="3"/>
        <v>356885</v>
      </c>
      <c r="D243">
        <v>523302</v>
      </c>
    </row>
    <row r="244" spans="1:4" x14ac:dyDescent="0.35">
      <c r="A244" s="2">
        <v>44986</v>
      </c>
      <c r="B244">
        <v>863371</v>
      </c>
      <c r="C244">
        <f t="shared" si="3"/>
        <v>356892</v>
      </c>
      <c r="D244">
        <v>506479</v>
      </c>
    </row>
    <row r="245" spans="1:4" x14ac:dyDescent="0.35">
      <c r="A245" s="2">
        <v>45017</v>
      </c>
      <c r="B245">
        <v>881082</v>
      </c>
      <c r="C245">
        <f t="shared" si="3"/>
        <v>365736</v>
      </c>
      <c r="D245">
        <v>515346</v>
      </c>
    </row>
    <row r="246" spans="1:4" x14ac:dyDescent="0.35">
      <c r="A246" s="2">
        <v>45047</v>
      </c>
      <c r="B246">
        <v>938427</v>
      </c>
      <c r="C246">
        <f t="shared" si="3"/>
        <v>362077</v>
      </c>
      <c r="D246">
        <v>576350</v>
      </c>
    </row>
    <row r="247" spans="1:4" x14ac:dyDescent="0.35">
      <c r="A247" s="2">
        <v>45078</v>
      </c>
      <c r="B247">
        <v>886894</v>
      </c>
      <c r="C247">
        <f t="shared" si="3"/>
        <v>365958</v>
      </c>
      <c r="D247">
        <v>520936</v>
      </c>
    </row>
    <row r="248" spans="1:4" x14ac:dyDescent="0.35">
      <c r="A248" s="2">
        <v>45108</v>
      </c>
      <c r="B248">
        <v>880763</v>
      </c>
      <c r="C248">
        <f t="shared" si="3"/>
        <v>356286</v>
      </c>
      <c r="D248">
        <v>524477</v>
      </c>
    </row>
    <row r="249" spans="1:4" x14ac:dyDescent="0.35">
      <c r="A249" s="2">
        <v>45139</v>
      </c>
      <c r="B249">
        <v>887025</v>
      </c>
      <c r="C249">
        <f t="shared" si="3"/>
        <v>352980</v>
      </c>
      <c r="D249">
        <v>534045</v>
      </c>
    </row>
    <row r="250" spans="1:4" x14ac:dyDescent="0.35">
      <c r="A250" s="2">
        <v>45170</v>
      </c>
      <c r="B250">
        <v>897230</v>
      </c>
      <c r="C250">
        <f t="shared" si="3"/>
        <v>357259</v>
      </c>
      <c r="D250">
        <v>539971</v>
      </c>
    </row>
    <row r="251" spans="1:4" x14ac:dyDescent="0.35">
      <c r="A251" s="2">
        <v>45200</v>
      </c>
      <c r="B251">
        <v>892486</v>
      </c>
      <c r="C251">
        <f t="shared" si="3"/>
        <v>355294</v>
      </c>
      <c r="D251">
        <v>537192</v>
      </c>
    </row>
    <row r="252" spans="1:4" x14ac:dyDescent="0.35">
      <c r="A252" s="2">
        <v>45231</v>
      </c>
      <c r="B252">
        <v>872080</v>
      </c>
      <c r="C252">
        <f t="shared" si="3"/>
        <v>347776</v>
      </c>
      <c r="D252">
        <v>524304</v>
      </c>
    </row>
    <row r="253" spans="1:4" x14ac:dyDescent="0.35">
      <c r="A253" s="2">
        <v>45261</v>
      </c>
      <c r="B253">
        <v>847456</v>
      </c>
      <c r="C253">
        <f t="shared" si="3"/>
        <v>358982</v>
      </c>
      <c r="D253">
        <v>488474</v>
      </c>
    </row>
    <row r="254" spans="1:4" x14ac:dyDescent="0.35">
      <c r="A254" s="2">
        <v>45292</v>
      </c>
      <c r="B254">
        <v>874814</v>
      </c>
      <c r="C254">
        <f t="shared" si="3"/>
        <v>353401</v>
      </c>
      <c r="D254">
        <v>521413</v>
      </c>
    </row>
    <row r="255" spans="1:4" x14ac:dyDescent="0.35">
      <c r="A255" s="2">
        <v>45323</v>
      </c>
      <c r="B255">
        <v>871956</v>
      </c>
      <c r="C255">
        <f t="shared" si="3"/>
        <v>350222</v>
      </c>
      <c r="D255">
        <v>521734</v>
      </c>
    </row>
    <row r="256" spans="1:4" x14ac:dyDescent="0.35">
      <c r="A256" s="2">
        <v>45352</v>
      </c>
      <c r="B256">
        <v>871965</v>
      </c>
      <c r="C256">
        <f t="shared" si="3"/>
        <v>357413</v>
      </c>
      <c r="D256">
        <v>514552</v>
      </c>
    </row>
    <row r="257" spans="1:4" x14ac:dyDescent="0.35">
      <c r="A257" s="2">
        <v>45383</v>
      </c>
      <c r="B257">
        <v>875104</v>
      </c>
      <c r="C257">
        <f t="shared" si="3"/>
        <v>354851</v>
      </c>
      <c r="D257">
        <v>520253</v>
      </c>
    </row>
    <row r="258" spans="1:4" x14ac:dyDescent="0.35">
      <c r="A258" s="2">
        <v>45413</v>
      </c>
      <c r="B258">
        <v>883598</v>
      </c>
      <c r="C258">
        <f t="shared" si="3"/>
        <v>355520</v>
      </c>
      <c r="D258">
        <v>528078</v>
      </c>
    </row>
    <row r="259" spans="1:4" x14ac:dyDescent="0.35">
      <c r="A259" s="2">
        <v>45444</v>
      </c>
      <c r="B259">
        <v>878340</v>
      </c>
      <c r="C259">
        <f t="shared" ref="C259:C266" si="4">B259-D259</f>
        <v>356563</v>
      </c>
      <c r="D259">
        <v>521777</v>
      </c>
    </row>
    <row r="260" spans="1:4" x14ac:dyDescent="0.35">
      <c r="A260" s="2">
        <v>45474</v>
      </c>
      <c r="B260">
        <v>877994</v>
      </c>
      <c r="C260">
        <f t="shared" si="4"/>
        <v>352646</v>
      </c>
      <c r="D260">
        <v>525348</v>
      </c>
    </row>
    <row r="261" spans="1:4" x14ac:dyDescent="0.35">
      <c r="A261" s="2">
        <v>45505</v>
      </c>
      <c r="B261">
        <v>883904</v>
      </c>
      <c r="C261">
        <f t="shared" si="4"/>
        <v>355375</v>
      </c>
      <c r="D261">
        <v>528529</v>
      </c>
    </row>
    <row r="262" spans="1:4" x14ac:dyDescent="0.35">
      <c r="A262" s="2">
        <v>45536</v>
      </c>
      <c r="B262">
        <v>891437</v>
      </c>
      <c r="C262">
        <f t="shared" si="4"/>
        <v>352059</v>
      </c>
      <c r="D262">
        <v>539378</v>
      </c>
    </row>
    <row r="263" spans="1:4" x14ac:dyDescent="0.35">
      <c r="A263" s="2">
        <v>45566</v>
      </c>
      <c r="B263">
        <v>917747</v>
      </c>
      <c r="C263">
        <f t="shared" si="4"/>
        <v>359985</v>
      </c>
      <c r="D263">
        <v>557762</v>
      </c>
    </row>
    <row r="264" spans="1:4" x14ac:dyDescent="0.35">
      <c r="A264" s="2">
        <v>45597</v>
      </c>
      <c r="B264">
        <v>952208</v>
      </c>
      <c r="C264">
        <f t="shared" si="4"/>
        <v>358221</v>
      </c>
      <c r="D264">
        <v>593987</v>
      </c>
    </row>
    <row r="265" spans="1:4" x14ac:dyDescent="0.35">
      <c r="A265" s="2">
        <v>45627</v>
      </c>
      <c r="B265">
        <v>911527</v>
      </c>
      <c r="C265">
        <f t="shared" si="4"/>
        <v>358023</v>
      </c>
      <c r="D265">
        <v>553504</v>
      </c>
    </row>
    <row r="266" spans="1:4" x14ac:dyDescent="0.35">
      <c r="A266" s="2">
        <v>45658</v>
      </c>
      <c r="B266">
        <v>935019</v>
      </c>
      <c r="C266">
        <f t="shared" si="4"/>
        <v>353337</v>
      </c>
      <c r="D266">
        <v>581682</v>
      </c>
    </row>
    <row r="267" spans="1:4" x14ac:dyDescent="0.35">
      <c r="A267" s="2"/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33"/>
  <sheetViews>
    <sheetView workbookViewId="0">
      <selection activeCell="B14" sqref="B14"/>
    </sheetView>
  </sheetViews>
  <sheetFormatPr defaultRowHeight="14.5" x14ac:dyDescent="0.35"/>
  <cols>
    <col min="1" max="1" width="10.453125" style="2" bestFit="1" customWidth="1"/>
  </cols>
  <sheetData>
    <row r="1" spans="1:7" ht="37.5" x14ac:dyDescent="0.35">
      <c r="A1" s="21" t="s">
        <v>0</v>
      </c>
      <c r="B1" s="17" t="s">
        <v>1</v>
      </c>
      <c r="C1" s="18" t="s">
        <v>2</v>
      </c>
      <c r="D1" s="19" t="s">
        <v>3</v>
      </c>
      <c r="G1" s="20" t="s">
        <v>11</v>
      </c>
    </row>
    <row r="2" spans="1:7" x14ac:dyDescent="0.35">
      <c r="A2" s="2">
        <v>33604</v>
      </c>
      <c r="B2">
        <v>54689</v>
      </c>
      <c r="C2">
        <v>44894</v>
      </c>
      <c r="D2">
        <v>9795</v>
      </c>
    </row>
    <row r="3" spans="1:7" x14ac:dyDescent="0.35">
      <c r="A3" s="2">
        <v>33635</v>
      </c>
      <c r="B3">
        <v>56370</v>
      </c>
      <c r="C3">
        <v>45623</v>
      </c>
      <c r="D3">
        <v>10747</v>
      </c>
    </row>
    <row r="4" spans="1:7" x14ac:dyDescent="0.35">
      <c r="A4" s="2">
        <v>33664</v>
      </c>
      <c r="B4">
        <v>56466</v>
      </c>
      <c r="C4">
        <v>46120</v>
      </c>
      <c r="D4">
        <v>10346</v>
      </c>
    </row>
    <row r="5" spans="1:7" x14ac:dyDescent="0.35">
      <c r="A5" s="2">
        <v>33695</v>
      </c>
      <c r="B5">
        <v>57656</v>
      </c>
      <c r="C5">
        <v>46405</v>
      </c>
      <c r="D5">
        <v>11251</v>
      </c>
    </row>
    <row r="6" spans="1:7" x14ac:dyDescent="0.35">
      <c r="A6" s="2">
        <v>33725</v>
      </c>
      <c r="B6">
        <v>57916</v>
      </c>
      <c r="C6">
        <v>46630</v>
      </c>
      <c r="D6">
        <v>11286</v>
      </c>
    </row>
    <row r="7" spans="1:7" x14ac:dyDescent="0.35">
      <c r="A7" s="2">
        <v>33756</v>
      </c>
      <c r="B7">
        <v>57443</v>
      </c>
      <c r="C7">
        <v>46345</v>
      </c>
      <c r="D7">
        <v>11098</v>
      </c>
    </row>
    <row r="8" spans="1:7" x14ac:dyDescent="0.35">
      <c r="A8" s="2">
        <v>33786</v>
      </c>
      <c r="B8">
        <v>58750</v>
      </c>
      <c r="C8">
        <v>46842</v>
      </c>
      <c r="D8">
        <v>11908</v>
      </c>
    </row>
    <row r="9" spans="1:7" x14ac:dyDescent="0.35">
      <c r="A9" s="2">
        <v>33817</v>
      </c>
      <c r="B9">
        <v>59355</v>
      </c>
      <c r="C9">
        <v>47382</v>
      </c>
      <c r="D9">
        <v>11973</v>
      </c>
    </row>
    <row r="10" spans="1:7" x14ac:dyDescent="0.35">
      <c r="A10" s="2">
        <v>33848</v>
      </c>
      <c r="B10">
        <v>61695</v>
      </c>
      <c r="C10">
        <v>48552</v>
      </c>
      <c r="D10">
        <v>13143</v>
      </c>
    </row>
    <row r="11" spans="1:7" x14ac:dyDescent="0.35">
      <c r="A11" s="2">
        <v>33878</v>
      </c>
      <c r="B11">
        <v>64281</v>
      </c>
      <c r="C11">
        <v>50061</v>
      </c>
      <c r="D11">
        <v>14220</v>
      </c>
    </row>
    <row r="12" spans="1:7" x14ac:dyDescent="0.35">
      <c r="A12" s="2">
        <v>33909</v>
      </c>
      <c r="B12">
        <v>65032</v>
      </c>
      <c r="C12">
        <v>50040</v>
      </c>
      <c r="D12">
        <v>14992</v>
      </c>
    </row>
    <row r="13" spans="1:7" x14ac:dyDescent="0.35">
      <c r="A13" s="2">
        <v>33939</v>
      </c>
      <c r="B13">
        <v>64595</v>
      </c>
      <c r="C13">
        <v>49977</v>
      </c>
      <c r="D13">
        <v>14618</v>
      </c>
    </row>
    <row r="14" spans="1:7" x14ac:dyDescent="0.35">
      <c r="A14" s="2">
        <v>33970</v>
      </c>
      <c r="B14">
        <v>64109</v>
      </c>
      <c r="C14">
        <v>49592</v>
      </c>
      <c r="D14">
        <v>14517</v>
      </c>
    </row>
    <row r="15" spans="1:7" x14ac:dyDescent="0.35">
      <c r="A15" s="2">
        <v>34001</v>
      </c>
      <c r="B15">
        <v>65684</v>
      </c>
      <c r="C15">
        <v>50206</v>
      </c>
      <c r="D15">
        <v>15478</v>
      </c>
    </row>
    <row r="16" spans="1:7" x14ac:dyDescent="0.35">
      <c r="A16" s="2">
        <v>34029</v>
      </c>
      <c r="B16">
        <v>65856</v>
      </c>
      <c r="C16">
        <v>49935</v>
      </c>
      <c r="D16">
        <v>15921</v>
      </c>
    </row>
    <row r="17" spans="1:4" x14ac:dyDescent="0.35">
      <c r="A17" s="2">
        <v>34060</v>
      </c>
      <c r="B17">
        <v>66214</v>
      </c>
      <c r="C17">
        <v>51407</v>
      </c>
      <c r="D17">
        <v>14807</v>
      </c>
    </row>
    <row r="18" spans="1:4" x14ac:dyDescent="0.35">
      <c r="A18" s="2">
        <v>34090</v>
      </c>
      <c r="B18">
        <v>66764</v>
      </c>
      <c r="C18">
        <v>51368</v>
      </c>
      <c r="D18">
        <v>15396</v>
      </c>
    </row>
    <row r="19" spans="1:4" x14ac:dyDescent="0.35">
      <c r="A19" s="2">
        <v>34121</v>
      </c>
      <c r="B19">
        <v>68271</v>
      </c>
      <c r="C19">
        <v>52042</v>
      </c>
      <c r="D19">
        <v>16229</v>
      </c>
    </row>
    <row r="20" spans="1:4" x14ac:dyDescent="0.35">
      <c r="A20" s="2">
        <v>34151</v>
      </c>
      <c r="B20">
        <v>71690</v>
      </c>
      <c r="C20">
        <v>53734</v>
      </c>
      <c r="D20">
        <v>17956</v>
      </c>
    </row>
    <row r="21" spans="1:4" x14ac:dyDescent="0.35">
      <c r="A21" s="2">
        <v>34182</v>
      </c>
      <c r="B21">
        <v>72150</v>
      </c>
      <c r="C21">
        <v>53226</v>
      </c>
      <c r="D21">
        <v>18924</v>
      </c>
    </row>
    <row r="22" spans="1:4" x14ac:dyDescent="0.35">
      <c r="A22" s="2">
        <v>34213</v>
      </c>
      <c r="B22">
        <v>71685</v>
      </c>
      <c r="C22">
        <v>52910</v>
      </c>
      <c r="D22">
        <v>18775</v>
      </c>
    </row>
    <row r="23" spans="1:4" x14ac:dyDescent="0.35">
      <c r="A23" s="2">
        <v>34243</v>
      </c>
      <c r="B23">
        <v>71650</v>
      </c>
      <c r="C23">
        <v>53071</v>
      </c>
      <c r="D23">
        <v>18579</v>
      </c>
    </row>
    <row r="24" spans="1:4" x14ac:dyDescent="0.35">
      <c r="A24" s="2">
        <v>34274</v>
      </c>
      <c r="B24">
        <v>69977</v>
      </c>
      <c r="C24">
        <v>51864</v>
      </c>
      <c r="D24">
        <v>18113</v>
      </c>
    </row>
    <row r="25" spans="1:4" x14ac:dyDescent="0.35">
      <c r="A25" s="2">
        <v>34304</v>
      </c>
      <c r="B25">
        <v>75933</v>
      </c>
      <c r="C25">
        <v>52781</v>
      </c>
      <c r="D25">
        <v>23152</v>
      </c>
    </row>
    <row r="26" spans="1:4" x14ac:dyDescent="0.35">
      <c r="A26" s="2">
        <v>34335</v>
      </c>
      <c r="B26">
        <v>75353</v>
      </c>
      <c r="C26">
        <v>52945</v>
      </c>
      <c r="D26">
        <v>22408</v>
      </c>
    </row>
    <row r="27" spans="1:4" x14ac:dyDescent="0.35">
      <c r="A27" s="2">
        <v>34366</v>
      </c>
      <c r="B27">
        <v>76240</v>
      </c>
      <c r="C27">
        <v>53798</v>
      </c>
      <c r="D27">
        <v>22442</v>
      </c>
    </row>
    <row r="28" spans="1:4" x14ac:dyDescent="0.35">
      <c r="A28" s="2">
        <v>34394</v>
      </c>
      <c r="B28">
        <v>71216</v>
      </c>
      <c r="C28">
        <v>49499</v>
      </c>
      <c r="D28">
        <v>21717</v>
      </c>
    </row>
    <row r="29" spans="1:4" x14ac:dyDescent="0.35">
      <c r="A29" s="2">
        <v>34425</v>
      </c>
      <c r="B29">
        <v>74054</v>
      </c>
      <c r="C29">
        <v>51827</v>
      </c>
      <c r="D29">
        <v>22227</v>
      </c>
    </row>
    <row r="30" spans="1:4" x14ac:dyDescent="0.35">
      <c r="A30" s="2">
        <v>34455</v>
      </c>
      <c r="B30">
        <v>78386</v>
      </c>
      <c r="C30">
        <v>56213</v>
      </c>
      <c r="D30">
        <v>22173</v>
      </c>
    </row>
    <row r="31" spans="1:4" x14ac:dyDescent="0.35">
      <c r="A31" s="2">
        <v>34486</v>
      </c>
      <c r="B31">
        <v>73177</v>
      </c>
      <c r="C31">
        <v>50798</v>
      </c>
      <c r="D31">
        <v>22379</v>
      </c>
    </row>
    <row r="32" spans="1:4" x14ac:dyDescent="0.35">
      <c r="A32" s="2">
        <v>34516</v>
      </c>
      <c r="B32">
        <v>74451</v>
      </c>
      <c r="C32">
        <v>50618</v>
      </c>
      <c r="D32">
        <v>23833</v>
      </c>
    </row>
    <row r="33" spans="1:4" x14ac:dyDescent="0.35">
      <c r="A33" s="2">
        <v>34547</v>
      </c>
      <c r="B33">
        <v>75808</v>
      </c>
      <c r="C33">
        <v>51175</v>
      </c>
      <c r="D33">
        <v>24633</v>
      </c>
    </row>
    <row r="34" spans="1:4" x14ac:dyDescent="0.35">
      <c r="A34" s="2">
        <v>34578</v>
      </c>
      <c r="B34">
        <v>77373</v>
      </c>
      <c r="C34">
        <v>52851</v>
      </c>
      <c r="D34">
        <v>24522</v>
      </c>
    </row>
    <row r="35" spans="1:4" x14ac:dyDescent="0.35">
      <c r="A35" s="2">
        <v>34608</v>
      </c>
      <c r="B35">
        <v>76981</v>
      </c>
      <c r="C35">
        <v>52853</v>
      </c>
      <c r="D35">
        <v>24128</v>
      </c>
    </row>
    <row r="36" spans="1:4" x14ac:dyDescent="0.35">
      <c r="A36" s="2">
        <v>34639</v>
      </c>
      <c r="B36">
        <v>79140</v>
      </c>
      <c r="C36">
        <v>53214</v>
      </c>
      <c r="D36">
        <v>25926</v>
      </c>
    </row>
    <row r="37" spans="1:4" x14ac:dyDescent="0.35">
      <c r="A37" s="2">
        <v>34669</v>
      </c>
      <c r="B37">
        <v>80271</v>
      </c>
      <c r="C37">
        <v>54306</v>
      </c>
      <c r="D37">
        <v>25965</v>
      </c>
    </row>
    <row r="38" spans="1:4" x14ac:dyDescent="0.35">
      <c r="A38" s="2">
        <v>34700</v>
      </c>
      <c r="B38">
        <v>81791</v>
      </c>
      <c r="C38">
        <v>55239</v>
      </c>
      <c r="D38">
        <v>26552</v>
      </c>
    </row>
    <row r="39" spans="1:4" x14ac:dyDescent="0.35">
      <c r="A39" s="2">
        <v>34731</v>
      </c>
      <c r="B39">
        <v>82315</v>
      </c>
      <c r="C39">
        <v>54169</v>
      </c>
      <c r="D39">
        <v>28146</v>
      </c>
    </row>
    <row r="40" spans="1:4" x14ac:dyDescent="0.35">
      <c r="A40" s="2">
        <v>34759</v>
      </c>
      <c r="B40">
        <v>83489</v>
      </c>
      <c r="C40">
        <v>54923</v>
      </c>
      <c r="D40">
        <v>28566</v>
      </c>
    </row>
    <row r="41" spans="1:4" x14ac:dyDescent="0.35">
      <c r="A41" s="2">
        <v>34790</v>
      </c>
      <c r="B41">
        <v>85686</v>
      </c>
      <c r="C41">
        <v>55732</v>
      </c>
      <c r="D41">
        <v>29954</v>
      </c>
    </row>
    <row r="42" spans="1:4" x14ac:dyDescent="0.35">
      <c r="A42" s="2">
        <v>34820</v>
      </c>
      <c r="B42">
        <v>85760</v>
      </c>
      <c r="C42">
        <v>56064</v>
      </c>
      <c r="D42">
        <v>29696</v>
      </c>
    </row>
    <row r="43" spans="1:4" x14ac:dyDescent="0.35">
      <c r="A43" s="2">
        <v>34851</v>
      </c>
      <c r="B43">
        <v>86231</v>
      </c>
      <c r="C43">
        <v>56500</v>
      </c>
      <c r="D43">
        <v>29731</v>
      </c>
    </row>
    <row r="44" spans="1:4" x14ac:dyDescent="0.35">
      <c r="A44" s="2">
        <v>34881</v>
      </c>
      <c r="B44">
        <v>86350</v>
      </c>
      <c r="C44">
        <v>55838</v>
      </c>
      <c r="D44">
        <v>30512</v>
      </c>
    </row>
    <row r="45" spans="1:4" x14ac:dyDescent="0.35">
      <c r="A45" s="2">
        <v>34912</v>
      </c>
      <c r="B45">
        <v>87113</v>
      </c>
      <c r="C45">
        <v>56979</v>
      </c>
      <c r="D45">
        <v>30134</v>
      </c>
    </row>
    <row r="46" spans="1:4" x14ac:dyDescent="0.35">
      <c r="A46" s="2">
        <v>34943</v>
      </c>
      <c r="B46">
        <v>89078</v>
      </c>
      <c r="C46">
        <v>57750</v>
      </c>
      <c r="D46">
        <v>31328</v>
      </c>
    </row>
    <row r="47" spans="1:4" x14ac:dyDescent="0.35">
      <c r="A47" s="2">
        <v>34973</v>
      </c>
      <c r="B47">
        <v>91700</v>
      </c>
      <c r="C47">
        <v>58411</v>
      </c>
      <c r="D47">
        <v>33289</v>
      </c>
    </row>
    <row r="48" spans="1:4" x14ac:dyDescent="0.35">
      <c r="A48" s="2">
        <v>35004</v>
      </c>
      <c r="B48">
        <v>95276</v>
      </c>
      <c r="C48">
        <v>58835</v>
      </c>
      <c r="D48">
        <v>36441</v>
      </c>
    </row>
    <row r="49" spans="1:4" x14ac:dyDescent="0.35">
      <c r="A49" s="2">
        <v>35034</v>
      </c>
      <c r="B49">
        <v>99891</v>
      </c>
      <c r="C49">
        <v>62423</v>
      </c>
      <c r="D49">
        <v>37468</v>
      </c>
    </row>
    <row r="50" spans="1:4" x14ac:dyDescent="0.35">
      <c r="A50" s="2">
        <v>35065</v>
      </c>
      <c r="B50">
        <v>101479</v>
      </c>
      <c r="C50">
        <v>61370</v>
      </c>
      <c r="D50">
        <v>40109</v>
      </c>
    </row>
    <row r="51" spans="1:4" x14ac:dyDescent="0.35">
      <c r="A51" s="2">
        <v>35096</v>
      </c>
      <c r="B51">
        <v>103404</v>
      </c>
      <c r="C51">
        <v>62662</v>
      </c>
      <c r="D51">
        <v>40742</v>
      </c>
    </row>
    <row r="52" spans="1:4" x14ac:dyDescent="0.35">
      <c r="A52" s="2">
        <v>35125</v>
      </c>
      <c r="B52">
        <v>106402</v>
      </c>
      <c r="C52">
        <v>63867</v>
      </c>
      <c r="D52">
        <v>42535</v>
      </c>
    </row>
    <row r="53" spans="1:4" x14ac:dyDescent="0.35">
      <c r="A53" s="2">
        <v>35156</v>
      </c>
      <c r="B53">
        <v>109026</v>
      </c>
      <c r="C53">
        <v>66759</v>
      </c>
      <c r="D53">
        <v>42267</v>
      </c>
    </row>
    <row r="54" spans="1:4" x14ac:dyDescent="0.35">
      <c r="A54" s="2">
        <v>35186</v>
      </c>
      <c r="B54">
        <v>106534</v>
      </c>
      <c r="C54">
        <v>63977</v>
      </c>
      <c r="D54">
        <v>42557</v>
      </c>
    </row>
    <row r="55" spans="1:4" x14ac:dyDescent="0.35">
      <c r="A55" s="2">
        <v>35217</v>
      </c>
      <c r="B55">
        <v>109111</v>
      </c>
      <c r="C55">
        <v>64215</v>
      </c>
      <c r="D55">
        <v>44896</v>
      </c>
    </row>
    <row r="56" spans="1:4" x14ac:dyDescent="0.35">
      <c r="A56" s="2">
        <v>35247</v>
      </c>
      <c r="B56">
        <v>112759</v>
      </c>
      <c r="C56">
        <v>64596</v>
      </c>
      <c r="D56">
        <v>48163</v>
      </c>
    </row>
    <row r="57" spans="1:4" x14ac:dyDescent="0.35">
      <c r="A57" s="2">
        <v>35278</v>
      </c>
      <c r="B57">
        <v>114693</v>
      </c>
      <c r="C57">
        <v>65799</v>
      </c>
      <c r="D57">
        <v>48894</v>
      </c>
    </row>
    <row r="58" spans="1:4" x14ac:dyDescent="0.35">
      <c r="A58" s="2">
        <v>35309</v>
      </c>
      <c r="B58">
        <v>116845</v>
      </c>
      <c r="C58">
        <v>65844</v>
      </c>
      <c r="D58">
        <v>51001</v>
      </c>
    </row>
    <row r="59" spans="1:4" x14ac:dyDescent="0.35">
      <c r="A59" s="2">
        <v>35339</v>
      </c>
      <c r="B59">
        <v>120034</v>
      </c>
      <c r="C59">
        <v>68434</v>
      </c>
      <c r="D59">
        <v>51600</v>
      </c>
    </row>
    <row r="60" spans="1:4" x14ac:dyDescent="0.35">
      <c r="A60" s="2">
        <v>35370</v>
      </c>
      <c r="B60">
        <v>121901</v>
      </c>
      <c r="C60">
        <v>69064</v>
      </c>
      <c r="D60">
        <v>52837</v>
      </c>
    </row>
    <row r="61" spans="1:4" x14ac:dyDescent="0.35">
      <c r="A61" s="2">
        <v>35400</v>
      </c>
      <c r="B61">
        <v>125135</v>
      </c>
      <c r="C61">
        <v>71204</v>
      </c>
      <c r="D61">
        <v>53931</v>
      </c>
    </row>
    <row r="62" spans="1:4" x14ac:dyDescent="0.35">
      <c r="A62" s="2">
        <v>35431</v>
      </c>
      <c r="B62">
        <v>127096</v>
      </c>
      <c r="C62">
        <v>71174</v>
      </c>
      <c r="D62">
        <v>55922</v>
      </c>
    </row>
    <row r="63" spans="1:4" x14ac:dyDescent="0.35">
      <c r="A63" s="2">
        <v>35462</v>
      </c>
      <c r="B63">
        <v>129183</v>
      </c>
      <c r="C63">
        <v>71697</v>
      </c>
      <c r="D63">
        <v>57486</v>
      </c>
    </row>
    <row r="64" spans="1:4" x14ac:dyDescent="0.35">
      <c r="A64" s="2">
        <v>35490</v>
      </c>
      <c r="B64">
        <v>132468</v>
      </c>
      <c r="C64">
        <v>74932</v>
      </c>
      <c r="D64">
        <v>57536</v>
      </c>
    </row>
    <row r="65" spans="1:4" x14ac:dyDescent="0.35">
      <c r="A65" s="2">
        <v>35521</v>
      </c>
      <c r="B65">
        <v>138941</v>
      </c>
      <c r="C65">
        <v>75886</v>
      </c>
      <c r="D65">
        <v>63055</v>
      </c>
    </row>
    <row r="66" spans="1:4" x14ac:dyDescent="0.35">
      <c r="A66" s="2">
        <v>35551</v>
      </c>
      <c r="B66">
        <v>142912</v>
      </c>
      <c r="C66">
        <v>78706</v>
      </c>
      <c r="D66">
        <v>64206</v>
      </c>
    </row>
    <row r="67" spans="1:4" x14ac:dyDescent="0.35">
      <c r="A67" s="4">
        <v>35582</v>
      </c>
      <c r="B67" s="5">
        <v>145475</v>
      </c>
      <c r="C67" s="5">
        <v>79504</v>
      </c>
      <c r="D67" s="5">
        <v>65971</v>
      </c>
    </row>
    <row r="68" spans="1:4" x14ac:dyDescent="0.35">
      <c r="A68" s="2">
        <v>35612</v>
      </c>
      <c r="B68">
        <v>154278</v>
      </c>
      <c r="C68">
        <v>81429</v>
      </c>
      <c r="D68">
        <v>72849</v>
      </c>
    </row>
    <row r="69" spans="1:4" x14ac:dyDescent="0.35">
      <c r="A69" s="2">
        <v>35643</v>
      </c>
      <c r="B69">
        <v>155250</v>
      </c>
      <c r="C69">
        <v>82357</v>
      </c>
      <c r="D69">
        <v>72893</v>
      </c>
    </row>
    <row r="70" spans="1:4" x14ac:dyDescent="0.35">
      <c r="A70" s="2">
        <v>35674</v>
      </c>
      <c r="B70">
        <v>159867</v>
      </c>
      <c r="C70">
        <v>85244</v>
      </c>
      <c r="D70">
        <v>74623</v>
      </c>
    </row>
    <row r="71" spans="1:4" x14ac:dyDescent="0.35">
      <c r="A71" s="2">
        <v>35704</v>
      </c>
      <c r="B71">
        <v>164066</v>
      </c>
      <c r="C71">
        <v>85945</v>
      </c>
      <c r="D71">
        <v>78121</v>
      </c>
    </row>
    <row r="72" spans="1:4" x14ac:dyDescent="0.35">
      <c r="A72" s="2">
        <v>35735</v>
      </c>
      <c r="B72">
        <v>169723</v>
      </c>
      <c r="C72">
        <v>88973</v>
      </c>
      <c r="D72">
        <v>80750</v>
      </c>
    </row>
    <row r="73" spans="1:4" x14ac:dyDescent="0.35">
      <c r="A73" s="2">
        <v>35765</v>
      </c>
      <c r="B73">
        <v>184808</v>
      </c>
      <c r="C73">
        <v>93675</v>
      </c>
      <c r="D73">
        <v>91133</v>
      </c>
    </row>
    <row r="74" spans="1:4" x14ac:dyDescent="0.35">
      <c r="A74" s="2">
        <v>35796</v>
      </c>
      <c r="B74">
        <v>191355</v>
      </c>
      <c r="C74">
        <v>94984</v>
      </c>
      <c r="D74">
        <v>96371</v>
      </c>
    </row>
    <row r="75" spans="1:4" x14ac:dyDescent="0.35">
      <c r="A75" s="2">
        <v>35827</v>
      </c>
      <c r="B75">
        <v>194980</v>
      </c>
      <c r="C75">
        <v>95168</v>
      </c>
      <c r="D75">
        <v>99812</v>
      </c>
    </row>
    <row r="76" spans="1:4" x14ac:dyDescent="0.35">
      <c r="A76" s="2">
        <v>35855</v>
      </c>
      <c r="B76">
        <v>200919</v>
      </c>
      <c r="C76">
        <v>97979</v>
      </c>
      <c r="D76">
        <v>102940</v>
      </c>
    </row>
    <row r="77" spans="1:4" x14ac:dyDescent="0.35">
      <c r="A77" s="2">
        <v>35886</v>
      </c>
      <c r="B77">
        <v>199350</v>
      </c>
      <c r="C77">
        <v>100936</v>
      </c>
      <c r="D77">
        <v>98414</v>
      </c>
    </row>
    <row r="78" spans="1:4" x14ac:dyDescent="0.35">
      <c r="A78" s="2">
        <v>35916</v>
      </c>
      <c r="B78">
        <v>203804</v>
      </c>
      <c r="C78">
        <v>103300</v>
      </c>
      <c r="D78">
        <v>100504</v>
      </c>
    </row>
    <row r="79" spans="1:4" x14ac:dyDescent="0.35">
      <c r="A79" s="2">
        <v>35947</v>
      </c>
      <c r="B79">
        <v>210989</v>
      </c>
      <c r="C79">
        <v>102251</v>
      </c>
      <c r="D79">
        <v>108738</v>
      </c>
    </row>
    <row r="80" spans="1:4" x14ac:dyDescent="0.35">
      <c r="A80" s="2">
        <v>35977</v>
      </c>
      <c r="B80">
        <v>214871</v>
      </c>
      <c r="C80">
        <v>104610</v>
      </c>
      <c r="D80">
        <v>110261</v>
      </c>
    </row>
    <row r="81" spans="1:4" x14ac:dyDescent="0.35">
      <c r="A81" s="2">
        <v>36008</v>
      </c>
      <c r="B81">
        <v>223622</v>
      </c>
      <c r="C81">
        <v>107011</v>
      </c>
      <c r="D81">
        <v>116611</v>
      </c>
    </row>
    <row r="82" spans="1:4" x14ac:dyDescent="0.35">
      <c r="A82" s="2">
        <v>36039</v>
      </c>
      <c r="B82">
        <v>226797</v>
      </c>
      <c r="C82">
        <v>106490</v>
      </c>
      <c r="D82">
        <v>120307</v>
      </c>
    </row>
    <row r="83" spans="1:4" x14ac:dyDescent="0.35">
      <c r="A83" s="2">
        <v>36069</v>
      </c>
      <c r="B83">
        <v>232127</v>
      </c>
      <c r="C83">
        <v>111907</v>
      </c>
      <c r="D83">
        <v>120220</v>
      </c>
    </row>
    <row r="84" spans="1:4" x14ac:dyDescent="0.35">
      <c r="A84" s="2">
        <v>36100</v>
      </c>
      <c r="B84">
        <v>237718</v>
      </c>
      <c r="C84">
        <v>110487</v>
      </c>
      <c r="D84">
        <v>127231</v>
      </c>
    </row>
    <row r="85" spans="1:4" x14ac:dyDescent="0.35">
      <c r="A85" s="4">
        <v>36130</v>
      </c>
      <c r="B85" s="5">
        <v>234634</v>
      </c>
      <c r="C85" s="5">
        <v>111835</v>
      </c>
      <c r="D85" s="5">
        <v>122799</v>
      </c>
    </row>
    <row r="86" spans="1:4" x14ac:dyDescent="0.35">
      <c r="A86" s="2">
        <v>36161</v>
      </c>
      <c r="B86">
        <v>241954</v>
      </c>
      <c r="C86">
        <v>113965</v>
      </c>
      <c r="D86">
        <v>127989</v>
      </c>
    </row>
    <row r="87" spans="1:4" x14ac:dyDescent="0.35">
      <c r="A87" s="2">
        <v>36192</v>
      </c>
      <c r="B87">
        <v>244285</v>
      </c>
      <c r="C87">
        <v>115018</v>
      </c>
      <c r="D87">
        <v>129267</v>
      </c>
    </row>
    <row r="88" spans="1:4" x14ac:dyDescent="0.35">
      <c r="A88" s="2">
        <v>36220</v>
      </c>
      <c r="B88">
        <v>252809</v>
      </c>
      <c r="C88">
        <v>120116</v>
      </c>
      <c r="D88">
        <v>132693</v>
      </c>
    </row>
    <row r="89" spans="1:4" x14ac:dyDescent="0.35">
      <c r="A89" s="2">
        <v>36251</v>
      </c>
      <c r="B89">
        <v>259993</v>
      </c>
      <c r="C89">
        <v>123040</v>
      </c>
      <c r="D89">
        <v>136953</v>
      </c>
    </row>
    <row r="90" spans="1:4" x14ac:dyDescent="0.35">
      <c r="A90" s="2">
        <v>36281</v>
      </c>
      <c r="B90">
        <v>267005</v>
      </c>
      <c r="C90">
        <v>124136</v>
      </c>
      <c r="D90">
        <v>142869</v>
      </c>
    </row>
    <row r="91" spans="1:4" x14ac:dyDescent="0.35">
      <c r="A91" s="2">
        <v>36312</v>
      </c>
      <c r="B91">
        <v>268482</v>
      </c>
      <c r="C91">
        <v>125732</v>
      </c>
      <c r="D91">
        <v>142750</v>
      </c>
    </row>
    <row r="92" spans="1:4" x14ac:dyDescent="0.35">
      <c r="A92" s="2">
        <v>36342</v>
      </c>
      <c r="B92">
        <v>270631</v>
      </c>
      <c r="C92">
        <v>128402</v>
      </c>
      <c r="D92">
        <v>142229</v>
      </c>
    </row>
    <row r="93" spans="1:4" x14ac:dyDescent="0.35">
      <c r="A93" s="2">
        <v>36373</v>
      </c>
      <c r="B93">
        <v>281069</v>
      </c>
      <c r="C93">
        <v>129928</v>
      </c>
      <c r="D93">
        <v>151141</v>
      </c>
    </row>
    <row r="94" spans="1:4" x14ac:dyDescent="0.35">
      <c r="A94" s="2">
        <v>36404</v>
      </c>
      <c r="B94">
        <v>286124</v>
      </c>
      <c r="C94">
        <v>129418</v>
      </c>
      <c r="D94">
        <v>156706</v>
      </c>
    </row>
    <row r="95" spans="1:4" x14ac:dyDescent="0.35">
      <c r="A95" s="2">
        <v>36434</v>
      </c>
      <c r="B95">
        <v>294140</v>
      </c>
      <c r="C95">
        <v>134821</v>
      </c>
      <c r="D95">
        <v>159319</v>
      </c>
    </row>
    <row r="96" spans="1:4" x14ac:dyDescent="0.35">
      <c r="A96" s="2">
        <v>36465</v>
      </c>
      <c r="B96">
        <v>301459</v>
      </c>
      <c r="C96">
        <v>136127</v>
      </c>
      <c r="D96">
        <v>165332</v>
      </c>
    </row>
    <row r="97" spans="1:4" x14ac:dyDescent="0.35">
      <c r="A97" s="2">
        <v>36495</v>
      </c>
      <c r="B97">
        <v>302752</v>
      </c>
      <c r="C97">
        <v>136493</v>
      </c>
      <c r="D97">
        <v>166259</v>
      </c>
    </row>
    <row r="98" spans="1:4" x14ac:dyDescent="0.35">
      <c r="A98" s="2">
        <v>36526</v>
      </c>
      <c r="B98">
        <v>311090</v>
      </c>
      <c r="C98">
        <v>140022</v>
      </c>
      <c r="D98">
        <v>171068</v>
      </c>
    </row>
    <row r="99" spans="1:4" x14ac:dyDescent="0.35">
      <c r="A99" s="2">
        <v>36557</v>
      </c>
      <c r="B99">
        <v>316210</v>
      </c>
      <c r="C99">
        <v>144390</v>
      </c>
      <c r="D99">
        <v>171820</v>
      </c>
    </row>
    <row r="100" spans="1:4" x14ac:dyDescent="0.35">
      <c r="A100" s="2">
        <v>36586</v>
      </c>
      <c r="B100">
        <v>326508</v>
      </c>
      <c r="C100">
        <v>149214</v>
      </c>
      <c r="D100">
        <v>177294</v>
      </c>
    </row>
    <row r="101" spans="1:4" x14ac:dyDescent="0.35">
      <c r="A101" s="2">
        <v>36617</v>
      </c>
      <c r="B101">
        <v>334086</v>
      </c>
      <c r="C101">
        <v>150992</v>
      </c>
      <c r="D101">
        <v>183094</v>
      </c>
    </row>
    <row r="102" spans="1:4" x14ac:dyDescent="0.35">
      <c r="A102" s="2">
        <v>36647</v>
      </c>
      <c r="B102">
        <v>332478</v>
      </c>
      <c r="C102">
        <v>149907</v>
      </c>
      <c r="D102">
        <v>182571</v>
      </c>
    </row>
    <row r="103" spans="1:4" x14ac:dyDescent="0.35">
      <c r="A103" s="2">
        <v>36678</v>
      </c>
      <c r="B103">
        <v>332903</v>
      </c>
      <c r="C103">
        <v>149435</v>
      </c>
      <c r="D103">
        <v>183468</v>
      </c>
    </row>
    <row r="104" spans="1:4" x14ac:dyDescent="0.35">
      <c r="A104" s="2">
        <v>36708</v>
      </c>
      <c r="B104">
        <v>334953</v>
      </c>
      <c r="C104">
        <v>151672</v>
      </c>
      <c r="D104">
        <v>183281</v>
      </c>
    </row>
    <row r="105" spans="1:4" x14ac:dyDescent="0.35">
      <c r="A105" s="2">
        <v>36739</v>
      </c>
      <c r="B105">
        <v>348883</v>
      </c>
      <c r="C105">
        <v>157443</v>
      </c>
      <c r="D105">
        <v>191440</v>
      </c>
    </row>
    <row r="106" spans="1:4" x14ac:dyDescent="0.35">
      <c r="A106" s="2">
        <v>36770</v>
      </c>
      <c r="B106">
        <v>353089</v>
      </c>
      <c r="C106">
        <v>157354</v>
      </c>
      <c r="D106">
        <v>195735</v>
      </c>
    </row>
    <row r="107" spans="1:4" x14ac:dyDescent="0.35">
      <c r="A107" s="2">
        <v>36800</v>
      </c>
      <c r="B107">
        <v>361603</v>
      </c>
      <c r="C107">
        <v>159206</v>
      </c>
      <c r="D107">
        <v>202397</v>
      </c>
    </row>
    <row r="108" spans="1:4" x14ac:dyDescent="0.35">
      <c r="A108" s="2">
        <v>36831</v>
      </c>
      <c r="B108">
        <v>364366</v>
      </c>
      <c r="C108">
        <v>159437</v>
      </c>
      <c r="D108">
        <v>204929</v>
      </c>
    </row>
    <row r="109" spans="1:4" x14ac:dyDescent="0.35">
      <c r="A109" s="2">
        <v>36861</v>
      </c>
      <c r="B109">
        <v>355340</v>
      </c>
      <c r="C109">
        <v>155141</v>
      </c>
      <c r="D109">
        <v>200199</v>
      </c>
    </row>
    <row r="110" spans="1:4" x14ac:dyDescent="0.35">
      <c r="A110" s="2">
        <v>36892</v>
      </c>
      <c r="B110">
        <v>368768</v>
      </c>
      <c r="C110">
        <v>160514</v>
      </c>
      <c r="D110">
        <v>208254</v>
      </c>
    </row>
    <row r="111" spans="1:4" x14ac:dyDescent="0.35">
      <c r="A111" s="2">
        <v>36923</v>
      </c>
      <c r="B111">
        <v>373526</v>
      </c>
      <c r="C111">
        <v>162335</v>
      </c>
      <c r="D111">
        <v>211191</v>
      </c>
    </row>
    <row r="112" spans="1:4" x14ac:dyDescent="0.35">
      <c r="A112" s="2">
        <v>36951</v>
      </c>
      <c r="B112">
        <v>388542</v>
      </c>
      <c r="C112">
        <v>166945</v>
      </c>
      <c r="D112">
        <v>221597</v>
      </c>
    </row>
    <row r="113" spans="1:4" x14ac:dyDescent="0.35">
      <c r="A113" s="2">
        <v>36982</v>
      </c>
      <c r="B113">
        <v>389419</v>
      </c>
      <c r="C113">
        <v>169575</v>
      </c>
      <c r="D113">
        <v>219844</v>
      </c>
    </row>
    <row r="114" spans="1:4" x14ac:dyDescent="0.35">
      <c r="A114" s="2">
        <v>37012</v>
      </c>
      <c r="B114">
        <v>397460</v>
      </c>
      <c r="C114">
        <v>170122</v>
      </c>
      <c r="D114">
        <v>227338</v>
      </c>
    </row>
    <row r="115" spans="1:4" x14ac:dyDescent="0.35">
      <c r="A115" s="2">
        <v>37043</v>
      </c>
      <c r="B115">
        <v>399144</v>
      </c>
      <c r="C115">
        <v>172966</v>
      </c>
      <c r="D115">
        <v>226178</v>
      </c>
    </row>
    <row r="116" spans="1:4" x14ac:dyDescent="0.35">
      <c r="A116" s="2">
        <v>37073</v>
      </c>
      <c r="B116">
        <v>398287</v>
      </c>
      <c r="C116">
        <v>171459</v>
      </c>
      <c r="D116">
        <v>226828</v>
      </c>
    </row>
    <row r="117" spans="1:4" x14ac:dyDescent="0.35">
      <c r="A117" s="2">
        <v>37104</v>
      </c>
      <c r="B117">
        <v>392725</v>
      </c>
      <c r="C117">
        <v>171231</v>
      </c>
      <c r="D117">
        <v>221494</v>
      </c>
    </row>
    <row r="118" spans="1:4" x14ac:dyDescent="0.35">
      <c r="A118" s="2">
        <v>37135</v>
      </c>
      <c r="B118">
        <v>403760</v>
      </c>
      <c r="C118">
        <v>173687</v>
      </c>
      <c r="D118">
        <v>230073</v>
      </c>
    </row>
    <row r="119" spans="1:4" x14ac:dyDescent="0.35">
      <c r="A119" s="2">
        <v>37165</v>
      </c>
      <c r="B119">
        <v>409303</v>
      </c>
      <c r="C119">
        <v>170088</v>
      </c>
      <c r="D119">
        <v>239215</v>
      </c>
    </row>
    <row r="120" spans="1:4" x14ac:dyDescent="0.35">
      <c r="A120" s="2">
        <v>37196</v>
      </c>
      <c r="B120">
        <v>417339</v>
      </c>
      <c r="C120">
        <v>175933</v>
      </c>
      <c r="D120">
        <v>241406</v>
      </c>
    </row>
    <row r="121" spans="1:4" x14ac:dyDescent="0.35">
      <c r="A121" s="2">
        <v>37226</v>
      </c>
      <c r="B121">
        <v>422107</v>
      </c>
      <c r="C121">
        <v>178124</v>
      </c>
      <c r="D121">
        <v>243983</v>
      </c>
    </row>
    <row r="122" spans="1:4" x14ac:dyDescent="0.35">
      <c r="A122" s="2">
        <v>37257</v>
      </c>
      <c r="B122">
        <v>427782</v>
      </c>
      <c r="C122">
        <v>178499</v>
      </c>
      <c r="D122">
        <v>249283</v>
      </c>
    </row>
    <row r="123" spans="1:4" x14ac:dyDescent="0.35">
      <c r="A123" s="2">
        <v>37288</v>
      </c>
      <c r="B123">
        <v>436186</v>
      </c>
      <c r="C123">
        <v>183538</v>
      </c>
      <c r="D123">
        <v>252648</v>
      </c>
    </row>
    <row r="124" spans="1:4" x14ac:dyDescent="0.35">
      <c r="A124" s="2">
        <v>37316</v>
      </c>
      <c r="B124">
        <v>432549</v>
      </c>
      <c r="C124">
        <v>179054</v>
      </c>
      <c r="D124">
        <v>253495</v>
      </c>
    </row>
    <row r="125" spans="1:4" x14ac:dyDescent="0.35">
      <c r="A125" s="2">
        <v>37347</v>
      </c>
      <c r="B125">
        <v>435968</v>
      </c>
      <c r="C125">
        <v>180836</v>
      </c>
      <c r="D125">
        <v>255132</v>
      </c>
    </row>
    <row r="126" spans="1:4" x14ac:dyDescent="0.35">
      <c r="A126" s="2">
        <v>37377</v>
      </c>
      <c r="B126">
        <v>432304</v>
      </c>
      <c r="C126">
        <v>178236</v>
      </c>
      <c r="D126">
        <v>254068</v>
      </c>
    </row>
    <row r="127" spans="1:4" x14ac:dyDescent="0.35">
      <c r="A127" s="2">
        <v>37408</v>
      </c>
      <c r="B127">
        <v>428648</v>
      </c>
      <c r="C127">
        <v>177668</v>
      </c>
      <c r="D127">
        <v>250980</v>
      </c>
    </row>
    <row r="128" spans="1:4" x14ac:dyDescent="0.35">
      <c r="A128" s="2">
        <v>37438</v>
      </c>
      <c r="B128">
        <v>444625</v>
      </c>
      <c r="C128">
        <v>183724</v>
      </c>
      <c r="D128">
        <v>260901</v>
      </c>
    </row>
    <row r="129" spans="1:4" x14ac:dyDescent="0.35">
      <c r="A129" s="2">
        <v>37469</v>
      </c>
      <c r="B129">
        <v>454282</v>
      </c>
      <c r="C129">
        <v>186268</v>
      </c>
      <c r="D129">
        <v>268014</v>
      </c>
    </row>
    <row r="130" spans="1:4" x14ac:dyDescent="0.35">
      <c r="A130" s="2">
        <v>37500</v>
      </c>
      <c r="B130">
        <v>463917</v>
      </c>
      <c r="C130">
        <v>189584</v>
      </c>
      <c r="D130">
        <v>274333</v>
      </c>
    </row>
    <row r="131" spans="1:4" x14ac:dyDescent="0.35">
      <c r="A131" s="2">
        <v>37530</v>
      </c>
      <c r="B131">
        <v>469107</v>
      </c>
      <c r="C131">
        <v>188748</v>
      </c>
      <c r="D131">
        <v>280359</v>
      </c>
    </row>
    <row r="132" spans="1:4" x14ac:dyDescent="0.35">
      <c r="A132" s="2">
        <v>37561</v>
      </c>
      <c r="B132">
        <v>469860</v>
      </c>
      <c r="C132">
        <v>195041</v>
      </c>
      <c r="D132">
        <v>274819</v>
      </c>
    </row>
    <row r="133" spans="1:4" x14ac:dyDescent="0.35">
      <c r="A133" s="2">
        <v>37591</v>
      </c>
      <c r="B133">
        <v>474629</v>
      </c>
      <c r="C133">
        <v>197097</v>
      </c>
      <c r="D133">
        <v>277532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21"/>
  <sheetViews>
    <sheetView topLeftCell="A205" workbookViewId="0">
      <selection activeCell="F221" sqref="F221"/>
    </sheetView>
  </sheetViews>
  <sheetFormatPr defaultRowHeight="14.5" x14ac:dyDescent="0.35"/>
  <cols>
    <col min="1" max="1" width="10.453125" bestFit="1" customWidth="1"/>
  </cols>
  <sheetData>
    <row r="1" spans="1:3" x14ac:dyDescent="0.35">
      <c r="A1" t="s">
        <v>0</v>
      </c>
      <c r="B1" t="s">
        <v>9</v>
      </c>
      <c r="C1" t="s">
        <v>8</v>
      </c>
    </row>
    <row r="2" spans="1:3" x14ac:dyDescent="0.35">
      <c r="A2" s="1">
        <f>STATS_data!A2</f>
        <v>33604</v>
      </c>
      <c r="C2">
        <f>STATS_data!C2</f>
        <v>44894</v>
      </c>
    </row>
    <row r="3" spans="1:3" x14ac:dyDescent="0.35">
      <c r="A3" s="1">
        <f>STATS_data!A3</f>
        <v>33635</v>
      </c>
      <c r="C3">
        <f>STATS_data!C3</f>
        <v>45623</v>
      </c>
    </row>
    <row r="4" spans="1:3" x14ac:dyDescent="0.35">
      <c r="A4" s="1">
        <f>STATS_data!A4</f>
        <v>33664</v>
      </c>
      <c r="C4">
        <f>STATS_data!C4</f>
        <v>46120</v>
      </c>
    </row>
    <row r="5" spans="1:3" x14ac:dyDescent="0.35">
      <c r="A5" s="1">
        <f>STATS_data!A5</f>
        <v>33695</v>
      </c>
      <c r="C5">
        <f>STATS_data!C5</f>
        <v>46405</v>
      </c>
    </row>
    <row r="6" spans="1:3" x14ac:dyDescent="0.35">
      <c r="A6" s="1">
        <f>STATS_data!A6</f>
        <v>33725</v>
      </c>
      <c r="C6">
        <f>STATS_data!C6</f>
        <v>46630</v>
      </c>
    </row>
    <row r="7" spans="1:3" x14ac:dyDescent="0.35">
      <c r="A7" s="1">
        <f>STATS_data!A7</f>
        <v>33756</v>
      </c>
      <c r="C7">
        <f>STATS_data!C7</f>
        <v>46345</v>
      </c>
    </row>
    <row r="8" spans="1:3" x14ac:dyDescent="0.35">
      <c r="A8" s="1">
        <f>STATS_data!A8</f>
        <v>33786</v>
      </c>
      <c r="C8">
        <f>STATS_data!C8</f>
        <v>46842</v>
      </c>
    </row>
    <row r="9" spans="1:3" x14ac:dyDescent="0.35">
      <c r="A9" s="1">
        <f>STATS_data!A9</f>
        <v>33817</v>
      </c>
      <c r="C9">
        <f>STATS_data!C9</f>
        <v>47382</v>
      </c>
    </row>
    <row r="10" spans="1:3" x14ac:dyDescent="0.35">
      <c r="A10" s="1">
        <f>STATS_data!A10</f>
        <v>33848</v>
      </c>
      <c r="C10">
        <f>STATS_data!C10</f>
        <v>48552</v>
      </c>
    </row>
    <row r="11" spans="1:3" x14ac:dyDescent="0.35">
      <c r="A11" s="1">
        <f>STATS_data!A11</f>
        <v>33878</v>
      </c>
      <c r="C11">
        <f>STATS_data!C11</f>
        <v>50061</v>
      </c>
    </row>
    <row r="12" spans="1:3" x14ac:dyDescent="0.35">
      <c r="A12" s="1">
        <f>STATS_data!A12</f>
        <v>33909</v>
      </c>
      <c r="C12">
        <f>STATS_data!C12</f>
        <v>50040</v>
      </c>
    </row>
    <row r="13" spans="1:3" x14ac:dyDescent="0.35">
      <c r="A13" s="1">
        <f>STATS_data!A13</f>
        <v>33939</v>
      </c>
      <c r="C13">
        <f>STATS_data!C13</f>
        <v>49977</v>
      </c>
    </row>
    <row r="14" spans="1:3" x14ac:dyDescent="0.35">
      <c r="A14" s="1">
        <f>STATS_data!A14</f>
        <v>33970</v>
      </c>
      <c r="C14">
        <f>STATS_data!C14</f>
        <v>49592</v>
      </c>
    </row>
    <row r="15" spans="1:3" x14ac:dyDescent="0.35">
      <c r="A15" s="1">
        <f>STATS_data!A15</f>
        <v>34001</v>
      </c>
      <c r="C15">
        <f>STATS_data!C15</f>
        <v>50206</v>
      </c>
    </row>
    <row r="16" spans="1:3" x14ac:dyDescent="0.35">
      <c r="A16" s="1">
        <f>STATS_data!A16</f>
        <v>34029</v>
      </c>
      <c r="C16">
        <f>STATS_data!C16</f>
        <v>49935</v>
      </c>
    </row>
    <row r="17" spans="1:3" x14ac:dyDescent="0.35">
      <c r="A17" s="1">
        <f>STATS_data!A17</f>
        <v>34060</v>
      </c>
      <c r="C17">
        <f>STATS_data!C17</f>
        <v>51407</v>
      </c>
    </row>
    <row r="18" spans="1:3" x14ac:dyDescent="0.35">
      <c r="A18" s="1">
        <f>STATS_data!A18</f>
        <v>34090</v>
      </c>
      <c r="C18">
        <f>STATS_data!C18</f>
        <v>51368</v>
      </c>
    </row>
    <row r="19" spans="1:3" x14ac:dyDescent="0.35">
      <c r="A19" s="1">
        <f>STATS_data!A19</f>
        <v>34121</v>
      </c>
      <c r="C19">
        <f>STATS_data!C19</f>
        <v>52042</v>
      </c>
    </row>
    <row r="20" spans="1:3" x14ac:dyDescent="0.35">
      <c r="A20" s="1">
        <f>STATS_data!A20</f>
        <v>34151</v>
      </c>
      <c r="C20">
        <f>STATS_data!C20</f>
        <v>53734</v>
      </c>
    </row>
    <row r="21" spans="1:3" x14ac:dyDescent="0.35">
      <c r="A21" s="1">
        <f>STATS_data!A21</f>
        <v>34182</v>
      </c>
      <c r="C21">
        <f>STATS_data!C21</f>
        <v>53226</v>
      </c>
    </row>
    <row r="22" spans="1:3" x14ac:dyDescent="0.35">
      <c r="A22" s="1">
        <f>STATS_data!A22</f>
        <v>34213</v>
      </c>
      <c r="C22">
        <f>STATS_data!C22</f>
        <v>52910</v>
      </c>
    </row>
    <row r="23" spans="1:3" x14ac:dyDescent="0.35">
      <c r="A23" s="1">
        <f>STATS_data!A23</f>
        <v>34243</v>
      </c>
      <c r="C23">
        <f>STATS_data!C23</f>
        <v>53071</v>
      </c>
    </row>
    <row r="24" spans="1:3" x14ac:dyDescent="0.35">
      <c r="A24" s="1">
        <f>STATS_data!A24</f>
        <v>34274</v>
      </c>
      <c r="C24">
        <f>STATS_data!C24</f>
        <v>51864</v>
      </c>
    </row>
    <row r="25" spans="1:3" x14ac:dyDescent="0.35">
      <c r="A25" s="1">
        <f>STATS_data!A25</f>
        <v>34304</v>
      </c>
      <c r="C25">
        <f>STATS_data!C25</f>
        <v>52781</v>
      </c>
    </row>
    <row r="26" spans="1:3" x14ac:dyDescent="0.35">
      <c r="A26" s="1">
        <f>STATS_data!A26</f>
        <v>34335</v>
      </c>
      <c r="C26">
        <f>STATS_data!C26</f>
        <v>52945</v>
      </c>
    </row>
    <row r="27" spans="1:3" x14ac:dyDescent="0.35">
      <c r="A27" s="1">
        <f>STATS_data!A27</f>
        <v>34366</v>
      </c>
      <c r="C27">
        <f>STATS_data!C27</f>
        <v>53798</v>
      </c>
    </row>
    <row r="28" spans="1:3" x14ac:dyDescent="0.35">
      <c r="A28" s="1">
        <f>STATS_data!A28</f>
        <v>34394</v>
      </c>
      <c r="C28">
        <f>STATS_data!C28</f>
        <v>49499</v>
      </c>
    </row>
    <row r="29" spans="1:3" x14ac:dyDescent="0.35">
      <c r="A29" s="1">
        <f>STATS_data!A29</f>
        <v>34425</v>
      </c>
      <c r="C29">
        <f>STATS_data!C29</f>
        <v>51827</v>
      </c>
    </row>
    <row r="30" spans="1:3" x14ac:dyDescent="0.35">
      <c r="A30" s="1">
        <f>STATS_data!A30</f>
        <v>34455</v>
      </c>
      <c r="C30">
        <f>STATS_data!C30</f>
        <v>56213</v>
      </c>
    </row>
    <row r="31" spans="1:3" x14ac:dyDescent="0.35">
      <c r="A31" s="1">
        <f>STATS_data!A31</f>
        <v>34486</v>
      </c>
      <c r="C31">
        <f>STATS_data!C31</f>
        <v>50798</v>
      </c>
    </row>
    <row r="32" spans="1:3" x14ac:dyDescent="0.35">
      <c r="A32" s="1">
        <f>STATS_data!A32</f>
        <v>34516</v>
      </c>
      <c r="C32">
        <f>STATS_data!C32</f>
        <v>50618</v>
      </c>
    </row>
    <row r="33" spans="1:3" x14ac:dyDescent="0.35">
      <c r="A33" s="1">
        <f>STATS_data!A33</f>
        <v>34547</v>
      </c>
      <c r="C33">
        <f>STATS_data!C33</f>
        <v>51175</v>
      </c>
    </row>
    <row r="34" spans="1:3" x14ac:dyDescent="0.35">
      <c r="A34" s="1">
        <f>STATS_data!A34</f>
        <v>34578</v>
      </c>
      <c r="C34">
        <f>STATS_data!C34</f>
        <v>52851</v>
      </c>
    </row>
    <row r="35" spans="1:3" x14ac:dyDescent="0.35">
      <c r="A35" s="1">
        <f>STATS_data!A35</f>
        <v>34608</v>
      </c>
      <c r="C35">
        <f>STATS_data!C35</f>
        <v>52853</v>
      </c>
    </row>
    <row r="36" spans="1:3" x14ac:dyDescent="0.35">
      <c r="A36" s="1">
        <f>STATS_data!A36</f>
        <v>34639</v>
      </c>
      <c r="C36">
        <f>STATS_data!C36</f>
        <v>53214</v>
      </c>
    </row>
    <row r="37" spans="1:3" x14ac:dyDescent="0.35">
      <c r="A37" s="1">
        <f>STATS_data!A37</f>
        <v>34669</v>
      </c>
      <c r="C37">
        <f>STATS_data!C37</f>
        <v>54306</v>
      </c>
    </row>
    <row r="38" spans="1:3" x14ac:dyDescent="0.35">
      <c r="A38" s="1">
        <f>STATS_data!A38</f>
        <v>34700</v>
      </c>
      <c r="C38">
        <f>STATS_data!C38</f>
        <v>55239</v>
      </c>
    </row>
    <row r="39" spans="1:3" x14ac:dyDescent="0.35">
      <c r="A39" s="1">
        <f>STATS_data!A39</f>
        <v>34731</v>
      </c>
      <c r="C39">
        <f>STATS_data!C39</f>
        <v>54169</v>
      </c>
    </row>
    <row r="40" spans="1:3" x14ac:dyDescent="0.35">
      <c r="A40" s="1">
        <f>STATS_data!A40</f>
        <v>34759</v>
      </c>
      <c r="C40">
        <f>STATS_data!C40</f>
        <v>54923</v>
      </c>
    </row>
    <row r="41" spans="1:3" x14ac:dyDescent="0.35">
      <c r="A41" s="1">
        <f>STATS_data!A41</f>
        <v>34790</v>
      </c>
      <c r="C41">
        <f>STATS_data!C41</f>
        <v>55732</v>
      </c>
    </row>
    <row r="42" spans="1:3" x14ac:dyDescent="0.35">
      <c r="A42" s="1">
        <f>STATS_data!A42</f>
        <v>34820</v>
      </c>
      <c r="C42">
        <f>STATS_data!C42</f>
        <v>56064</v>
      </c>
    </row>
    <row r="43" spans="1:3" x14ac:dyDescent="0.35">
      <c r="A43" s="1">
        <f>STATS_data!A43</f>
        <v>34851</v>
      </c>
      <c r="C43">
        <f>STATS_data!C43</f>
        <v>56500</v>
      </c>
    </row>
    <row r="44" spans="1:3" x14ac:dyDescent="0.35">
      <c r="A44" s="1">
        <f>STATS_data!A44</f>
        <v>34881</v>
      </c>
      <c r="C44">
        <f>STATS_data!C44</f>
        <v>55838</v>
      </c>
    </row>
    <row r="45" spans="1:3" x14ac:dyDescent="0.35">
      <c r="A45" s="1">
        <f>STATS_data!A45</f>
        <v>34912</v>
      </c>
      <c r="C45">
        <f>STATS_data!C45</f>
        <v>56979</v>
      </c>
    </row>
    <row r="46" spans="1:3" x14ac:dyDescent="0.35">
      <c r="A46" s="1">
        <f>STATS_data!A46</f>
        <v>34943</v>
      </c>
      <c r="C46">
        <f>STATS_data!C46</f>
        <v>57750</v>
      </c>
    </row>
    <row r="47" spans="1:3" x14ac:dyDescent="0.35">
      <c r="A47" s="1">
        <f>STATS_data!A47</f>
        <v>34973</v>
      </c>
      <c r="C47">
        <f>STATS_data!C47</f>
        <v>58411</v>
      </c>
    </row>
    <row r="48" spans="1:3" x14ac:dyDescent="0.35">
      <c r="A48" s="1">
        <f>STATS_data!A48</f>
        <v>35004</v>
      </c>
      <c r="C48">
        <f>STATS_data!C48</f>
        <v>58835</v>
      </c>
    </row>
    <row r="49" spans="1:3" x14ac:dyDescent="0.35">
      <c r="A49" s="1">
        <f>STATS_data!A49</f>
        <v>35034</v>
      </c>
      <c r="C49">
        <f>STATS_data!C49</f>
        <v>62423</v>
      </c>
    </row>
    <row r="50" spans="1:3" x14ac:dyDescent="0.35">
      <c r="A50" s="1">
        <f>STATS_data!A50</f>
        <v>35065</v>
      </c>
      <c r="C50">
        <f>STATS_data!C50</f>
        <v>61370</v>
      </c>
    </row>
    <row r="51" spans="1:3" x14ac:dyDescent="0.35">
      <c r="A51" s="1">
        <f>STATS_data!A51</f>
        <v>35096</v>
      </c>
      <c r="C51">
        <f>STATS_data!C51</f>
        <v>62662</v>
      </c>
    </row>
    <row r="52" spans="1:3" x14ac:dyDescent="0.35">
      <c r="A52" s="1">
        <f>STATS_data!A52</f>
        <v>35125</v>
      </c>
      <c r="C52">
        <f>STATS_data!C52</f>
        <v>63867</v>
      </c>
    </row>
    <row r="53" spans="1:3" x14ac:dyDescent="0.35">
      <c r="A53" s="1">
        <f>STATS_data!A53</f>
        <v>35156</v>
      </c>
      <c r="C53">
        <f>STATS_data!C53</f>
        <v>66759</v>
      </c>
    </row>
    <row r="54" spans="1:3" x14ac:dyDescent="0.35">
      <c r="A54" s="1">
        <f>STATS_data!A54</f>
        <v>35186</v>
      </c>
      <c r="C54">
        <f>STATS_data!C54</f>
        <v>63977</v>
      </c>
    </row>
    <row r="55" spans="1:3" x14ac:dyDescent="0.35">
      <c r="A55" s="1">
        <f>STATS_data!A55</f>
        <v>35217</v>
      </c>
      <c r="C55">
        <f>STATS_data!C55</f>
        <v>64215</v>
      </c>
    </row>
    <row r="56" spans="1:3" x14ac:dyDescent="0.35">
      <c r="A56" s="1">
        <f>STATS_data!A56</f>
        <v>35247</v>
      </c>
      <c r="C56">
        <f>STATS_data!C56</f>
        <v>64596</v>
      </c>
    </row>
    <row r="57" spans="1:3" x14ac:dyDescent="0.35">
      <c r="A57" s="1">
        <f>STATS_data!A57</f>
        <v>35278</v>
      </c>
      <c r="C57">
        <f>STATS_data!C57</f>
        <v>65799</v>
      </c>
    </row>
    <row r="58" spans="1:3" x14ac:dyDescent="0.35">
      <c r="A58" s="1">
        <f>STATS_data!A58</f>
        <v>35309</v>
      </c>
      <c r="C58">
        <f>STATS_data!C58</f>
        <v>65844</v>
      </c>
    </row>
    <row r="59" spans="1:3" x14ac:dyDescent="0.35">
      <c r="A59" s="1">
        <f>STATS_data!A59</f>
        <v>35339</v>
      </c>
      <c r="C59">
        <f>STATS_data!C59</f>
        <v>68434</v>
      </c>
    </row>
    <row r="60" spans="1:3" x14ac:dyDescent="0.35">
      <c r="A60" s="1">
        <f>STATS_data!A60</f>
        <v>35370</v>
      </c>
      <c r="C60">
        <f>STATS_data!C60</f>
        <v>69064</v>
      </c>
    </row>
    <row r="61" spans="1:3" x14ac:dyDescent="0.35">
      <c r="A61" s="1">
        <f>STATS_data!A61</f>
        <v>35400</v>
      </c>
      <c r="C61">
        <f>STATS_data!C61</f>
        <v>71204</v>
      </c>
    </row>
    <row r="62" spans="1:3" x14ac:dyDescent="0.35">
      <c r="A62" s="1">
        <f>STATS_data!A62</f>
        <v>35431</v>
      </c>
      <c r="C62">
        <f>STATS_data!C62</f>
        <v>71174</v>
      </c>
    </row>
    <row r="63" spans="1:3" x14ac:dyDescent="0.35">
      <c r="A63" s="1">
        <f>STATS_data!A63</f>
        <v>35462</v>
      </c>
      <c r="C63">
        <f>STATS_data!C63</f>
        <v>71697</v>
      </c>
    </row>
    <row r="64" spans="1:3" x14ac:dyDescent="0.35">
      <c r="A64" s="1">
        <f>STATS_data!A64</f>
        <v>35490</v>
      </c>
      <c r="C64">
        <f>STATS_data!C64</f>
        <v>74932</v>
      </c>
    </row>
    <row r="65" spans="1:3" x14ac:dyDescent="0.35">
      <c r="A65" s="1">
        <f>STATS_data!A65</f>
        <v>35521</v>
      </c>
      <c r="C65">
        <f>STATS_data!C65</f>
        <v>75886</v>
      </c>
    </row>
    <row r="66" spans="1:3" x14ac:dyDescent="0.35">
      <c r="A66" s="1">
        <f>STATS_data!A66</f>
        <v>35551</v>
      </c>
      <c r="C66">
        <f>STATS_data!C66</f>
        <v>78706</v>
      </c>
    </row>
    <row r="67" spans="1:3" x14ac:dyDescent="0.35">
      <c r="A67" s="1">
        <f>STATS_data!A67</f>
        <v>35582</v>
      </c>
      <c r="C67">
        <f>STATS_data!C67</f>
        <v>79504</v>
      </c>
    </row>
    <row r="68" spans="1:3" x14ac:dyDescent="0.35">
      <c r="A68" s="1">
        <f>STATS_data!A68</f>
        <v>35612</v>
      </c>
      <c r="C68">
        <f>STATS_data!C68</f>
        <v>81429</v>
      </c>
    </row>
    <row r="69" spans="1:3" x14ac:dyDescent="0.35">
      <c r="A69" s="1">
        <f>STATS_data!A69</f>
        <v>35643</v>
      </c>
      <c r="C69">
        <f>STATS_data!C69</f>
        <v>82357</v>
      </c>
    </row>
    <row r="70" spans="1:3" x14ac:dyDescent="0.35">
      <c r="A70" s="1">
        <f>STATS_data!A70</f>
        <v>35674</v>
      </c>
      <c r="C70">
        <f>STATS_data!C70</f>
        <v>85244</v>
      </c>
    </row>
    <row r="71" spans="1:3" x14ac:dyDescent="0.35">
      <c r="A71" s="1">
        <f>STATS_data!A71</f>
        <v>35704</v>
      </c>
      <c r="C71">
        <f>STATS_data!C71</f>
        <v>85945</v>
      </c>
    </row>
    <row r="72" spans="1:3" x14ac:dyDescent="0.35">
      <c r="A72" s="1">
        <f>STATS_data!A72</f>
        <v>35735</v>
      </c>
      <c r="C72">
        <f>STATS_data!C72</f>
        <v>88973</v>
      </c>
    </row>
    <row r="73" spans="1:3" x14ac:dyDescent="0.35">
      <c r="A73" s="1">
        <f>STATS_data!A73</f>
        <v>35765</v>
      </c>
      <c r="C73">
        <f>STATS_data!C73</f>
        <v>93675</v>
      </c>
    </row>
    <row r="74" spans="1:3" x14ac:dyDescent="0.35">
      <c r="A74" s="1">
        <f>STATS_data!A74</f>
        <v>35796</v>
      </c>
      <c r="C74">
        <f>STATS_data!C74</f>
        <v>94984</v>
      </c>
    </row>
    <row r="75" spans="1:3" x14ac:dyDescent="0.35">
      <c r="A75" s="1">
        <f>STATS_data!A75</f>
        <v>35827</v>
      </c>
      <c r="C75">
        <f>STATS_data!C75</f>
        <v>95168</v>
      </c>
    </row>
    <row r="76" spans="1:3" x14ac:dyDescent="0.35">
      <c r="A76" s="1">
        <f>STATS_data!A76</f>
        <v>35855</v>
      </c>
      <c r="C76">
        <f>STATS_data!C76</f>
        <v>97979</v>
      </c>
    </row>
    <row r="77" spans="1:3" x14ac:dyDescent="0.35">
      <c r="A77" s="1">
        <f>STATS_data!A77</f>
        <v>35886</v>
      </c>
      <c r="C77">
        <f>STATS_data!C77</f>
        <v>100936</v>
      </c>
    </row>
    <row r="78" spans="1:3" x14ac:dyDescent="0.35">
      <c r="A78" s="1">
        <f>STATS_data!A78</f>
        <v>35916</v>
      </c>
      <c r="C78">
        <f>STATS_data!C78</f>
        <v>103300</v>
      </c>
    </row>
    <row r="79" spans="1:3" x14ac:dyDescent="0.35">
      <c r="A79" s="1">
        <f>STATS_data!A79</f>
        <v>35947</v>
      </c>
      <c r="C79">
        <f>STATS_data!C79</f>
        <v>102251</v>
      </c>
    </row>
    <row r="80" spans="1:3" x14ac:dyDescent="0.35">
      <c r="A80" s="1">
        <f>STATS_data!A80</f>
        <v>35977</v>
      </c>
      <c r="C80">
        <f>STATS_data!C80</f>
        <v>104610</v>
      </c>
    </row>
    <row r="81" spans="1:3" x14ac:dyDescent="0.35">
      <c r="A81" s="1">
        <f>STATS_data!A81</f>
        <v>36008</v>
      </c>
      <c r="C81">
        <f>STATS_data!C81</f>
        <v>107011</v>
      </c>
    </row>
    <row r="82" spans="1:3" x14ac:dyDescent="0.35">
      <c r="A82" s="1">
        <f>STATS_data!A82</f>
        <v>36039</v>
      </c>
      <c r="C82">
        <f>STATS_data!C82</f>
        <v>106490</v>
      </c>
    </row>
    <row r="83" spans="1:3" x14ac:dyDescent="0.35">
      <c r="A83" s="1">
        <f>STATS_data!A83</f>
        <v>36069</v>
      </c>
      <c r="C83">
        <f>STATS_data!C83</f>
        <v>111907</v>
      </c>
    </row>
    <row r="84" spans="1:3" x14ac:dyDescent="0.35">
      <c r="A84" s="1">
        <f>STATS_data!A84</f>
        <v>36100</v>
      </c>
      <c r="C84">
        <f>STATS_data!C84</f>
        <v>110487</v>
      </c>
    </row>
    <row r="85" spans="1:3" x14ac:dyDescent="0.35">
      <c r="A85" s="1">
        <f>STATS_data!A85</f>
        <v>36130</v>
      </c>
      <c r="C85">
        <f>STATS_data!C85</f>
        <v>111835</v>
      </c>
    </row>
    <row r="86" spans="1:3" x14ac:dyDescent="0.35">
      <c r="A86" s="1">
        <f>STATS_data!A86</f>
        <v>36161</v>
      </c>
      <c r="C86">
        <f>STATS_data!C86</f>
        <v>113965</v>
      </c>
    </row>
    <row r="87" spans="1:3" x14ac:dyDescent="0.35">
      <c r="A87" s="1">
        <f>STATS_data!A87</f>
        <v>36192</v>
      </c>
      <c r="C87">
        <f>STATS_data!C87</f>
        <v>115018</v>
      </c>
    </row>
    <row r="88" spans="1:3" x14ac:dyDescent="0.35">
      <c r="A88" s="1">
        <f>STATS_data!A88</f>
        <v>36220</v>
      </c>
      <c r="C88">
        <f>STATS_data!C88</f>
        <v>120116</v>
      </c>
    </row>
    <row r="89" spans="1:3" x14ac:dyDescent="0.35">
      <c r="A89" s="1">
        <f>STATS_data!A89</f>
        <v>36251</v>
      </c>
      <c r="C89">
        <f>STATS_data!C89</f>
        <v>123040</v>
      </c>
    </row>
    <row r="90" spans="1:3" x14ac:dyDescent="0.35">
      <c r="A90" s="1">
        <f>STATS_data!A90</f>
        <v>36281</v>
      </c>
      <c r="C90">
        <f>STATS_data!C90</f>
        <v>124136</v>
      </c>
    </row>
    <row r="91" spans="1:3" x14ac:dyDescent="0.35">
      <c r="A91" s="1">
        <f>STATS_data!A91</f>
        <v>36312</v>
      </c>
      <c r="C91">
        <f>STATS_data!C91</f>
        <v>125732</v>
      </c>
    </row>
    <row r="92" spans="1:3" x14ac:dyDescent="0.35">
      <c r="A92" s="1">
        <f>STATS_data!A92</f>
        <v>36342</v>
      </c>
      <c r="C92">
        <f>STATS_data!C92</f>
        <v>128402</v>
      </c>
    </row>
    <row r="93" spans="1:3" x14ac:dyDescent="0.35">
      <c r="A93" s="1">
        <f>STATS_data!A93</f>
        <v>36373</v>
      </c>
      <c r="C93">
        <f>STATS_data!C93</f>
        <v>129928</v>
      </c>
    </row>
    <row r="94" spans="1:3" x14ac:dyDescent="0.35">
      <c r="A94" s="1">
        <f>STATS_data!A94</f>
        <v>36404</v>
      </c>
      <c r="C94">
        <f>STATS_data!C94</f>
        <v>129418</v>
      </c>
    </row>
    <row r="95" spans="1:3" x14ac:dyDescent="0.35">
      <c r="A95" s="1">
        <f>STATS_data!A95</f>
        <v>36434</v>
      </c>
      <c r="C95">
        <f>STATS_data!C95</f>
        <v>134821</v>
      </c>
    </row>
    <row r="96" spans="1:3" x14ac:dyDescent="0.35">
      <c r="A96" s="1">
        <f>STATS_data!A96</f>
        <v>36465</v>
      </c>
      <c r="C96">
        <f>STATS_data!C96</f>
        <v>136127</v>
      </c>
    </row>
    <row r="97" spans="1:3" x14ac:dyDescent="0.35">
      <c r="A97" s="1">
        <f>STATS_data!A97</f>
        <v>36495</v>
      </c>
      <c r="C97">
        <f>STATS_data!C97</f>
        <v>136493</v>
      </c>
    </row>
    <row r="98" spans="1:3" x14ac:dyDescent="0.35">
      <c r="A98" s="1">
        <f>STATS_data!A98</f>
        <v>36526</v>
      </c>
      <c r="C98">
        <f>STATS_data!C98</f>
        <v>140022</v>
      </c>
    </row>
    <row r="99" spans="1:3" x14ac:dyDescent="0.35">
      <c r="A99" s="1">
        <f>STATS_data!A99</f>
        <v>36557</v>
      </c>
      <c r="C99">
        <f>STATS_data!C99</f>
        <v>144390</v>
      </c>
    </row>
    <row r="100" spans="1:3" x14ac:dyDescent="0.35">
      <c r="A100" s="1">
        <f>STATS_data!A100</f>
        <v>36586</v>
      </c>
      <c r="C100">
        <f>STATS_data!C100</f>
        <v>149214</v>
      </c>
    </row>
    <row r="101" spans="1:3" x14ac:dyDescent="0.35">
      <c r="A101" s="1">
        <f>STATS_data!A101</f>
        <v>36617</v>
      </c>
      <c r="C101">
        <f>STATS_data!C101</f>
        <v>150992</v>
      </c>
    </row>
    <row r="102" spans="1:3" x14ac:dyDescent="0.35">
      <c r="A102" s="1">
        <f>STATS_data!A102</f>
        <v>36647</v>
      </c>
      <c r="C102">
        <f>STATS_data!C102</f>
        <v>149907</v>
      </c>
    </row>
    <row r="103" spans="1:3" x14ac:dyDescent="0.35">
      <c r="A103" s="1">
        <f>STATS_data!A103</f>
        <v>36678</v>
      </c>
      <c r="C103">
        <f>STATS_data!C103</f>
        <v>149435</v>
      </c>
    </row>
    <row r="104" spans="1:3" x14ac:dyDescent="0.35">
      <c r="A104" s="1">
        <f>STATS_data!A104</f>
        <v>36708</v>
      </c>
      <c r="C104">
        <f>STATS_data!C104</f>
        <v>151672</v>
      </c>
    </row>
    <row r="105" spans="1:3" x14ac:dyDescent="0.35">
      <c r="A105" s="1">
        <f>STATS_data!A105</f>
        <v>36739</v>
      </c>
      <c r="C105">
        <f>STATS_data!C105</f>
        <v>157443</v>
      </c>
    </row>
    <row r="106" spans="1:3" x14ac:dyDescent="0.35">
      <c r="A106" s="1">
        <f>STATS_data!A106</f>
        <v>36770</v>
      </c>
      <c r="C106">
        <f>STATS_data!C106</f>
        <v>157354</v>
      </c>
    </row>
    <row r="107" spans="1:3" x14ac:dyDescent="0.35">
      <c r="A107" s="1">
        <f>STATS_data!A107</f>
        <v>36800</v>
      </c>
      <c r="C107">
        <f>STATS_data!C107</f>
        <v>159206</v>
      </c>
    </row>
    <row r="108" spans="1:3" x14ac:dyDescent="0.35">
      <c r="A108" s="1">
        <f>STATS_data!A108</f>
        <v>36831</v>
      </c>
      <c r="C108">
        <f>STATS_data!C108</f>
        <v>159437</v>
      </c>
    </row>
    <row r="109" spans="1:3" x14ac:dyDescent="0.35">
      <c r="A109" s="1">
        <f>STATS_data!A109</f>
        <v>36861</v>
      </c>
      <c r="C109">
        <f>STATS_data!C109</f>
        <v>155141</v>
      </c>
    </row>
    <row r="110" spans="1:3" x14ac:dyDescent="0.35">
      <c r="A110" s="1">
        <f>STATS_data!A110</f>
        <v>36892</v>
      </c>
      <c r="C110">
        <f>STATS_data!C110</f>
        <v>160514</v>
      </c>
    </row>
    <row r="111" spans="1:3" x14ac:dyDescent="0.35">
      <c r="A111" s="1">
        <f>STATS_data!A111</f>
        <v>36923</v>
      </c>
      <c r="C111">
        <f>STATS_data!C111</f>
        <v>162335</v>
      </c>
    </row>
    <row r="112" spans="1:3" x14ac:dyDescent="0.35">
      <c r="A112" s="1">
        <f>STATS_data!A112</f>
        <v>36951</v>
      </c>
      <c r="C112">
        <f>STATS_data!C112</f>
        <v>166945</v>
      </c>
    </row>
    <row r="113" spans="1:3" x14ac:dyDescent="0.35">
      <c r="A113" s="1">
        <f>STATS_data!A113</f>
        <v>36982</v>
      </c>
      <c r="C113">
        <f>STATS_data!C113</f>
        <v>169575</v>
      </c>
    </row>
    <row r="114" spans="1:3" x14ac:dyDescent="0.35">
      <c r="A114" s="1">
        <f>STATS_data!A114</f>
        <v>37012</v>
      </c>
      <c r="C114">
        <f>STATS_data!C114</f>
        <v>170122</v>
      </c>
    </row>
    <row r="115" spans="1:3" x14ac:dyDescent="0.35">
      <c r="A115" s="1">
        <f>STATS_data!A115</f>
        <v>37043</v>
      </c>
      <c r="C115">
        <f>STATS_data!C115</f>
        <v>172966</v>
      </c>
    </row>
    <row r="116" spans="1:3" x14ac:dyDescent="0.35">
      <c r="A116" s="1">
        <f>STATS_data!A116</f>
        <v>37073</v>
      </c>
      <c r="C116">
        <f>STATS_data!C116</f>
        <v>171459</v>
      </c>
    </row>
    <row r="117" spans="1:3" x14ac:dyDescent="0.35">
      <c r="A117" s="1">
        <f>STATS_data!A117</f>
        <v>37104</v>
      </c>
      <c r="C117">
        <f>STATS_data!C117</f>
        <v>171231</v>
      </c>
    </row>
    <row r="118" spans="1:3" x14ac:dyDescent="0.35">
      <c r="A118" s="1">
        <f>STATS_data!A118</f>
        <v>37135</v>
      </c>
      <c r="C118">
        <f>STATS_data!C118</f>
        <v>173687</v>
      </c>
    </row>
    <row r="119" spans="1:3" x14ac:dyDescent="0.35">
      <c r="A119" s="1">
        <f>STATS_data!A119</f>
        <v>37165</v>
      </c>
      <c r="C119">
        <f>STATS_data!C119</f>
        <v>170088</v>
      </c>
    </row>
    <row r="120" spans="1:3" x14ac:dyDescent="0.35">
      <c r="A120" s="1">
        <f>STATS_data!A120</f>
        <v>37196</v>
      </c>
      <c r="C120">
        <f>STATS_data!C120</f>
        <v>175933</v>
      </c>
    </row>
    <row r="121" spans="1:3" x14ac:dyDescent="0.35">
      <c r="A121" s="1">
        <f>STATS_data!A121</f>
        <v>37226</v>
      </c>
      <c r="C121">
        <f>STATS_data!C121</f>
        <v>178124</v>
      </c>
    </row>
    <row r="122" spans="1:3" x14ac:dyDescent="0.35">
      <c r="A122" s="1">
        <f>STATS_data!A122</f>
        <v>37257</v>
      </c>
      <c r="C122">
        <f>STATS_data!C122</f>
        <v>178499</v>
      </c>
    </row>
    <row r="123" spans="1:3" x14ac:dyDescent="0.35">
      <c r="A123" s="1">
        <f>STATS_data!A123</f>
        <v>37288</v>
      </c>
      <c r="C123">
        <f>STATS_data!C123</f>
        <v>183538</v>
      </c>
    </row>
    <row r="124" spans="1:3" x14ac:dyDescent="0.35">
      <c r="A124" s="1">
        <f>STATS_data!A124</f>
        <v>37316</v>
      </c>
      <c r="C124">
        <f>STATS_data!C124</f>
        <v>179054</v>
      </c>
    </row>
    <row r="125" spans="1:3" x14ac:dyDescent="0.35">
      <c r="A125" s="1">
        <f>STATS_data!A125</f>
        <v>37347</v>
      </c>
      <c r="C125">
        <f>STATS_data!C125</f>
        <v>180836</v>
      </c>
    </row>
    <row r="126" spans="1:3" x14ac:dyDescent="0.35">
      <c r="A126" s="1">
        <f>STATS_data!A126</f>
        <v>37377</v>
      </c>
      <c r="C126">
        <f>STATS_data!C126</f>
        <v>178236</v>
      </c>
    </row>
    <row r="127" spans="1:3" x14ac:dyDescent="0.35">
      <c r="A127" s="1">
        <f>STATS_data!A127</f>
        <v>37408</v>
      </c>
      <c r="C127">
        <f>STATS_data!C127</f>
        <v>177668</v>
      </c>
    </row>
    <row r="128" spans="1:3" x14ac:dyDescent="0.35">
      <c r="A128" s="1">
        <f>STATS_data!A128</f>
        <v>37438</v>
      </c>
      <c r="C128">
        <f>STATS_data!C128</f>
        <v>183724</v>
      </c>
    </row>
    <row r="129" spans="1:3" x14ac:dyDescent="0.35">
      <c r="A129" s="1">
        <f>STATS_data!A129</f>
        <v>37469</v>
      </c>
      <c r="C129">
        <f>STATS_data!C129</f>
        <v>186268</v>
      </c>
    </row>
    <row r="130" spans="1:3" x14ac:dyDescent="0.35">
      <c r="A130" s="1">
        <f>STATS_data!A130</f>
        <v>37500</v>
      </c>
      <c r="C130">
        <f>STATS_data!C130</f>
        <v>189584</v>
      </c>
    </row>
    <row r="131" spans="1:3" x14ac:dyDescent="0.35">
      <c r="A131" s="1">
        <f>STATS_data!A131</f>
        <v>37530</v>
      </c>
      <c r="C131">
        <f>STATS_data!C131</f>
        <v>188748</v>
      </c>
    </row>
    <row r="132" spans="1:3" x14ac:dyDescent="0.35">
      <c r="A132" s="1">
        <f>STATS_data!A132</f>
        <v>37561</v>
      </c>
      <c r="C132">
        <f>STATS_data!C132</f>
        <v>195041</v>
      </c>
    </row>
    <row r="133" spans="1:3" x14ac:dyDescent="0.35">
      <c r="A133" s="1">
        <f>STATS_data!A133</f>
        <v>37591</v>
      </c>
      <c r="C133">
        <f>STATS_data!C133</f>
        <v>197097</v>
      </c>
    </row>
    <row r="134" spans="1:3" x14ac:dyDescent="0.35">
      <c r="A134" s="1">
        <f>'table_a-4_credit_institution'!A2</f>
        <v>37622</v>
      </c>
      <c r="B134">
        <f>'table_a-4_credit_institution'!C2</f>
        <v>200747</v>
      </c>
      <c r="C134" s="14">
        <f>B134</f>
        <v>200747</v>
      </c>
    </row>
    <row r="135" spans="1:3" x14ac:dyDescent="0.35">
      <c r="A135" s="1">
        <f>'table_a-4_credit_institution'!A3</f>
        <v>37653</v>
      </c>
      <c r="B135">
        <f>'table_a-4_credit_institution'!C3</f>
        <v>204936</v>
      </c>
      <c r="C135" s="14">
        <f t="shared" ref="C135:C198" si="0">B135</f>
        <v>204936</v>
      </c>
    </row>
    <row r="136" spans="1:3" x14ac:dyDescent="0.35">
      <c r="A136" s="1">
        <f>'table_a-4_credit_institution'!A4</f>
        <v>37681</v>
      </c>
      <c r="B136">
        <f>'table_a-4_credit_institution'!C4</f>
        <v>202908</v>
      </c>
      <c r="C136" s="14">
        <f t="shared" si="0"/>
        <v>202908</v>
      </c>
    </row>
    <row r="137" spans="1:3" x14ac:dyDescent="0.35">
      <c r="A137" s="1">
        <f>'table_a-4_credit_institution'!A5</f>
        <v>37712</v>
      </c>
      <c r="B137">
        <f>'table_a-4_credit_institution'!C5</f>
        <v>204636</v>
      </c>
      <c r="C137" s="14">
        <f t="shared" si="0"/>
        <v>204636</v>
      </c>
    </row>
    <row r="138" spans="1:3" x14ac:dyDescent="0.35">
      <c r="A138" s="1">
        <f>'table_a-4_credit_institution'!A6</f>
        <v>37742</v>
      </c>
      <c r="B138">
        <f>'table_a-4_credit_institution'!C6</f>
        <v>207636</v>
      </c>
      <c r="C138" s="14">
        <f t="shared" si="0"/>
        <v>207636</v>
      </c>
    </row>
    <row r="139" spans="1:3" x14ac:dyDescent="0.35">
      <c r="A139" s="1">
        <f>'table_a-4_credit_institution'!A7</f>
        <v>37773</v>
      </c>
      <c r="B139">
        <f>'table_a-4_credit_institution'!C7</f>
        <v>204971</v>
      </c>
      <c r="C139" s="14">
        <f t="shared" si="0"/>
        <v>204971</v>
      </c>
    </row>
    <row r="140" spans="1:3" x14ac:dyDescent="0.35">
      <c r="A140" s="1">
        <f>'table_a-4_credit_institution'!A8</f>
        <v>37803</v>
      </c>
      <c r="B140">
        <f>'table_a-4_credit_institution'!C8</f>
        <v>211924</v>
      </c>
      <c r="C140" s="14">
        <f t="shared" si="0"/>
        <v>211924</v>
      </c>
    </row>
    <row r="141" spans="1:3" x14ac:dyDescent="0.35">
      <c r="A141" s="1">
        <f>'table_a-4_credit_institution'!A9</f>
        <v>37834</v>
      </c>
      <c r="B141">
        <f>'table_a-4_credit_institution'!C9</f>
        <v>218217</v>
      </c>
      <c r="C141" s="14">
        <f t="shared" si="0"/>
        <v>218217</v>
      </c>
    </row>
    <row r="142" spans="1:3" x14ac:dyDescent="0.35">
      <c r="A142" s="1">
        <f>'table_a-4_credit_institution'!A10</f>
        <v>37865</v>
      </c>
      <c r="B142">
        <f>'table_a-4_credit_institution'!C10</f>
        <v>221116</v>
      </c>
      <c r="C142" s="14">
        <f t="shared" si="0"/>
        <v>221116</v>
      </c>
    </row>
    <row r="143" spans="1:3" x14ac:dyDescent="0.35">
      <c r="A143" s="1">
        <f>'table_a-4_credit_institution'!A11</f>
        <v>37895</v>
      </c>
      <c r="B143">
        <f>'table_a-4_credit_institution'!C11</f>
        <v>225027</v>
      </c>
      <c r="C143" s="14">
        <f t="shared" si="0"/>
        <v>225027</v>
      </c>
    </row>
    <row r="144" spans="1:3" x14ac:dyDescent="0.35">
      <c r="A144" s="1">
        <f>'table_a-4_credit_institution'!A12</f>
        <v>37926</v>
      </c>
      <c r="B144">
        <f>'table_a-4_credit_institution'!C12</f>
        <v>226393</v>
      </c>
      <c r="C144" s="14">
        <f t="shared" si="0"/>
        <v>226393</v>
      </c>
    </row>
    <row r="145" spans="1:3" x14ac:dyDescent="0.35">
      <c r="A145" s="1">
        <f>'table_a-4_credit_institution'!A13</f>
        <v>37956</v>
      </c>
      <c r="B145">
        <f>'table_a-4_credit_institution'!C13</f>
        <v>231931</v>
      </c>
      <c r="C145" s="14">
        <f t="shared" si="0"/>
        <v>231931</v>
      </c>
    </row>
    <row r="146" spans="1:3" x14ac:dyDescent="0.35">
      <c r="A146" s="1">
        <f>'table_a-4_credit_institution'!A14</f>
        <v>37987</v>
      </c>
      <c r="B146">
        <f>'table_a-4_credit_institution'!C14</f>
        <v>229600</v>
      </c>
      <c r="C146" s="14">
        <f t="shared" si="0"/>
        <v>229600</v>
      </c>
    </row>
    <row r="147" spans="1:3" x14ac:dyDescent="0.35">
      <c r="A147" s="1">
        <f>'table_a-4_credit_institution'!A15</f>
        <v>38018</v>
      </c>
      <c r="B147">
        <f>'table_a-4_credit_institution'!C15</f>
        <v>235740</v>
      </c>
      <c r="C147" s="14">
        <f t="shared" si="0"/>
        <v>235740</v>
      </c>
    </row>
    <row r="148" spans="1:3" x14ac:dyDescent="0.35">
      <c r="A148" s="1">
        <f>'table_a-4_credit_institution'!A16</f>
        <v>38047</v>
      </c>
      <c r="B148">
        <f>'table_a-4_credit_institution'!C16</f>
        <v>243193</v>
      </c>
      <c r="C148" s="14">
        <f t="shared" si="0"/>
        <v>243193</v>
      </c>
    </row>
    <row r="149" spans="1:3" x14ac:dyDescent="0.35">
      <c r="A149" s="1">
        <f>'table_a-4_credit_institution'!A17</f>
        <v>38078</v>
      </c>
      <c r="B149">
        <f>'table_a-4_credit_institution'!C17</f>
        <v>246472</v>
      </c>
      <c r="C149" s="14">
        <f t="shared" si="0"/>
        <v>246472</v>
      </c>
    </row>
    <row r="150" spans="1:3" x14ac:dyDescent="0.35">
      <c r="A150" s="1">
        <f>'table_a-4_credit_institution'!A18</f>
        <v>38108</v>
      </c>
      <c r="B150">
        <f>'table_a-4_credit_institution'!C18</f>
        <v>252515</v>
      </c>
      <c r="C150" s="14">
        <f t="shared" si="0"/>
        <v>252515</v>
      </c>
    </row>
    <row r="151" spans="1:3" x14ac:dyDescent="0.35">
      <c r="A151" s="1">
        <f>'table_a-4_credit_institution'!A19</f>
        <v>38139</v>
      </c>
      <c r="B151">
        <f>'table_a-4_credit_institution'!C19</f>
        <v>256166</v>
      </c>
      <c r="C151" s="14">
        <f t="shared" si="0"/>
        <v>256166</v>
      </c>
    </row>
    <row r="152" spans="1:3" x14ac:dyDescent="0.35">
      <c r="A152" s="1">
        <f>'table_a-4_credit_institution'!A20</f>
        <v>38169</v>
      </c>
      <c r="B152">
        <f>'table_a-4_credit_institution'!C20</f>
        <v>275036</v>
      </c>
      <c r="C152" s="14">
        <f t="shared" si="0"/>
        <v>275036</v>
      </c>
    </row>
    <row r="153" spans="1:3" x14ac:dyDescent="0.35">
      <c r="A153" s="1">
        <f>'table_a-4_credit_institution'!A21</f>
        <v>38200</v>
      </c>
      <c r="B153">
        <f>'table_a-4_credit_institution'!C21</f>
        <v>274558</v>
      </c>
      <c r="C153" s="14">
        <f t="shared" si="0"/>
        <v>274558</v>
      </c>
    </row>
    <row r="154" spans="1:3" x14ac:dyDescent="0.35">
      <c r="A154" s="1">
        <f>'table_a-4_credit_institution'!A22</f>
        <v>38231</v>
      </c>
      <c r="B154">
        <f>'table_a-4_credit_institution'!C22</f>
        <v>279390</v>
      </c>
      <c r="C154" s="14">
        <f t="shared" si="0"/>
        <v>279390</v>
      </c>
    </row>
    <row r="155" spans="1:3" x14ac:dyDescent="0.35">
      <c r="A155" s="1">
        <f>'table_a-4_credit_institution'!A23</f>
        <v>38261</v>
      </c>
      <c r="B155">
        <f>'table_a-4_credit_institution'!C23</f>
        <v>286381</v>
      </c>
      <c r="C155" s="14">
        <f t="shared" si="0"/>
        <v>286381</v>
      </c>
    </row>
    <row r="156" spans="1:3" x14ac:dyDescent="0.35">
      <c r="A156" s="1">
        <f>'table_a-4_credit_institution'!A24</f>
        <v>38292</v>
      </c>
      <c r="B156">
        <f>'table_a-4_credit_institution'!C24</f>
        <v>293004</v>
      </c>
      <c r="C156" s="14">
        <f t="shared" si="0"/>
        <v>293004</v>
      </c>
    </row>
    <row r="157" spans="1:3" x14ac:dyDescent="0.35">
      <c r="A157" s="1">
        <f>'table_a-4_credit_institution'!A25</f>
        <v>38322</v>
      </c>
      <c r="B157">
        <f>'table_a-4_credit_institution'!C25</f>
        <v>299228</v>
      </c>
      <c r="C157" s="14">
        <f t="shared" si="0"/>
        <v>299228</v>
      </c>
    </row>
    <row r="158" spans="1:3" x14ac:dyDescent="0.35">
      <c r="A158" s="1">
        <f>'table_a-4_credit_institution'!A26</f>
        <v>38353</v>
      </c>
      <c r="B158">
        <f>'table_a-4_credit_institution'!C26</f>
        <v>305024</v>
      </c>
      <c r="C158" s="14">
        <f t="shared" si="0"/>
        <v>305024</v>
      </c>
    </row>
    <row r="159" spans="1:3" x14ac:dyDescent="0.35">
      <c r="A159" s="1">
        <f>'table_a-4_credit_institution'!A27</f>
        <v>38384</v>
      </c>
      <c r="B159">
        <f>'table_a-4_credit_institution'!C27</f>
        <v>308959</v>
      </c>
      <c r="C159" s="14">
        <f t="shared" si="0"/>
        <v>308959</v>
      </c>
    </row>
    <row r="160" spans="1:3" x14ac:dyDescent="0.35">
      <c r="A160" s="1">
        <f>'table_a-4_credit_institution'!A28</f>
        <v>38412</v>
      </c>
      <c r="B160">
        <f>'table_a-4_credit_institution'!C28</f>
        <v>317252</v>
      </c>
      <c r="C160" s="14">
        <f t="shared" si="0"/>
        <v>317252</v>
      </c>
    </row>
    <row r="161" spans="1:3" x14ac:dyDescent="0.35">
      <c r="A161" s="1">
        <f>'table_a-4_credit_institution'!A29</f>
        <v>38443</v>
      </c>
      <c r="B161">
        <f>'table_a-4_credit_institution'!C29</f>
        <v>322261</v>
      </c>
      <c r="C161" s="14">
        <f t="shared" si="0"/>
        <v>322261</v>
      </c>
    </row>
    <row r="162" spans="1:3" x14ac:dyDescent="0.35">
      <c r="A162" s="1">
        <f>'table_a-4_credit_institution'!A30</f>
        <v>38473</v>
      </c>
      <c r="B162">
        <f>'table_a-4_credit_institution'!C30</f>
        <v>330953</v>
      </c>
      <c r="C162" s="14">
        <f t="shared" si="0"/>
        <v>330953</v>
      </c>
    </row>
    <row r="163" spans="1:3" x14ac:dyDescent="0.35">
      <c r="A163" s="1">
        <f>'table_a-4_credit_institution'!A31</f>
        <v>38504</v>
      </c>
      <c r="B163">
        <f>'table_a-4_credit_institution'!C31</f>
        <v>341341</v>
      </c>
      <c r="C163" s="14">
        <f t="shared" si="0"/>
        <v>341341</v>
      </c>
    </row>
    <row r="164" spans="1:3" x14ac:dyDescent="0.35">
      <c r="A164" s="1">
        <f>'table_a-4_credit_institution'!A32</f>
        <v>38534</v>
      </c>
      <c r="B164">
        <f>'table_a-4_credit_institution'!C32</f>
        <v>351160</v>
      </c>
      <c r="C164" s="14">
        <f t="shared" si="0"/>
        <v>351160</v>
      </c>
    </row>
    <row r="165" spans="1:3" x14ac:dyDescent="0.35">
      <c r="A165" s="1">
        <f>'table_a-4_credit_institution'!A33</f>
        <v>38565</v>
      </c>
      <c r="B165">
        <f>'table_a-4_credit_institution'!C33</f>
        <v>357553</v>
      </c>
      <c r="C165" s="14">
        <f t="shared" si="0"/>
        <v>357553</v>
      </c>
    </row>
    <row r="166" spans="1:3" x14ac:dyDescent="0.35">
      <c r="A166" s="1">
        <f>'table_a-4_credit_institution'!A34</f>
        <v>38596</v>
      </c>
      <c r="B166">
        <f>'table_a-4_credit_institution'!C34</f>
        <v>361873</v>
      </c>
      <c r="C166" s="14">
        <f t="shared" si="0"/>
        <v>361873</v>
      </c>
    </row>
    <row r="167" spans="1:3" x14ac:dyDescent="0.35">
      <c r="A167" s="1">
        <f>'table_a-4_credit_institution'!A35</f>
        <v>38626</v>
      </c>
      <c r="B167">
        <f>'table_a-4_credit_institution'!C35</f>
        <v>372150</v>
      </c>
      <c r="C167" s="14">
        <f t="shared" si="0"/>
        <v>372150</v>
      </c>
    </row>
    <row r="168" spans="1:3" x14ac:dyDescent="0.35">
      <c r="A168" s="1">
        <f>'table_a-4_credit_institution'!A36</f>
        <v>38657</v>
      </c>
      <c r="B168">
        <f>'table_a-4_credit_institution'!C36</f>
        <v>381303</v>
      </c>
      <c r="C168" s="14">
        <f t="shared" si="0"/>
        <v>381303</v>
      </c>
    </row>
    <row r="169" spans="1:3" x14ac:dyDescent="0.35">
      <c r="A169" s="1">
        <f>'table_a-4_credit_institution'!A37</f>
        <v>38687</v>
      </c>
      <c r="B169">
        <f>'table_a-4_credit_institution'!C37</f>
        <v>391671</v>
      </c>
      <c r="C169" s="14">
        <f t="shared" si="0"/>
        <v>391671</v>
      </c>
    </row>
    <row r="170" spans="1:3" x14ac:dyDescent="0.35">
      <c r="A170" s="1">
        <f>'table_a-4_credit_institution'!A38</f>
        <v>38718</v>
      </c>
      <c r="B170">
        <f>'table_a-4_credit_institution'!C38</f>
        <v>399190</v>
      </c>
      <c r="C170" s="14">
        <f t="shared" si="0"/>
        <v>399190</v>
      </c>
    </row>
    <row r="171" spans="1:3" x14ac:dyDescent="0.35">
      <c r="A171" s="1">
        <f>'table_a-4_credit_institution'!A39</f>
        <v>38749</v>
      </c>
      <c r="B171">
        <f>'table_a-4_credit_institution'!C39</f>
        <v>424772</v>
      </c>
      <c r="C171" s="14">
        <f t="shared" si="0"/>
        <v>424772</v>
      </c>
    </row>
    <row r="172" spans="1:3" x14ac:dyDescent="0.35">
      <c r="A172" s="1">
        <f>'table_a-4_credit_institution'!A40</f>
        <v>38777</v>
      </c>
      <c r="B172">
        <f>'table_a-4_credit_institution'!C40</f>
        <v>424744</v>
      </c>
      <c r="C172" s="14">
        <f t="shared" si="0"/>
        <v>424744</v>
      </c>
    </row>
    <row r="173" spans="1:3" x14ac:dyDescent="0.35">
      <c r="A173" s="1">
        <f>'table_a-4_credit_institution'!A41</f>
        <v>38808</v>
      </c>
      <c r="B173">
        <f>'table_a-4_credit_institution'!C41</f>
        <v>436568</v>
      </c>
      <c r="C173" s="14">
        <f t="shared" si="0"/>
        <v>436568</v>
      </c>
    </row>
    <row r="174" spans="1:3" x14ac:dyDescent="0.35">
      <c r="A174" s="1">
        <f>'table_a-4_credit_institution'!A42</f>
        <v>38838</v>
      </c>
      <c r="B174">
        <f>'table_a-4_credit_institution'!C42</f>
        <v>445351</v>
      </c>
      <c r="C174" s="14">
        <f t="shared" si="0"/>
        <v>445351</v>
      </c>
    </row>
    <row r="175" spans="1:3" x14ac:dyDescent="0.35">
      <c r="A175" s="1">
        <f>'table_a-4_credit_institution'!A43</f>
        <v>38869</v>
      </c>
      <c r="B175">
        <f>'table_a-4_credit_institution'!C43</f>
        <v>456951</v>
      </c>
      <c r="C175" s="14">
        <f t="shared" si="0"/>
        <v>456951</v>
      </c>
    </row>
    <row r="176" spans="1:3" x14ac:dyDescent="0.35">
      <c r="A176" s="1">
        <f>'table_a-4_credit_institution'!A44</f>
        <v>38899</v>
      </c>
      <c r="B176">
        <f>'table_a-4_credit_institution'!C44</f>
        <v>455115</v>
      </c>
      <c r="C176" s="14">
        <f t="shared" si="0"/>
        <v>455115</v>
      </c>
    </row>
    <row r="177" spans="1:3" x14ac:dyDescent="0.35">
      <c r="A177" s="1">
        <f>'table_a-4_credit_institution'!A45</f>
        <v>38930</v>
      </c>
      <c r="B177">
        <f>'table_a-4_credit_institution'!C45</f>
        <v>465185</v>
      </c>
      <c r="C177" s="14">
        <f t="shared" si="0"/>
        <v>465185</v>
      </c>
    </row>
    <row r="178" spans="1:3" x14ac:dyDescent="0.35">
      <c r="A178" s="1">
        <f>'table_a-4_credit_institution'!A46</f>
        <v>38961</v>
      </c>
      <c r="B178">
        <f>'table_a-4_credit_institution'!C46</f>
        <v>471022</v>
      </c>
      <c r="C178" s="14">
        <f t="shared" si="0"/>
        <v>471022</v>
      </c>
    </row>
    <row r="179" spans="1:3" x14ac:dyDescent="0.35">
      <c r="A179" s="1">
        <f>'table_a-4_credit_institution'!A47</f>
        <v>38991</v>
      </c>
      <c r="B179">
        <f>'table_a-4_credit_institution'!C47</f>
        <v>480650</v>
      </c>
      <c r="C179" s="14">
        <f t="shared" si="0"/>
        <v>480650</v>
      </c>
    </row>
    <row r="180" spans="1:3" x14ac:dyDescent="0.35">
      <c r="A180" s="1">
        <f>'table_a-4_credit_institution'!A48</f>
        <v>39022</v>
      </c>
      <c r="B180">
        <f>'table_a-4_credit_institution'!C48</f>
        <v>496353</v>
      </c>
      <c r="C180" s="14">
        <f t="shared" si="0"/>
        <v>496353</v>
      </c>
    </row>
    <row r="181" spans="1:3" x14ac:dyDescent="0.35">
      <c r="A181" s="1">
        <f>'table_a-4_credit_institution'!A49</f>
        <v>39052</v>
      </c>
      <c r="B181">
        <f>'table_a-4_credit_institution'!C49</f>
        <v>506041</v>
      </c>
      <c r="C181" s="14">
        <f t="shared" si="0"/>
        <v>506041</v>
      </c>
    </row>
    <row r="182" spans="1:3" x14ac:dyDescent="0.35">
      <c r="A182" s="1">
        <f>'table_a-4_credit_institution'!A50</f>
        <v>39083</v>
      </c>
      <c r="B182">
        <f>'table_a-4_credit_institution'!C50</f>
        <v>500490</v>
      </c>
      <c r="C182" s="14">
        <f t="shared" si="0"/>
        <v>500490</v>
      </c>
    </row>
    <row r="183" spans="1:3" x14ac:dyDescent="0.35">
      <c r="A183" s="1">
        <f>'table_a-4_credit_institution'!A51</f>
        <v>39114</v>
      </c>
      <c r="B183">
        <f>'table_a-4_credit_institution'!C51</f>
        <v>502431</v>
      </c>
      <c r="C183" s="14">
        <f t="shared" si="0"/>
        <v>502431</v>
      </c>
    </row>
    <row r="184" spans="1:3" x14ac:dyDescent="0.35">
      <c r="A184" s="1">
        <f>'table_a-4_credit_institution'!A52</f>
        <v>39142</v>
      </c>
      <c r="B184">
        <f>'table_a-4_credit_institution'!C52</f>
        <v>508903</v>
      </c>
      <c r="C184" s="14">
        <f t="shared" si="0"/>
        <v>508903</v>
      </c>
    </row>
    <row r="185" spans="1:3" x14ac:dyDescent="0.35">
      <c r="A185" s="1">
        <f>'table_a-4_credit_institution'!A53</f>
        <v>39173</v>
      </c>
      <c r="B185">
        <f>'table_a-4_credit_institution'!C53</f>
        <v>508439</v>
      </c>
      <c r="C185" s="14">
        <f t="shared" si="0"/>
        <v>508439</v>
      </c>
    </row>
    <row r="186" spans="1:3" x14ac:dyDescent="0.35">
      <c r="A186" s="1">
        <f>'table_a-4_credit_institution'!A54</f>
        <v>39203</v>
      </c>
      <c r="B186">
        <f>'table_a-4_credit_institution'!C54</f>
        <v>514712</v>
      </c>
      <c r="C186" s="14">
        <f t="shared" si="0"/>
        <v>514712</v>
      </c>
    </row>
    <row r="187" spans="1:3" x14ac:dyDescent="0.35">
      <c r="A187" s="1">
        <f>'table_a-4_credit_institution'!A55</f>
        <v>39234</v>
      </c>
      <c r="B187">
        <f>'table_a-4_credit_institution'!C55</f>
        <v>528812</v>
      </c>
      <c r="C187" s="14">
        <f t="shared" si="0"/>
        <v>528812</v>
      </c>
    </row>
    <row r="188" spans="1:3" x14ac:dyDescent="0.35">
      <c r="A188" s="1">
        <f>'table_a-4_credit_institution'!A56</f>
        <v>39264</v>
      </c>
      <c r="B188">
        <f>'table_a-4_credit_institution'!C56</f>
        <v>525811</v>
      </c>
      <c r="C188" s="14">
        <f t="shared" si="0"/>
        <v>525811</v>
      </c>
    </row>
    <row r="189" spans="1:3" x14ac:dyDescent="0.35">
      <c r="A189" s="1">
        <f>'table_a-4_credit_institution'!A57</f>
        <v>39295</v>
      </c>
      <c r="B189">
        <f>'table_a-4_credit_institution'!C57</f>
        <v>508666</v>
      </c>
      <c r="C189" s="14">
        <f t="shared" si="0"/>
        <v>508666</v>
      </c>
    </row>
    <row r="190" spans="1:3" x14ac:dyDescent="0.35">
      <c r="A190" s="1">
        <f>'table_a-4_credit_institution'!A58</f>
        <v>39326</v>
      </c>
      <c r="B190">
        <f>'table_a-4_credit_institution'!C58</f>
        <v>517767</v>
      </c>
      <c r="C190" s="14">
        <f t="shared" si="0"/>
        <v>517767</v>
      </c>
    </row>
    <row r="191" spans="1:3" x14ac:dyDescent="0.35">
      <c r="A191" s="1">
        <f>'table_a-4_credit_institution'!A59</f>
        <v>39356</v>
      </c>
      <c r="B191">
        <f>'table_a-4_credit_institution'!C59</f>
        <v>525409</v>
      </c>
      <c r="C191" s="14">
        <f t="shared" si="0"/>
        <v>525409</v>
      </c>
    </row>
    <row r="192" spans="1:3" x14ac:dyDescent="0.35">
      <c r="A192" s="1">
        <f>'table_a-4_credit_institution'!A60</f>
        <v>39387</v>
      </c>
      <c r="B192">
        <f>'table_a-4_credit_institution'!C60</f>
        <v>577425</v>
      </c>
      <c r="C192" s="14">
        <f t="shared" si="0"/>
        <v>577425</v>
      </c>
    </row>
    <row r="193" spans="1:3" x14ac:dyDescent="0.35">
      <c r="A193" s="1">
        <f>'table_a-4_credit_institution'!A61</f>
        <v>39417</v>
      </c>
      <c r="B193">
        <f>'table_a-4_credit_institution'!C61</f>
        <v>593504</v>
      </c>
      <c r="C193" s="14">
        <f t="shared" si="0"/>
        <v>593504</v>
      </c>
    </row>
    <row r="194" spans="1:3" x14ac:dyDescent="0.35">
      <c r="A194" s="1">
        <f>'table_a-4_credit_institution'!A62</f>
        <v>39448</v>
      </c>
      <c r="B194">
        <f>'table_a-4_credit_institution'!C62</f>
        <v>564829</v>
      </c>
      <c r="C194" s="14">
        <f t="shared" si="0"/>
        <v>564829</v>
      </c>
    </row>
    <row r="195" spans="1:3" x14ac:dyDescent="0.35">
      <c r="A195" s="1">
        <f>'table_a-4_credit_institution'!A63</f>
        <v>39479</v>
      </c>
      <c r="B195">
        <f>'table_a-4_credit_institution'!C63</f>
        <v>571190</v>
      </c>
      <c r="C195" s="14">
        <f t="shared" si="0"/>
        <v>571190</v>
      </c>
    </row>
    <row r="196" spans="1:3" x14ac:dyDescent="0.35">
      <c r="A196" s="1">
        <f>'table_a-4_credit_institution'!A64</f>
        <v>39508</v>
      </c>
      <c r="B196">
        <f>'table_a-4_credit_institution'!C64</f>
        <v>575004</v>
      </c>
      <c r="C196" s="14">
        <f t="shared" si="0"/>
        <v>575004</v>
      </c>
    </row>
    <row r="197" spans="1:3" x14ac:dyDescent="0.35">
      <c r="A197" s="1">
        <f>'table_a-4_credit_institution'!A65</f>
        <v>39539</v>
      </c>
      <c r="B197">
        <f>'table_a-4_credit_institution'!C65</f>
        <v>572174</v>
      </c>
      <c r="C197" s="14">
        <f t="shared" si="0"/>
        <v>572174</v>
      </c>
    </row>
    <row r="198" spans="1:3" x14ac:dyDescent="0.35">
      <c r="A198" s="1">
        <f>'table_a-4_credit_institution'!A66</f>
        <v>39569</v>
      </c>
      <c r="B198">
        <f>'table_a-4_credit_institution'!C66</f>
        <v>601163</v>
      </c>
      <c r="C198" s="14">
        <f t="shared" si="0"/>
        <v>601163</v>
      </c>
    </row>
    <row r="199" spans="1:3" x14ac:dyDescent="0.35">
      <c r="A199" s="1">
        <f>'table_a-4_credit_institution'!A67</f>
        <v>39600</v>
      </c>
      <c r="B199">
        <f>'table_a-4_credit_institution'!C67</f>
        <v>594360</v>
      </c>
      <c r="C199" s="14">
        <f t="shared" ref="C199:C221" si="1">B199</f>
        <v>594360</v>
      </c>
    </row>
    <row r="200" spans="1:3" x14ac:dyDescent="0.35">
      <c r="A200" s="1">
        <f>'table_a-4_credit_institution'!A68</f>
        <v>39630</v>
      </c>
      <c r="B200">
        <f>'table_a-4_credit_institution'!C68</f>
        <v>574225</v>
      </c>
      <c r="C200" s="14">
        <f t="shared" si="1"/>
        <v>574225</v>
      </c>
    </row>
    <row r="201" spans="1:3" x14ac:dyDescent="0.35">
      <c r="A201" s="1">
        <f>'table_a-4_credit_institution'!A69</f>
        <v>39661</v>
      </c>
      <c r="B201">
        <f>'table_a-4_credit_institution'!C69</f>
        <v>581175</v>
      </c>
      <c r="C201" s="14">
        <f t="shared" si="1"/>
        <v>581175</v>
      </c>
    </row>
    <row r="202" spans="1:3" x14ac:dyDescent="0.35">
      <c r="A202" s="1">
        <f>'table_a-4_credit_institution'!A70</f>
        <v>39692</v>
      </c>
      <c r="B202">
        <f>'table_a-4_credit_institution'!C70</f>
        <v>612902</v>
      </c>
      <c r="C202" s="14">
        <f t="shared" si="1"/>
        <v>612902</v>
      </c>
    </row>
    <row r="203" spans="1:3" x14ac:dyDescent="0.35">
      <c r="A203" s="1">
        <f>'table_a-4_credit_institution'!A71</f>
        <v>39722</v>
      </c>
      <c r="B203">
        <f>'table_a-4_credit_institution'!C71</f>
        <v>626742</v>
      </c>
      <c r="C203" s="14">
        <f t="shared" si="1"/>
        <v>626742</v>
      </c>
    </row>
    <row r="204" spans="1:3" x14ac:dyDescent="0.35">
      <c r="A204" s="1">
        <f>'table_a-4_credit_institution'!A72</f>
        <v>39753</v>
      </c>
      <c r="B204">
        <f>'table_a-4_credit_institution'!C72</f>
        <v>636295</v>
      </c>
      <c r="C204" s="14">
        <f t="shared" si="1"/>
        <v>636295</v>
      </c>
    </row>
    <row r="205" spans="1:3" x14ac:dyDescent="0.35">
      <c r="A205" s="1">
        <f>'table_a-4_credit_institution'!A73</f>
        <v>39783</v>
      </c>
      <c r="B205">
        <f>'table_a-4_credit_institution'!C73</f>
        <v>642815</v>
      </c>
      <c r="C205" s="14">
        <f t="shared" si="1"/>
        <v>642815</v>
      </c>
    </row>
    <row r="206" spans="1:3" x14ac:dyDescent="0.35">
      <c r="A206" s="1">
        <f>'table_a-4_credit_institution'!A74</f>
        <v>39814</v>
      </c>
      <c r="B206">
        <f>'table_a-4_credit_institution'!C74</f>
        <v>662655</v>
      </c>
      <c r="C206" s="14">
        <f t="shared" si="1"/>
        <v>662655</v>
      </c>
    </row>
    <row r="207" spans="1:3" x14ac:dyDescent="0.35">
      <c r="A207" s="1">
        <f>'table_a-4_credit_institution'!A75</f>
        <v>39845</v>
      </c>
      <c r="B207">
        <f>'table_a-4_credit_institution'!C75</f>
        <v>663253</v>
      </c>
      <c r="C207" s="14">
        <f t="shared" si="1"/>
        <v>663253</v>
      </c>
    </row>
    <row r="208" spans="1:3" x14ac:dyDescent="0.35">
      <c r="A208" s="1">
        <f>'table_a-4_credit_institution'!A76</f>
        <v>39873</v>
      </c>
      <c r="B208">
        <f>'table_a-4_credit_institution'!C76</f>
        <v>653551</v>
      </c>
      <c r="C208" s="14">
        <f t="shared" si="1"/>
        <v>653551</v>
      </c>
    </row>
    <row r="209" spans="1:3" x14ac:dyDescent="0.35">
      <c r="A209" s="1">
        <f>'table_a-4_credit_institution'!A77</f>
        <v>39904</v>
      </c>
      <c r="B209">
        <f>'table_a-4_credit_institution'!C77</f>
        <v>658816</v>
      </c>
      <c r="C209" s="14">
        <f t="shared" si="1"/>
        <v>658816</v>
      </c>
    </row>
    <row r="210" spans="1:3" x14ac:dyDescent="0.35">
      <c r="A210" s="1">
        <f>'table_a-4_credit_institution'!A78</f>
        <v>39934</v>
      </c>
      <c r="B210">
        <f>'table_a-4_credit_institution'!C78</f>
        <v>660877</v>
      </c>
      <c r="C210" s="14">
        <f t="shared" si="1"/>
        <v>660877</v>
      </c>
    </row>
    <row r="211" spans="1:3" x14ac:dyDescent="0.35">
      <c r="A211" s="1">
        <f>'table_a-4_credit_institution'!A79</f>
        <v>39965</v>
      </c>
      <c r="B211">
        <f>'table_a-4_credit_institution'!C79</f>
        <v>654067</v>
      </c>
      <c r="C211" s="14">
        <f t="shared" si="1"/>
        <v>654067</v>
      </c>
    </row>
    <row r="212" spans="1:3" x14ac:dyDescent="0.35">
      <c r="A212" s="1">
        <f>'table_a-4_credit_institution'!A80</f>
        <v>39995</v>
      </c>
      <c r="B212">
        <f>'table_a-4_credit_institution'!C80</f>
        <v>652903</v>
      </c>
      <c r="C212" s="14">
        <f t="shared" si="1"/>
        <v>652903</v>
      </c>
    </row>
    <row r="213" spans="1:3" x14ac:dyDescent="0.35">
      <c r="A213" s="1">
        <f>'table_a-4_credit_institution'!A81</f>
        <v>40026</v>
      </c>
      <c r="B213">
        <f>'table_a-4_credit_institution'!C81</f>
        <v>648760</v>
      </c>
      <c r="C213" s="14">
        <f t="shared" si="1"/>
        <v>648760</v>
      </c>
    </row>
    <row r="214" spans="1:3" x14ac:dyDescent="0.35">
      <c r="A214" s="1">
        <f>'table_a-4_credit_institution'!A82</f>
        <v>40057</v>
      </c>
      <c r="B214">
        <f>'table_a-4_credit_institution'!C82</f>
        <v>638129</v>
      </c>
      <c r="C214" s="14">
        <f t="shared" si="1"/>
        <v>638129</v>
      </c>
    </row>
    <row r="215" spans="1:3" x14ac:dyDescent="0.35">
      <c r="A215" s="1">
        <f>'table_a-4_credit_institution'!A83</f>
        <v>40087</v>
      </c>
      <c r="B215">
        <f>'table_a-4_credit_institution'!C83</f>
        <v>632552</v>
      </c>
      <c r="C215" s="14">
        <f t="shared" si="1"/>
        <v>632552</v>
      </c>
    </row>
    <row r="216" spans="1:3" x14ac:dyDescent="0.35">
      <c r="A216" s="1">
        <f>'table_a-4_credit_institution'!A84</f>
        <v>40118</v>
      </c>
      <c r="B216">
        <f>'table_a-4_credit_institution'!C84</f>
        <v>629360</v>
      </c>
      <c r="C216" s="14">
        <f t="shared" si="1"/>
        <v>629360</v>
      </c>
    </row>
    <row r="217" spans="1:3" x14ac:dyDescent="0.35">
      <c r="A217" s="1">
        <f>'table_a-4_credit_institution'!A85</f>
        <v>40148</v>
      </c>
      <c r="B217">
        <f>'table_a-4_credit_institution'!C85</f>
        <v>639103</v>
      </c>
      <c r="C217" s="14">
        <f t="shared" si="1"/>
        <v>639103</v>
      </c>
    </row>
    <row r="218" spans="1:3" x14ac:dyDescent="0.35">
      <c r="A218" s="1">
        <f>'table_a-4_credit_institution'!A86</f>
        <v>40179</v>
      </c>
      <c r="B218">
        <f>'table_a-4_credit_institution'!C86</f>
        <v>643937</v>
      </c>
      <c r="C218" s="14">
        <f t="shared" si="1"/>
        <v>643937</v>
      </c>
    </row>
    <row r="219" spans="1:3" x14ac:dyDescent="0.35">
      <c r="A219" s="1">
        <f>'table_a-4_credit_institution'!A87</f>
        <v>40210</v>
      </c>
      <c r="B219">
        <f>'table_a-4_credit_institution'!C87</f>
        <v>620310</v>
      </c>
      <c r="C219" s="14">
        <f t="shared" si="1"/>
        <v>620310</v>
      </c>
    </row>
    <row r="220" spans="1:3" x14ac:dyDescent="0.35">
      <c r="A220" s="1">
        <f>'table_a-4_credit_institution'!A88</f>
        <v>40238</v>
      </c>
      <c r="B220">
        <f>'table_a-4_credit_institution'!C88</f>
        <v>625162</v>
      </c>
      <c r="C220" s="14">
        <f t="shared" si="1"/>
        <v>625162</v>
      </c>
    </row>
    <row r="221" spans="1:3" x14ac:dyDescent="0.35">
      <c r="A221" s="1">
        <f>'table_a-4_credit_institution'!A89</f>
        <v>40269</v>
      </c>
      <c r="B221">
        <f>'table_a-4_credit_institution'!C89</f>
        <v>618089</v>
      </c>
      <c r="C221" s="14">
        <f t="shared" si="1"/>
        <v>618089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8ECB7C15-F0B5-4865-8C6D-9B0D0A5552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table_a-4_credit_institution</vt:lpstr>
      <vt:lpstr>STATS_data</vt:lpstr>
      <vt:lpstr>Merging_STAT_Tab4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Assets_extrapolated.xlsx</dc:creator>
  <cp:keywords>Unrestricted</cp:keywords>
  <cp:lastModifiedBy>Mugrabi, Farah</cp:lastModifiedBy>
  <dcterms:created xsi:type="dcterms:W3CDTF">2025-04-17T09:55:46Z</dcterms:created>
  <dcterms:modified xsi:type="dcterms:W3CDTF">2025-09-12T09:50:12Z</dcterms:modified>
  <cp:category>Unrestricted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9154f61b-0e75-4d9f-bd87-8d5440eaec3c</vt:lpwstr>
  </property>
  <property fmtid="{D5CDD505-2E9C-101B-9397-08002B2CF9AE}" pid="3" name="bjSaver">
    <vt:lpwstr>Cj3ck1qm8dshXmwxew618V9saZXPmFU/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Unrestricted</vt:lpwstr>
  </property>
  <property fmtid="{D5CDD505-2E9C-101B-9397-08002B2CF9AE}" pid="7" name="bjLeftHeaderLabel-first">
    <vt:lpwstr>&amp;"Times New Roman,Regular"&amp;12&amp;K000000Central Bank of Ireland - UNRESTRICTED</vt:lpwstr>
  </property>
  <property fmtid="{D5CDD505-2E9C-101B-9397-08002B2CF9AE}" pid="8" name="bjLeftHeaderLabel-even">
    <vt:lpwstr>&amp;"Times New Roman,Regular"&amp;12&amp;K000000Central Bank of Ireland - UNRESTRICTED</vt:lpwstr>
  </property>
  <property fmtid="{D5CDD505-2E9C-101B-9397-08002B2CF9AE}" pid="9" name="bjLeftHeaderLabel">
    <vt:lpwstr>&amp;"Times New Roman,Regular"&amp;12&amp;K000000Central Bank of Ireland - UNRESTRICTED</vt:lpwstr>
  </property>
</Properties>
</file>