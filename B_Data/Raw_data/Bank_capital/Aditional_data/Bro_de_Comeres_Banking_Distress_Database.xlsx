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3.xml" ContentType="application/vnd.openxmlformats-officedocument.spreadsheetml.worksheet+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codeName="ThisWorkbook" defaultThemeVersion="166925"/>
  <mc:AlternateContent xmlns:mc="http://schemas.openxmlformats.org/markup-compatibility/2006">
    <mc:Choice Requires="x15">
      <x15ac:absPath xmlns:x15ac="http://schemas.microsoft.com/office/spreadsheetml/2010/11/ac" url="/Users/quentinbrodecomeres/Desktop/"/>
    </mc:Choice>
  </mc:AlternateContent>
  <xr:revisionPtr revIDLastSave="0" documentId="13_ncr:1_{C770D69D-19EB-CB4F-A810-22B6E46A0A17}" xr6:coauthVersionLast="47" xr6:coauthVersionMax="47" xr10:uidLastSave="{00000000-0000-0000-0000-000000000000}"/>
  <bookViews>
    <workbookView xWindow="0" yWindow="500" windowWidth="28800" windowHeight="16020" activeTab="2" xr2:uid="{00000000-000D-0000-FFFF-FFFF00000000}"/>
  </bookViews>
  <sheets>
    <sheet name="Overview" sheetId="3" r:id="rId1"/>
    <sheet name="Main Table" sheetId="1" r:id="rId2"/>
    <sheet name="Sources" sheetId="2" r:id="rId3"/>
    <sheet name="Banking Crises" sheetId="4" r:id="rId4"/>
  </sheets>
  <definedNames>
    <definedName name="_xlnm._FilterDatabase" localSheetId="1" hidden="1">'Main Table'!$A$3:$W$343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45" i="1" l="1"/>
  <c r="O346" i="1"/>
  <c r="N346" i="1"/>
  <c r="M346" i="1"/>
  <c r="J347" i="1"/>
  <c r="D346" i="1" l="1"/>
  <c r="A346" i="1" s="1"/>
  <c r="K346" i="1"/>
  <c r="R74" i="1"/>
  <c r="T74" i="1"/>
  <c r="S74" i="1"/>
  <c r="H347" i="1" l="1"/>
  <c r="O347" i="1"/>
  <c r="K347" i="1"/>
  <c r="I347" i="1"/>
  <c r="N347" i="1"/>
  <c r="M347" i="1"/>
  <c r="L347" i="1"/>
  <c r="G347" i="1"/>
  <c r="L346" i="1"/>
  <c r="J346" i="1"/>
  <c r="I346" i="1"/>
  <c r="H346" i="1"/>
  <c r="G346" i="1"/>
  <c r="H345" i="1"/>
  <c r="I345" i="1"/>
  <c r="J345" i="1"/>
  <c r="K345" i="1"/>
  <c r="L345" i="1"/>
  <c r="M345" i="1"/>
  <c r="N345" i="1"/>
  <c r="O345" i="1"/>
  <c r="G345" i="1"/>
  <c r="R273" i="1"/>
  <c r="R281" i="1"/>
  <c r="R202" i="1"/>
  <c r="R127" i="1"/>
  <c r="R124" i="1"/>
  <c r="R98" i="1"/>
  <c r="S273" i="1"/>
  <c r="T273" i="1"/>
  <c r="S281" i="1"/>
  <c r="T281" i="1"/>
  <c r="S202" i="1"/>
  <c r="T202" i="1"/>
  <c r="S127" i="1"/>
  <c r="T127" i="1"/>
  <c r="S124" i="1"/>
  <c r="T124" i="1"/>
  <c r="S98" i="1"/>
  <c r="T98" i="1"/>
  <c r="A345" i="1" l="1"/>
  <c r="T287" i="1"/>
  <c r="S287" i="1"/>
  <c r="R287" i="1"/>
  <c r="S317" i="1"/>
  <c r="R4" i="1"/>
  <c r="R6" i="1"/>
  <c r="R7" i="1"/>
  <c r="R8" i="1"/>
  <c r="R9" i="1"/>
  <c r="R10" i="1"/>
  <c r="R11" i="1"/>
  <c r="R12" i="1"/>
  <c r="R13" i="1"/>
  <c r="R14" i="1"/>
  <c r="R15" i="1"/>
  <c r="R16" i="1"/>
  <c r="R17" i="1"/>
  <c r="R18" i="1"/>
  <c r="R19" i="1"/>
  <c r="R20" i="1"/>
  <c r="R21" i="1"/>
  <c r="R22" i="1"/>
  <c r="R23" i="1"/>
  <c r="R24" i="1"/>
  <c r="R25" i="1"/>
  <c r="R26" i="1"/>
  <c r="R27" i="1"/>
  <c r="R28" i="1"/>
  <c r="R29" i="1"/>
  <c r="R30" i="1"/>
  <c r="R146" i="1"/>
  <c r="R32" i="1"/>
  <c r="R34" i="1"/>
  <c r="R38" i="1"/>
  <c r="R39" i="1"/>
  <c r="R40" i="1"/>
  <c r="R41" i="1"/>
  <c r="R43" i="1"/>
  <c r="R44" i="1"/>
  <c r="R45" i="1"/>
  <c r="R46" i="1"/>
  <c r="R47" i="1"/>
  <c r="R48" i="1"/>
  <c r="R49" i="1"/>
  <c r="R50" i="1"/>
  <c r="R51" i="1"/>
  <c r="R52" i="1"/>
  <c r="R53" i="1"/>
  <c r="R54" i="1"/>
  <c r="R55" i="1"/>
  <c r="R56" i="1"/>
  <c r="R57" i="1"/>
  <c r="R58" i="1"/>
  <c r="R59" i="1"/>
  <c r="R60" i="1"/>
  <c r="R61" i="1"/>
  <c r="R63" i="1"/>
  <c r="R64" i="1"/>
  <c r="R65" i="1"/>
  <c r="R66" i="1"/>
  <c r="R67" i="1"/>
  <c r="R68" i="1"/>
  <c r="R69" i="1"/>
  <c r="R70" i="1"/>
  <c r="R71" i="1"/>
  <c r="R72" i="1"/>
  <c r="R73" i="1"/>
  <c r="R75" i="1"/>
  <c r="R76" i="1"/>
  <c r="R77" i="1"/>
  <c r="R78" i="1"/>
  <c r="R79" i="1"/>
  <c r="R80" i="1"/>
  <c r="R81" i="1"/>
  <c r="R82" i="1"/>
  <c r="R83" i="1"/>
  <c r="R84" i="1"/>
  <c r="R85" i="1"/>
  <c r="R86" i="1"/>
  <c r="R87" i="1"/>
  <c r="R88" i="1"/>
  <c r="R89" i="1"/>
  <c r="R90" i="1"/>
  <c r="R91" i="1"/>
  <c r="R92" i="1"/>
  <c r="R93" i="1"/>
  <c r="R94" i="1"/>
  <c r="R95" i="1"/>
  <c r="R96" i="1"/>
  <c r="R97" i="1"/>
  <c r="R99" i="1"/>
  <c r="R101" i="1"/>
  <c r="R102" i="1"/>
  <c r="R103" i="1"/>
  <c r="R104" i="1"/>
  <c r="R105" i="1"/>
  <c r="R106" i="1"/>
  <c r="R107" i="1"/>
  <c r="R108" i="1"/>
  <c r="R109" i="1"/>
  <c r="R110" i="1"/>
  <c r="R111" i="1"/>
  <c r="R100" i="1"/>
  <c r="R229" i="1"/>
  <c r="R230" i="1"/>
  <c r="R112" i="1"/>
  <c r="R114" i="1"/>
  <c r="R115" i="1"/>
  <c r="R116" i="1"/>
  <c r="R117" i="1"/>
  <c r="R118" i="1"/>
  <c r="R141" i="1"/>
  <c r="R119" i="1"/>
  <c r="R120" i="1"/>
  <c r="R121" i="1"/>
  <c r="R122" i="1"/>
  <c r="R123" i="1"/>
  <c r="R125" i="1"/>
  <c r="R126" i="1"/>
  <c r="R128" i="1"/>
  <c r="R129" i="1"/>
  <c r="R130" i="1"/>
  <c r="R131" i="1"/>
  <c r="R132" i="1"/>
  <c r="R133" i="1"/>
  <c r="R134" i="1"/>
  <c r="R135" i="1"/>
  <c r="R136" i="1"/>
  <c r="R137" i="1"/>
  <c r="R138" i="1"/>
  <c r="R139" i="1"/>
  <c r="R140" i="1"/>
  <c r="R142" i="1"/>
  <c r="R143" i="1"/>
  <c r="R144" i="1"/>
  <c r="R145" i="1"/>
  <c r="R147" i="1"/>
  <c r="R148" i="1"/>
  <c r="R151" i="1"/>
  <c r="R153" i="1"/>
  <c r="R154" i="1"/>
  <c r="R155" i="1"/>
  <c r="R156" i="1"/>
  <c r="R157" i="1"/>
  <c r="R158" i="1"/>
  <c r="R160" i="1"/>
  <c r="R162" i="1"/>
  <c r="R163" i="1"/>
  <c r="R166" i="1"/>
  <c r="R167" i="1"/>
  <c r="R168" i="1"/>
  <c r="R169" i="1"/>
  <c r="R170" i="1"/>
  <c r="R171" i="1"/>
  <c r="R172" i="1"/>
  <c r="R173" i="1"/>
  <c r="R174" i="1"/>
  <c r="R175" i="1"/>
  <c r="R176" i="1"/>
  <c r="R177" i="1"/>
  <c r="R178" i="1"/>
  <c r="R180" i="1"/>
  <c r="R181" i="1"/>
  <c r="R182" i="1"/>
  <c r="R183" i="1"/>
  <c r="R184" i="1"/>
  <c r="R186" i="1"/>
  <c r="R187" i="1"/>
  <c r="R188" i="1"/>
  <c r="R189" i="1"/>
  <c r="R190" i="1"/>
  <c r="R191" i="1"/>
  <c r="R192" i="1"/>
  <c r="R193" i="1"/>
  <c r="R194" i="1"/>
  <c r="R195" i="1"/>
  <c r="R200" i="1"/>
  <c r="R203" i="1"/>
  <c r="R204" i="1"/>
  <c r="R205" i="1"/>
  <c r="R207" i="1"/>
  <c r="R208" i="1"/>
  <c r="R206" i="1"/>
  <c r="R201" i="1"/>
  <c r="R209" i="1"/>
  <c r="R210" i="1"/>
  <c r="R196" i="1"/>
  <c r="R197" i="1"/>
  <c r="R211" i="1"/>
  <c r="R212" i="1"/>
  <c r="R213" i="1"/>
  <c r="R214" i="1"/>
  <c r="R215" i="1"/>
  <c r="R216" i="1"/>
  <c r="R217" i="1"/>
  <c r="R218" i="1"/>
  <c r="R219" i="1"/>
  <c r="R221" i="1"/>
  <c r="R278" i="1"/>
  <c r="R293" i="1"/>
  <c r="R222" i="1"/>
  <c r="R223" i="1"/>
  <c r="R224" i="1"/>
  <c r="R225" i="1"/>
  <c r="R227" i="1"/>
  <c r="R228"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4" i="1"/>
  <c r="R275" i="1"/>
  <c r="R276" i="1"/>
  <c r="R277" i="1"/>
  <c r="R279" i="1"/>
  <c r="R280" i="1"/>
  <c r="R282" i="1"/>
  <c r="R283" i="1"/>
  <c r="R284" i="1"/>
  <c r="R286" i="1"/>
  <c r="R288" i="1"/>
  <c r="R289" i="1"/>
  <c r="R290" i="1"/>
  <c r="R291" i="1"/>
  <c r="R292" i="1"/>
  <c r="R294" i="1"/>
  <c r="R295" i="1"/>
  <c r="R296" i="1"/>
  <c r="R297" i="1"/>
  <c r="R298" i="1"/>
  <c r="R299" i="1"/>
  <c r="R300" i="1"/>
  <c r="R301" i="1"/>
  <c r="R302" i="1"/>
  <c r="R303" i="1"/>
  <c r="R304" i="1"/>
  <c r="R305" i="1"/>
  <c r="R306" i="1"/>
  <c r="R307" i="1"/>
  <c r="R308" i="1"/>
  <c r="R309" i="1"/>
  <c r="R310" i="1"/>
  <c r="R312" i="1"/>
  <c r="R313" i="1"/>
  <c r="R314" i="1"/>
  <c r="R315" i="1"/>
  <c r="R318" i="1"/>
  <c r="R319" i="1"/>
  <c r="R320" i="1"/>
  <c r="R321" i="1"/>
  <c r="R322" i="1"/>
  <c r="R323" i="1"/>
  <c r="R324" i="1"/>
  <c r="R325" i="1"/>
  <c r="R326" i="1"/>
  <c r="R327" i="1"/>
  <c r="R329" i="1"/>
  <c r="R330" i="1"/>
  <c r="R333" i="1"/>
  <c r="R334" i="1"/>
  <c r="R335" i="1"/>
  <c r="R331" i="1"/>
  <c r="R336" i="1"/>
  <c r="R337" i="1"/>
  <c r="R338" i="1"/>
  <c r="R339" i="1"/>
  <c r="R340" i="1"/>
  <c r="R341" i="1"/>
  <c r="R342" i="1"/>
  <c r="R343" i="1"/>
  <c r="R5" i="1"/>
  <c r="S4" i="1"/>
  <c r="T4" i="1"/>
  <c r="S6" i="1"/>
  <c r="T6" i="1"/>
  <c r="S7" i="1"/>
  <c r="T7" i="1"/>
  <c r="S8" i="1"/>
  <c r="T8" i="1"/>
  <c r="S9" i="1"/>
  <c r="T9" i="1"/>
  <c r="S10" i="1"/>
  <c r="T10" i="1"/>
  <c r="S11" i="1"/>
  <c r="T11" i="1"/>
  <c r="S12" i="1"/>
  <c r="T12" i="1"/>
  <c r="S13" i="1"/>
  <c r="T13" i="1"/>
  <c r="S14" i="1"/>
  <c r="T14" i="1"/>
  <c r="S15" i="1"/>
  <c r="T15" i="1"/>
  <c r="S16" i="1"/>
  <c r="T16" i="1"/>
  <c r="S17" i="1"/>
  <c r="T17" i="1"/>
  <c r="S18" i="1"/>
  <c r="T18" i="1"/>
  <c r="S19" i="1"/>
  <c r="T19" i="1"/>
  <c r="S20" i="1"/>
  <c r="T20" i="1"/>
  <c r="S21" i="1"/>
  <c r="T21" i="1"/>
  <c r="S22" i="1"/>
  <c r="T22" i="1"/>
  <c r="S23" i="1"/>
  <c r="T23" i="1"/>
  <c r="S24" i="1"/>
  <c r="T24" i="1"/>
  <c r="S25" i="1"/>
  <c r="T25" i="1"/>
  <c r="S26" i="1"/>
  <c r="T26" i="1"/>
  <c r="S27" i="1"/>
  <c r="T27" i="1"/>
  <c r="S28" i="1"/>
  <c r="T28" i="1"/>
  <c r="S29" i="1"/>
  <c r="T29" i="1"/>
  <c r="S30" i="1"/>
  <c r="T30" i="1"/>
  <c r="S31" i="1"/>
  <c r="T31" i="1"/>
  <c r="S146" i="1"/>
  <c r="T146" i="1"/>
  <c r="S32" i="1"/>
  <c r="T32" i="1"/>
  <c r="S33" i="1"/>
  <c r="T33" i="1"/>
  <c r="S34" i="1"/>
  <c r="T34" i="1"/>
  <c r="S35" i="1"/>
  <c r="T35" i="1"/>
  <c r="S36" i="1"/>
  <c r="T36" i="1"/>
  <c r="S37" i="1"/>
  <c r="T37" i="1"/>
  <c r="S38" i="1"/>
  <c r="T38" i="1"/>
  <c r="S39" i="1"/>
  <c r="T39" i="1"/>
  <c r="S40" i="1"/>
  <c r="T40" i="1"/>
  <c r="S41" i="1"/>
  <c r="T41" i="1"/>
  <c r="S42" i="1"/>
  <c r="T42" i="1"/>
  <c r="S43" i="1"/>
  <c r="T43" i="1"/>
  <c r="S44" i="1"/>
  <c r="T44" i="1"/>
  <c r="S45" i="1"/>
  <c r="T45" i="1"/>
  <c r="S46" i="1"/>
  <c r="T46" i="1"/>
  <c r="S47" i="1"/>
  <c r="T47" i="1"/>
  <c r="S48" i="1"/>
  <c r="T48" i="1"/>
  <c r="S49" i="1"/>
  <c r="T49" i="1"/>
  <c r="S50" i="1"/>
  <c r="T50" i="1"/>
  <c r="S51" i="1"/>
  <c r="T51" i="1"/>
  <c r="S52" i="1"/>
  <c r="T52" i="1"/>
  <c r="S53" i="1"/>
  <c r="T53" i="1"/>
  <c r="S54" i="1"/>
  <c r="T54" i="1"/>
  <c r="S55" i="1"/>
  <c r="T55" i="1"/>
  <c r="S56" i="1"/>
  <c r="T56" i="1"/>
  <c r="S57" i="1"/>
  <c r="T57" i="1"/>
  <c r="S58" i="1"/>
  <c r="T58" i="1"/>
  <c r="S59" i="1"/>
  <c r="T59" i="1"/>
  <c r="S60" i="1"/>
  <c r="T60" i="1"/>
  <c r="S61" i="1"/>
  <c r="T61" i="1"/>
  <c r="S62" i="1"/>
  <c r="T62" i="1"/>
  <c r="S63" i="1"/>
  <c r="T63" i="1"/>
  <c r="S64" i="1"/>
  <c r="T64" i="1"/>
  <c r="S65" i="1"/>
  <c r="T65" i="1"/>
  <c r="S66" i="1"/>
  <c r="T66" i="1"/>
  <c r="S67" i="1"/>
  <c r="T67" i="1"/>
  <c r="S68" i="1"/>
  <c r="T68" i="1"/>
  <c r="S69" i="1"/>
  <c r="T69" i="1"/>
  <c r="S70" i="1"/>
  <c r="T70" i="1"/>
  <c r="S71" i="1"/>
  <c r="T71" i="1"/>
  <c r="S72" i="1"/>
  <c r="T72" i="1"/>
  <c r="S73" i="1"/>
  <c r="T73" i="1"/>
  <c r="S75" i="1"/>
  <c r="T75" i="1"/>
  <c r="S76" i="1"/>
  <c r="T76" i="1"/>
  <c r="S77" i="1"/>
  <c r="T77" i="1"/>
  <c r="S78" i="1"/>
  <c r="T78" i="1"/>
  <c r="S79" i="1"/>
  <c r="T79" i="1"/>
  <c r="S80" i="1"/>
  <c r="T80" i="1"/>
  <c r="S81" i="1"/>
  <c r="T81" i="1"/>
  <c r="S82" i="1"/>
  <c r="T82" i="1"/>
  <c r="S83" i="1"/>
  <c r="T83" i="1"/>
  <c r="S84" i="1"/>
  <c r="T84" i="1"/>
  <c r="S85" i="1"/>
  <c r="T85" i="1"/>
  <c r="S86" i="1"/>
  <c r="T86" i="1"/>
  <c r="S87" i="1"/>
  <c r="T87" i="1"/>
  <c r="S88" i="1"/>
  <c r="T88" i="1"/>
  <c r="S89" i="1"/>
  <c r="T89" i="1"/>
  <c r="S90" i="1"/>
  <c r="T90" i="1"/>
  <c r="S91" i="1"/>
  <c r="T91" i="1"/>
  <c r="S92" i="1"/>
  <c r="T92" i="1"/>
  <c r="S93" i="1"/>
  <c r="T93" i="1"/>
  <c r="S94" i="1"/>
  <c r="T94" i="1"/>
  <c r="S95" i="1"/>
  <c r="T95" i="1"/>
  <c r="S96" i="1"/>
  <c r="T96" i="1"/>
  <c r="S97" i="1"/>
  <c r="T97" i="1"/>
  <c r="S99" i="1"/>
  <c r="T99" i="1"/>
  <c r="S101" i="1"/>
  <c r="T101" i="1"/>
  <c r="S102" i="1"/>
  <c r="T102" i="1"/>
  <c r="S103" i="1"/>
  <c r="T103" i="1"/>
  <c r="S104" i="1"/>
  <c r="T104" i="1"/>
  <c r="S105" i="1"/>
  <c r="T105" i="1"/>
  <c r="S106" i="1"/>
  <c r="T106" i="1"/>
  <c r="S107" i="1"/>
  <c r="T107" i="1"/>
  <c r="S108" i="1"/>
  <c r="T108" i="1"/>
  <c r="S109" i="1"/>
  <c r="T109" i="1"/>
  <c r="S110" i="1"/>
  <c r="T110" i="1"/>
  <c r="S111" i="1"/>
  <c r="T111" i="1"/>
  <c r="S100" i="1"/>
  <c r="T100" i="1"/>
  <c r="S229" i="1"/>
  <c r="T229" i="1"/>
  <c r="S230" i="1"/>
  <c r="T230" i="1"/>
  <c r="S112" i="1"/>
  <c r="T112" i="1"/>
  <c r="S113" i="1"/>
  <c r="T113" i="1"/>
  <c r="S114" i="1"/>
  <c r="T114" i="1"/>
  <c r="S115" i="1"/>
  <c r="T115" i="1"/>
  <c r="S116" i="1"/>
  <c r="T116" i="1"/>
  <c r="S117" i="1"/>
  <c r="T117" i="1"/>
  <c r="S118" i="1"/>
  <c r="T118" i="1"/>
  <c r="S141" i="1"/>
  <c r="T141" i="1"/>
  <c r="S119" i="1"/>
  <c r="T119" i="1"/>
  <c r="S120" i="1"/>
  <c r="T120" i="1"/>
  <c r="S121" i="1"/>
  <c r="T121" i="1"/>
  <c r="S122" i="1"/>
  <c r="T122" i="1"/>
  <c r="S123" i="1"/>
  <c r="T123" i="1"/>
  <c r="S125" i="1"/>
  <c r="T125" i="1"/>
  <c r="S126" i="1"/>
  <c r="T126" i="1"/>
  <c r="S128" i="1"/>
  <c r="T128" i="1"/>
  <c r="S129" i="1"/>
  <c r="T129" i="1"/>
  <c r="S130" i="1"/>
  <c r="T130" i="1"/>
  <c r="S131" i="1"/>
  <c r="T131" i="1"/>
  <c r="S132" i="1"/>
  <c r="T132" i="1"/>
  <c r="S133" i="1"/>
  <c r="T133" i="1"/>
  <c r="S134" i="1"/>
  <c r="T134" i="1"/>
  <c r="S135" i="1"/>
  <c r="T135" i="1"/>
  <c r="S136" i="1"/>
  <c r="T136" i="1"/>
  <c r="S137" i="1"/>
  <c r="T137" i="1"/>
  <c r="S138" i="1"/>
  <c r="T138" i="1"/>
  <c r="S139" i="1"/>
  <c r="T139" i="1"/>
  <c r="S140" i="1"/>
  <c r="T140" i="1"/>
  <c r="S142" i="1"/>
  <c r="T142" i="1"/>
  <c r="S143" i="1"/>
  <c r="T143" i="1"/>
  <c r="S144" i="1"/>
  <c r="T144" i="1"/>
  <c r="S145" i="1"/>
  <c r="T145" i="1"/>
  <c r="S147" i="1"/>
  <c r="T147" i="1"/>
  <c r="S148" i="1"/>
  <c r="T148" i="1"/>
  <c r="S149" i="1"/>
  <c r="T149" i="1"/>
  <c r="S150" i="1"/>
  <c r="T150" i="1"/>
  <c r="S151" i="1"/>
  <c r="T151" i="1"/>
  <c r="S152" i="1"/>
  <c r="T152" i="1"/>
  <c r="S153" i="1"/>
  <c r="T153" i="1"/>
  <c r="S154" i="1"/>
  <c r="T154" i="1"/>
  <c r="S155" i="1"/>
  <c r="T155" i="1"/>
  <c r="S156" i="1"/>
  <c r="T156" i="1"/>
  <c r="S157" i="1"/>
  <c r="T157" i="1"/>
  <c r="S158" i="1"/>
  <c r="T158" i="1"/>
  <c r="S159" i="1"/>
  <c r="T159" i="1"/>
  <c r="S160" i="1"/>
  <c r="T160" i="1"/>
  <c r="S161" i="1"/>
  <c r="T161" i="1"/>
  <c r="S162" i="1"/>
  <c r="T162" i="1"/>
  <c r="S163" i="1"/>
  <c r="T163" i="1"/>
  <c r="S164" i="1"/>
  <c r="T164" i="1"/>
  <c r="S165" i="1"/>
  <c r="T165" i="1"/>
  <c r="S166" i="1"/>
  <c r="T166" i="1"/>
  <c r="S167" i="1"/>
  <c r="T167" i="1"/>
  <c r="S168" i="1"/>
  <c r="T168" i="1"/>
  <c r="S169" i="1"/>
  <c r="T169" i="1"/>
  <c r="S170" i="1"/>
  <c r="T170" i="1"/>
  <c r="S171" i="1"/>
  <c r="T171" i="1"/>
  <c r="S172" i="1"/>
  <c r="T172" i="1"/>
  <c r="S173" i="1"/>
  <c r="T173" i="1"/>
  <c r="S174" i="1"/>
  <c r="T174" i="1"/>
  <c r="S175" i="1"/>
  <c r="T175" i="1"/>
  <c r="S176" i="1"/>
  <c r="T176" i="1"/>
  <c r="S177" i="1"/>
  <c r="T177" i="1"/>
  <c r="S178" i="1"/>
  <c r="T178" i="1"/>
  <c r="S179" i="1"/>
  <c r="T179" i="1"/>
  <c r="S180" i="1"/>
  <c r="T180" i="1"/>
  <c r="S181" i="1"/>
  <c r="T181" i="1"/>
  <c r="S182" i="1"/>
  <c r="T182" i="1"/>
  <c r="S183" i="1"/>
  <c r="T183" i="1"/>
  <c r="S184" i="1"/>
  <c r="T184" i="1"/>
  <c r="S185" i="1"/>
  <c r="T185" i="1"/>
  <c r="S186" i="1"/>
  <c r="T186" i="1"/>
  <c r="S187" i="1"/>
  <c r="T187" i="1"/>
  <c r="S188" i="1"/>
  <c r="T188" i="1"/>
  <c r="S189" i="1"/>
  <c r="T189" i="1"/>
  <c r="S190" i="1"/>
  <c r="T190" i="1"/>
  <c r="S191" i="1"/>
  <c r="T191" i="1"/>
  <c r="S192" i="1"/>
  <c r="T192" i="1"/>
  <c r="S193" i="1"/>
  <c r="T193" i="1"/>
  <c r="S194" i="1"/>
  <c r="T194" i="1"/>
  <c r="S195" i="1"/>
  <c r="T195" i="1"/>
  <c r="S200" i="1"/>
  <c r="T200" i="1"/>
  <c r="S203" i="1"/>
  <c r="T203" i="1"/>
  <c r="S204" i="1"/>
  <c r="T204" i="1"/>
  <c r="S205" i="1"/>
  <c r="T205" i="1"/>
  <c r="S207" i="1"/>
  <c r="T207" i="1"/>
  <c r="S208" i="1"/>
  <c r="T208" i="1"/>
  <c r="S206" i="1"/>
  <c r="T206" i="1"/>
  <c r="S201" i="1"/>
  <c r="T201" i="1"/>
  <c r="S209" i="1"/>
  <c r="T209" i="1"/>
  <c r="S210" i="1"/>
  <c r="T210" i="1"/>
  <c r="S196" i="1"/>
  <c r="T196" i="1"/>
  <c r="S197" i="1"/>
  <c r="T197" i="1"/>
  <c r="S198" i="1"/>
  <c r="T198" i="1"/>
  <c r="S199" i="1"/>
  <c r="T199" i="1"/>
  <c r="S211" i="1"/>
  <c r="T211" i="1"/>
  <c r="S212" i="1"/>
  <c r="T212" i="1"/>
  <c r="S213" i="1"/>
  <c r="T213" i="1"/>
  <c r="S214" i="1"/>
  <c r="T214" i="1"/>
  <c r="S215" i="1"/>
  <c r="T215" i="1"/>
  <c r="S216" i="1"/>
  <c r="T216" i="1"/>
  <c r="S217" i="1"/>
  <c r="T217" i="1"/>
  <c r="S218" i="1"/>
  <c r="T218" i="1"/>
  <c r="S219" i="1"/>
  <c r="T219" i="1"/>
  <c r="S220" i="1"/>
  <c r="T220" i="1"/>
  <c r="S221" i="1"/>
  <c r="T221" i="1"/>
  <c r="S278" i="1"/>
  <c r="T278" i="1"/>
  <c r="S293" i="1"/>
  <c r="T293" i="1"/>
  <c r="S222" i="1"/>
  <c r="T222" i="1"/>
  <c r="S223" i="1"/>
  <c r="T223" i="1"/>
  <c r="S224" i="1"/>
  <c r="T224" i="1"/>
  <c r="S225" i="1"/>
  <c r="T225" i="1"/>
  <c r="S227" i="1"/>
  <c r="T227" i="1"/>
  <c r="S228" i="1"/>
  <c r="T228" i="1"/>
  <c r="S226" i="1"/>
  <c r="T226" i="1"/>
  <c r="S231" i="1"/>
  <c r="T231" i="1"/>
  <c r="S232" i="1"/>
  <c r="T232" i="1"/>
  <c r="S233" i="1"/>
  <c r="T233" i="1"/>
  <c r="S234" i="1"/>
  <c r="T234" i="1"/>
  <c r="S235" i="1"/>
  <c r="T235" i="1"/>
  <c r="S236" i="1"/>
  <c r="T236" i="1"/>
  <c r="S237" i="1"/>
  <c r="T237" i="1"/>
  <c r="S238" i="1"/>
  <c r="T238" i="1"/>
  <c r="S239" i="1"/>
  <c r="T239" i="1"/>
  <c r="S240" i="1"/>
  <c r="T240" i="1"/>
  <c r="S241" i="1"/>
  <c r="T241" i="1"/>
  <c r="S242" i="1"/>
  <c r="T242" i="1"/>
  <c r="S243" i="1"/>
  <c r="T243" i="1"/>
  <c r="S244" i="1"/>
  <c r="T244" i="1"/>
  <c r="S245" i="1"/>
  <c r="T245" i="1"/>
  <c r="S246" i="1"/>
  <c r="T246" i="1"/>
  <c r="S247" i="1"/>
  <c r="T247" i="1"/>
  <c r="S248" i="1"/>
  <c r="T248" i="1"/>
  <c r="S249" i="1"/>
  <c r="T249" i="1"/>
  <c r="S250" i="1"/>
  <c r="T250" i="1"/>
  <c r="S251" i="1"/>
  <c r="T251" i="1"/>
  <c r="S252" i="1"/>
  <c r="T252" i="1"/>
  <c r="S253" i="1"/>
  <c r="T253" i="1"/>
  <c r="S254" i="1"/>
  <c r="T254" i="1"/>
  <c r="S255" i="1"/>
  <c r="T255" i="1"/>
  <c r="S256" i="1"/>
  <c r="T256" i="1"/>
  <c r="S257" i="1"/>
  <c r="T257" i="1"/>
  <c r="S258" i="1"/>
  <c r="T258" i="1"/>
  <c r="S259" i="1"/>
  <c r="T259" i="1"/>
  <c r="S260" i="1"/>
  <c r="T260" i="1"/>
  <c r="S261" i="1"/>
  <c r="T261" i="1"/>
  <c r="S262" i="1"/>
  <c r="T262" i="1"/>
  <c r="S263" i="1"/>
  <c r="T263" i="1"/>
  <c r="S264" i="1"/>
  <c r="T264" i="1"/>
  <c r="S265" i="1"/>
  <c r="T265" i="1"/>
  <c r="S266" i="1"/>
  <c r="T266" i="1"/>
  <c r="S267" i="1"/>
  <c r="T267" i="1"/>
  <c r="S268" i="1"/>
  <c r="T268" i="1"/>
  <c r="S269" i="1"/>
  <c r="T269" i="1"/>
  <c r="S270" i="1"/>
  <c r="T270" i="1"/>
  <c r="S271" i="1"/>
  <c r="T271" i="1"/>
  <c r="S272" i="1"/>
  <c r="T272" i="1"/>
  <c r="S274" i="1"/>
  <c r="T274" i="1"/>
  <c r="S275" i="1"/>
  <c r="T275" i="1"/>
  <c r="S276" i="1"/>
  <c r="T276" i="1"/>
  <c r="S277" i="1"/>
  <c r="T277" i="1"/>
  <c r="S279" i="1"/>
  <c r="T279" i="1"/>
  <c r="S280" i="1"/>
  <c r="T280" i="1"/>
  <c r="S282" i="1"/>
  <c r="T282" i="1"/>
  <c r="S283" i="1"/>
  <c r="T283" i="1"/>
  <c r="S284" i="1"/>
  <c r="T284" i="1"/>
  <c r="S285" i="1"/>
  <c r="T285" i="1"/>
  <c r="S286" i="1"/>
  <c r="T286" i="1"/>
  <c r="S288" i="1"/>
  <c r="T288" i="1"/>
  <c r="S289" i="1"/>
  <c r="T289" i="1"/>
  <c r="S290" i="1"/>
  <c r="T290" i="1"/>
  <c r="S291" i="1"/>
  <c r="T291" i="1"/>
  <c r="S292" i="1"/>
  <c r="T292" i="1"/>
  <c r="S294" i="1"/>
  <c r="T294" i="1"/>
  <c r="S295" i="1"/>
  <c r="T295" i="1"/>
  <c r="S296" i="1"/>
  <c r="T296" i="1"/>
  <c r="S297" i="1"/>
  <c r="T297" i="1"/>
  <c r="S298" i="1"/>
  <c r="T298" i="1"/>
  <c r="S299" i="1"/>
  <c r="T299" i="1"/>
  <c r="S300" i="1"/>
  <c r="T300" i="1"/>
  <c r="S301" i="1"/>
  <c r="T301" i="1"/>
  <c r="S302" i="1"/>
  <c r="T302" i="1"/>
  <c r="S303" i="1"/>
  <c r="T303" i="1"/>
  <c r="S304" i="1"/>
  <c r="T304" i="1"/>
  <c r="S305" i="1"/>
  <c r="T305" i="1"/>
  <c r="S306" i="1"/>
  <c r="T306" i="1"/>
  <c r="S307" i="1"/>
  <c r="T307" i="1"/>
  <c r="S308" i="1"/>
  <c r="T308" i="1"/>
  <c r="S309" i="1"/>
  <c r="T309" i="1"/>
  <c r="S310" i="1"/>
  <c r="T310" i="1"/>
  <c r="S311" i="1"/>
  <c r="T311" i="1"/>
  <c r="S312" i="1"/>
  <c r="T312" i="1"/>
  <c r="S313" i="1"/>
  <c r="T313" i="1"/>
  <c r="S314" i="1"/>
  <c r="T314" i="1"/>
  <c r="S315" i="1"/>
  <c r="T315" i="1"/>
  <c r="S316" i="1"/>
  <c r="T316" i="1"/>
  <c r="T317" i="1"/>
  <c r="S318" i="1"/>
  <c r="T318" i="1"/>
  <c r="S319" i="1"/>
  <c r="T319" i="1"/>
  <c r="S320" i="1"/>
  <c r="T320" i="1"/>
  <c r="S321" i="1"/>
  <c r="T321" i="1"/>
  <c r="S322" i="1"/>
  <c r="T322" i="1"/>
  <c r="S323" i="1"/>
  <c r="T323" i="1"/>
  <c r="S324" i="1"/>
  <c r="T324" i="1"/>
  <c r="S325" i="1"/>
  <c r="T325" i="1"/>
  <c r="S326" i="1"/>
  <c r="T326" i="1"/>
  <c r="S327" i="1"/>
  <c r="T327" i="1"/>
  <c r="S328" i="1"/>
  <c r="T328" i="1"/>
  <c r="S329" i="1"/>
  <c r="T329" i="1"/>
  <c r="S330" i="1"/>
  <c r="T330" i="1"/>
  <c r="S332" i="1"/>
  <c r="T332" i="1"/>
  <c r="S333" i="1"/>
  <c r="T333" i="1"/>
  <c r="S334" i="1"/>
  <c r="T334" i="1"/>
  <c r="S335" i="1"/>
  <c r="T335" i="1"/>
  <c r="S331" i="1"/>
  <c r="T331" i="1"/>
  <c r="S336" i="1"/>
  <c r="T336" i="1"/>
  <c r="S337" i="1"/>
  <c r="T337" i="1"/>
  <c r="S338" i="1"/>
  <c r="T338" i="1"/>
  <c r="S339" i="1"/>
  <c r="T339" i="1"/>
  <c r="S340" i="1"/>
  <c r="T340" i="1"/>
  <c r="S341" i="1"/>
  <c r="T341" i="1"/>
  <c r="S342" i="1"/>
  <c r="T342" i="1"/>
  <c r="S343" i="1"/>
  <c r="T343" i="1"/>
  <c r="R347" i="1" l="1"/>
  <c r="R346" i="1"/>
  <c r="R345" i="1"/>
  <c r="T5" i="1" l="1"/>
  <c r="S5" i="1"/>
</calcChain>
</file>

<file path=xl/sharedStrings.xml><?xml version="1.0" encoding="utf-8"?>
<sst xmlns="http://schemas.openxmlformats.org/spreadsheetml/2006/main" count="1753" uniqueCount="1111">
  <si>
    <t>Nationalisation</t>
  </si>
  <si>
    <t>Liquidation</t>
  </si>
  <si>
    <t>Name of bank</t>
  </si>
  <si>
    <t>Country</t>
  </si>
  <si>
    <t>Bankruptcy</t>
  </si>
  <si>
    <t>Distress event</t>
  </si>
  <si>
    <t>Capital injection</t>
  </si>
  <si>
    <t>State support</t>
  </si>
  <si>
    <t>Asset relief program (asset protection/asset garantees)</t>
  </si>
  <si>
    <t>Private sector support</t>
  </si>
  <si>
    <t>Merger in distress (state aid to parent /merged entity's coverage ratio &lt;0 within 12 months before the merger</t>
  </si>
  <si>
    <t>Austria</t>
  </si>
  <si>
    <t>Belgium</t>
  </si>
  <si>
    <t>Dexia</t>
  </si>
  <si>
    <t>Czech Republic</t>
  </si>
  <si>
    <t>Sources:</t>
  </si>
  <si>
    <t>Beginning</t>
  </si>
  <si>
    <t>End</t>
  </si>
  <si>
    <t>Duration (quarters)</t>
  </si>
  <si>
    <t>Österreichische Volksbanken AG</t>
  </si>
  <si>
    <t>Austria:</t>
  </si>
  <si>
    <t>Year (beginning)</t>
  </si>
  <si>
    <t xml:space="preserve">https://www.bmf.gv.at/en/topics/financial-sector/austrian-financial-market-stability-package/measures-liquidity-interbank-market.html </t>
  </si>
  <si>
    <t>https://www.bmf.gv.at/en/topics/financial-sector/austrian-financial-market-stability-package/measures-stabilising-individual-institutions.html</t>
  </si>
  <si>
    <t>Erste Group Bank AG</t>
  </si>
  <si>
    <t>Notes</t>
  </si>
  <si>
    <t>Kommunalkredit Austria AG/KA Finanz AG</t>
  </si>
  <si>
    <t>Pfandbriefbank Österreich AG</t>
  </si>
  <si>
    <t>Other</t>
  </si>
  <si>
    <t>http://www.hypoverband.at/pdf-files/GB-Pfandbrief-2015.pdf</t>
  </si>
  <si>
    <t>https://www.forbes.com/sites/francescoppola/2015/04/30/the-traumatic-restructuring-of-austrias-cooperative-banking-system/</t>
  </si>
  <si>
    <t>KBC Group N.V.</t>
  </si>
  <si>
    <t>https://www.nbb.be/doc/ts/publications/fsr/fsr2009en.pdf</t>
  </si>
  <si>
    <t>https://www.nbb.be/doc/ts/publications/fsr/fsr_2010_en.pdf</t>
  </si>
  <si>
    <t>https://www.nbb.be/doc/ts/publications/fsr/fsr_2012_en.pdf</t>
  </si>
  <si>
    <t>https://www.nbb.be/doc/ts/publications/fsr/fsr2013.pdf</t>
  </si>
  <si>
    <t>Crédit mutuel</t>
  </si>
  <si>
    <t>BNP Paribas</t>
  </si>
  <si>
    <t>Société générale</t>
  </si>
  <si>
    <t xml:space="preserve">Crédit agricole </t>
  </si>
  <si>
    <t>France</t>
  </si>
  <si>
    <t>http://www.assemblee-nationale.fr/13/budget/plf2010/b1967-tIII-a17.asp</t>
  </si>
  <si>
    <t>https://ec.europa.eu/competition/state_aid/cases/231081/231081_979300_51_2.pdf</t>
  </si>
  <si>
    <t>https://ec.europa.eu/competition/state_aid/cases/231105/231105_954465_23_2.pdf</t>
  </si>
  <si>
    <t>https://www.economie.gouv.fr/files/finances/presse/dossiers_de_presse/090127com-suivi.pdf</t>
  </si>
  <si>
    <t>https://www.senat.fr/commission/fin/pjlf2010/articles/54/540.html</t>
  </si>
  <si>
    <t>https://ec.europa.eu/commission/presscorner/detail/en/IP_11_389</t>
  </si>
  <si>
    <t>https://www.reuters.com/article/financial-austria-constantia-idUSLH27432620081017</t>
  </si>
  <si>
    <t>https://ec.europa.eu/competition/state_aid/cases/228278/228278_1003834_60_1.pdf</t>
  </si>
  <si>
    <t>Adoption State guarantee scheme, enforcement (EUR 400m)/takeover by 5 banks</t>
  </si>
  <si>
    <t>Recapitalisation announcement/enforcement (EUR 3.5bn in October and 3.5bn in January)</t>
  </si>
  <si>
    <t>https://ec.europa.eu/competition/state_aid/cases/232156/232156_1079006_91_1.pdf</t>
  </si>
  <si>
    <t>Denmark</t>
  </si>
  <si>
    <t>bankTrelleborg</t>
  </si>
  <si>
    <t>Annoncement acquisition by Sydbank/enforcement</t>
  </si>
  <si>
    <t>Roskilde Bank</t>
  </si>
  <si>
    <t>Forstædernes Bank</t>
  </si>
  <si>
    <t xml:space="preserve">Lokalbanken i Nordsjælland </t>
  </si>
  <si>
    <t>Recommended tender offer by Nykredit/acquisition</t>
  </si>
  <si>
    <t>Recommended tender offer by Svenska Handelsbanken/acquisition</t>
  </si>
  <si>
    <t>EBH Bank</t>
  </si>
  <si>
    <t>Bonusbanken</t>
  </si>
  <si>
    <t>Announcement acquisition Bonusbanken by VestjyskBANK/enforcement</t>
  </si>
  <si>
    <t xml:space="preserve">Ringkjøbing Bank </t>
  </si>
  <si>
    <t>IPO/Purchase/Liquidity Providing</t>
  </si>
  <si>
    <t>Announcement merger with VestjyskBANK (Ringkjøbing Bank was experiencing financial difficulties)/enforcement</t>
  </si>
  <si>
    <t xml:space="preserve">Amagerbanken </t>
  </si>
  <si>
    <t>https://ec.europa.eu/commission/presscorner/detail/en/IP_11_676</t>
  </si>
  <si>
    <t>Announcement takeover by Morsø Bank/enforcement</t>
  </si>
  <si>
    <t>https://ec.europa.eu/competition/state_aid/cases/231113/231113_966383_27_1.pdf</t>
  </si>
  <si>
    <t>https://ec.europa.eu/competition/state_aid/cases/240879/240879_1252449_59_2.pdf</t>
  </si>
  <si>
    <t xml:space="preserve">Løkken Sparekasse </t>
  </si>
  <si>
    <t>Gudme Raaschou Bank</t>
  </si>
  <si>
    <t xml:space="preserve">Capinordic Bank </t>
  </si>
  <si>
    <t xml:space="preserve">Skælskør Bank </t>
  </si>
  <si>
    <t>Eik Banki/Eik Bank Danmark</t>
  </si>
  <si>
    <t>Sparekassen Spar Mors</t>
  </si>
  <si>
    <t>Morsø Bank</t>
  </si>
  <si>
    <t>Morsø Bank considered as the 6th most dangerous financial institution in Denmark/merger with Morsø Sparekasse (name: Fjordbank Mors)</t>
  </si>
  <si>
    <t xml:space="preserve">Fjordbank Mors </t>
  </si>
  <si>
    <t>Adoption State guarantee scheme (Bank package I)/activities transfer to Financial Stability Company for liquidation</t>
  </si>
  <si>
    <t>Max Bank</t>
  </si>
  <si>
    <t xml:space="preserve">Aarhus Lokalbank </t>
  </si>
  <si>
    <t>Adoption State guarantee scheme (Bank package IV)/merger with Vestjysk Bank, prolongation of individual governement guarantee</t>
  </si>
  <si>
    <t xml:space="preserve">Sparekassen Østjylland </t>
  </si>
  <si>
    <t xml:space="preserve">Spar Salling Sparekasse </t>
  </si>
  <si>
    <t>Financial Stability Company review of exposure/default, activity transferred to Den Jyske Sparekasse</t>
  </si>
  <si>
    <t xml:space="preserve">Tønder Bank </t>
  </si>
  <si>
    <t xml:space="preserve">Sparekassen Lolland </t>
  </si>
  <si>
    <t>Equity loss, bank filled for bankruptcy/activities transfer to Sydbank</t>
  </si>
  <si>
    <t>Bank failed to meet solvency requirement/acquisition by Jyske Bank</t>
  </si>
  <si>
    <t xml:space="preserve">Alm. Brand Bank A/S </t>
  </si>
  <si>
    <t xml:space="preserve">Den Jyske Sparekasse </t>
  </si>
  <si>
    <t xml:space="preserve">FIH Erhvervsbank A/S </t>
  </si>
  <si>
    <t xml:space="preserve">Spar Nord Bank A/S </t>
  </si>
  <si>
    <t xml:space="preserve">Sparekassen Vendsyssel </t>
  </si>
  <si>
    <t xml:space="preserve">Vestjysk Bank A/S </t>
  </si>
  <si>
    <t xml:space="preserve">Danske Bank </t>
  </si>
  <si>
    <t>https://www.danskebank.com/en-uk/ProdServ/Institutional/financial-institutions/FI-newsletter/Documents/Bank%20Package%20II.pdf</t>
  </si>
  <si>
    <t>https://www.fs.dk/media/1814/fs_uk_aar2012.pdf</t>
  </si>
  <si>
    <t>Adoption State guarantee and recapitalisation scheme (Bank package II)/execution by the end of the year</t>
  </si>
  <si>
    <t>https://www.nationalbanken.dk/da/publikationer/Documents/2015/11/DN_WP_99_2015.pdf</t>
  </si>
  <si>
    <t>Adoption State guarantee and recapitalisation scheme (Bank package II)/execution</t>
  </si>
  <si>
    <t>Adoption State guarantee and recapitalisation scheme (Bank package II)/execution by the end of the year (precise date unknown)</t>
  </si>
  <si>
    <t>Kaupthing Bank h.f.</t>
  </si>
  <si>
    <t>Finland</t>
  </si>
  <si>
    <t>https://ec.europa.eu/competition/state_aid/cases/229194/229194_1154013_14_2.pdf</t>
  </si>
  <si>
    <t>https://ypfsresourcelibrary.blob.core.windows.net/fcic/YPFS/Engbith%20Guarantee%20Scheme%20for%20Banks'%20Funding%20in%20Finland%20(FN%20GFC)%20200-03-17_Preliminary_Draft.pdf</t>
  </si>
  <si>
    <t xml:space="preserve">Banque Fédérale des Banques Populaires </t>
  </si>
  <si>
    <t xml:space="preserve">Caisse Nationale des Caisses d’épargne </t>
  </si>
  <si>
    <t>https://ec.europa.eu/competition/state_aid/cases/231081/231081_1014474_46_1.pdf</t>
  </si>
  <si>
    <t>Creation guarantee scheme (Société de financement de l'économie française (emergency loans) + société de prise de participation de l'État in December (recapitalisation))/Emergency loans granted by SFEF (recapitalisation : first tranche in December, second tranche in January)</t>
  </si>
  <si>
    <t>Banque PSA Finance</t>
  </si>
  <si>
    <t xml:space="preserve">Caisse centrale du Crédit Immobilier de France – 3CIF </t>
  </si>
  <si>
    <t>GE Capital SAS</t>
  </si>
  <si>
    <t>Groupe RCI Banque</t>
  </si>
  <si>
    <t>Laser Cofinoga</t>
  </si>
  <si>
    <t>S2P - Société des Paiements Pass</t>
  </si>
  <si>
    <t>VFS France</t>
  </si>
  <si>
    <t>Creation Société de financement de l'économie française (emergency loans)/Emergency loans granted by SFEF</t>
  </si>
  <si>
    <t>Aareal Bank AG</t>
  </si>
  <si>
    <t>Germany</t>
  </si>
  <si>
    <t>Commerzbank</t>
  </si>
  <si>
    <t>HSH Nordbank</t>
  </si>
  <si>
    <t>Creation guarantee scheme/enforcement</t>
  </si>
  <si>
    <t xml:space="preserve">Sicherungseinrichtungsgesellschaft deutscher Banken (SdB) </t>
  </si>
  <si>
    <t>https://ec.europa.eu/commission/presscorner/detail/en/MEMO_08_363</t>
  </si>
  <si>
    <t>https://ec.europa.eu/competition/state_aid/cases/228946/228946_987690_26_1.pdf</t>
  </si>
  <si>
    <t>https://ec.europa.eu/competition/state_aid/cases/224576/224576_851758_83_1.pdf</t>
  </si>
  <si>
    <t>Creation guarantee scheme/enforcement capitalisation decision</t>
  </si>
  <si>
    <t>https://www.aareal-bank.com/en/media-portal/newsroom/press-information/press-information/article/aareal-bank-aareal-holding-and-soffin-conclude-definite-agreements/</t>
  </si>
  <si>
    <t>https://ec.europa.eu/competition/publications/cpn/2009_2_18.pdf</t>
  </si>
  <si>
    <t>https://eur-lex.europa.eu/legal-content/EN/TXT/?uri=uriserv%3AOJ.L_.2013.148.01.0001.01.ENG&amp;toc=OJ%3AL%3A2013%3A148%3ATOC</t>
  </si>
  <si>
    <t>https://ec.europa.eu/commission/presscorner/detail/en/IP_09_1927</t>
  </si>
  <si>
    <t>https://ec.europa.eu/competition/state_aid/cases/230825/230825_1001149_3_1.pdf</t>
  </si>
  <si>
    <t>Bankgesellschaft Berlin</t>
  </si>
  <si>
    <t>https://ec.europa.eu/commission/presscorner/detail/en/IP_04_234</t>
  </si>
  <si>
    <t>Beginning economic difficulties/EUR 500m state guarantees granted</t>
  </si>
  <si>
    <t>https://ec.europa.eu/competition/publications/cpn/2007_3_106.pdf</t>
  </si>
  <si>
    <t>Agricultural Bank of Greece S.A.</t>
  </si>
  <si>
    <t>Attica Bank S.A.</t>
  </si>
  <si>
    <t>EFG Eurobank Ergasias S.A.</t>
  </si>
  <si>
    <t>National Bank of Greece S.A.</t>
  </si>
  <si>
    <t>Piraeus Bank S.A.</t>
  </si>
  <si>
    <t>Proton Bank S.A.</t>
  </si>
  <si>
    <t>Greece</t>
  </si>
  <si>
    <t>Adoption guarantee and recapitalisation schemes/capital injection</t>
  </si>
  <si>
    <t>https://ec.europa.eu/competition/state_aid/cases/252578/252578_1563411_5_2.pdf</t>
  </si>
  <si>
    <t>T bank S.A.</t>
  </si>
  <si>
    <t>https://ec.europa.eu/competition/state_aid/cases/244550/244550_1351424_68_1.pdf</t>
  </si>
  <si>
    <t>https://ec.europa.eu/competition/state_aid/cases/266301/266301_1846436_93_2.pdf</t>
  </si>
  <si>
    <t>General Bank of Greece S.A. (Geniki Bank)</t>
  </si>
  <si>
    <t>https://ec.europa.eu/competition/state_aid/cases/245546/245546_1587938_282_2.pdf</t>
  </si>
  <si>
    <t>Millenium Bank S.A. (MBG)</t>
  </si>
  <si>
    <t>Adoption guarantee and recapitalisation schemes/acquisition by Piraeus Bank S.A. (merger with Piraeus, hence disparition of MBG in December 2013)</t>
  </si>
  <si>
    <t>Creation group/parent receive state aid (announcement merger : October 2008)</t>
  </si>
  <si>
    <t>Alpha Bank A.E.</t>
  </si>
  <si>
    <t>Ireland</t>
  </si>
  <si>
    <t xml:space="preserve">Glitnir Bank </t>
  </si>
  <si>
    <t>Iceland</t>
  </si>
  <si>
    <t xml:space="preserve">Banco Popular </t>
  </si>
  <si>
    <t>Spain</t>
  </si>
  <si>
    <t>Novo Banco</t>
  </si>
  <si>
    <t>Portugal</t>
  </si>
  <si>
    <t>Banco Espirito Santo, S.A.</t>
  </si>
  <si>
    <t xml:space="preserve">Landsbanki Islands hf </t>
  </si>
  <si>
    <t xml:space="preserve">General </t>
  </si>
  <si>
    <t>Hungary</t>
  </si>
  <si>
    <t xml:space="preserve">Magyar Fejlesztési Bank Zrt. </t>
  </si>
  <si>
    <t xml:space="preserve">OTP Bank Nyrt. </t>
  </si>
  <si>
    <t>Adoption guarantee scheme/enforcement</t>
  </si>
  <si>
    <t>AIB Mortgage Bank</t>
  </si>
  <si>
    <t>AIB Bank (CI) Limited</t>
  </si>
  <si>
    <t>Allied Irish Bank North America Inc.</t>
  </si>
  <si>
    <t>Anglo Irish Bank Corporation plc</t>
  </si>
  <si>
    <t>Anglo Irish Bank Corporation (International) plc</t>
  </si>
  <si>
    <t>Bank of Ireland</t>
  </si>
  <si>
    <t>Bank of Ireland Mortgage Bank</t>
  </si>
  <si>
    <t>ICS Building Society</t>
  </si>
  <si>
    <t>Bank of Ireland (I.O.M.) Limited</t>
  </si>
  <si>
    <t>EBS Mortgage Finance</t>
  </si>
  <si>
    <t>Irish Permanent (IOM) Limited</t>
  </si>
  <si>
    <t xml:space="preserve">Irish Nationwide (I.O.M.) Limited </t>
  </si>
  <si>
    <t>Adoption guarantee, recapitalisation schemes/Nationalisation - subsidiary of AIB</t>
  </si>
  <si>
    <t>https://ec.europa.eu/competition/state_aid/cases/241261/241261_1242549_81_2.pdf</t>
  </si>
  <si>
    <t>Adoption guarantee, recapitalisation schemes/nationalisation (subsidiary of EBS)</t>
  </si>
  <si>
    <t>Adoption guarantee, recapitalisation schemes/recapitalisation (subsidiary of IL&amp;P)</t>
  </si>
  <si>
    <t>Adoption guarantee, recapitalisation schemes/recapitalisation (first in March 2009), subsidiary of BOI</t>
  </si>
  <si>
    <t>https://ec.europa.eu/competition/state_aid/cases/241287/241287_1243263_62_2.pdf</t>
  </si>
  <si>
    <t xml:space="preserve">Gruppo Banca Popolare Milano </t>
  </si>
  <si>
    <t>Banca di Credito Cooperativo San Vincenzo La Costa</t>
  </si>
  <si>
    <t>Mantovabanca</t>
  </si>
  <si>
    <t>Banca MB Milano</t>
  </si>
  <si>
    <t xml:space="preserve">Banca UBAE Roma </t>
  </si>
  <si>
    <t>Banca di Credito Cooperativo della Sibaritide</t>
  </si>
  <si>
    <t>Banca di Credito dei Farmacisti</t>
  </si>
  <si>
    <t>Banca di Cosenza</t>
  </si>
  <si>
    <t>Banca di Credito Cooperativo di Altavilla</t>
  </si>
  <si>
    <t>Banca Network Investimenti</t>
  </si>
  <si>
    <t>Banca di Credito Cooperativo Tarsia</t>
  </si>
  <si>
    <t>Italy</t>
  </si>
  <si>
    <t>https://www.files.ethz.ch/isn/125431/1425_RNAvefVidauki3Enska.pdf</t>
  </si>
  <si>
    <t>SPRON</t>
  </si>
  <si>
    <t>Nationalisation/liquidation</t>
  </si>
  <si>
    <t>https://ec.europa.eu/competition/state_aid/cases/237811/237811_1178921_51_3.pdf</t>
  </si>
  <si>
    <t>Beginning temporary administration by Governement/end (liquidation : June 2017)</t>
  </si>
  <si>
    <t>Beginning temporary administration by Governement/liquidation</t>
  </si>
  <si>
    <t>Beginning temporary administration by Governement/end</t>
  </si>
  <si>
    <t>MdP requests precautionary recapitalisation/application restructuration plan</t>
  </si>
  <si>
    <t>https://ec.europa.eu/competition/state_aid/cases/270037/270037_1951496_149_2.pdf</t>
  </si>
  <si>
    <t>Veneto Banca</t>
  </si>
  <si>
    <t>Banca Popolare di Vicenza</t>
  </si>
  <si>
    <t>Precautionary recapitalisation requested/liquidation (failed ECB stress test in 2014, recapitalisation, distress in 2016)</t>
  </si>
  <si>
    <t>Banca Carige</t>
  </si>
  <si>
    <t>Banca Romagna Cooperativa</t>
  </si>
  <si>
    <t>https://ec.europa.eu/commission/presscorner/detail/en/STATEMENT_15_5409</t>
  </si>
  <si>
    <t>https://www.tuttitalia.it/banche/27-banca-carige-cassa-di-risparmio-di-genova-imperia/</t>
  </si>
  <si>
    <t>Latvia</t>
  </si>
  <si>
    <t>https://internationalbanker.com/banking/latvia-a-banking-industry-in-crisis/</t>
  </si>
  <si>
    <t>JSC Parex Banka</t>
  </si>
  <si>
    <t>https://ec.europa.eu/commission/presscorner/detail/en/IP_08_1766</t>
  </si>
  <si>
    <t>https://www.brookings.edu/wp-content/uploads/2016/07/2013b_blanchard_latvia_crisis.pdf</t>
  </si>
  <si>
    <t>Finance and Capital Market Commission halted all payments/volontary liquidation</t>
  </si>
  <si>
    <t>Lithuania</t>
  </si>
  <si>
    <t>https://openknowledge.worldbank.org/bitstream/handle/10986/12822/700780ESW0P1160tal0Combined0Report.pdf?sequence=1&amp;isAllowed=y</t>
  </si>
  <si>
    <t>AB bankas SNORAS</t>
  </si>
  <si>
    <t>https://www.lb.lt/en/news/the-bank-of-lithuania-revoked-the-licence-of-ab-bankas-snoras-and-will-apply-to-court-regarding-bankruptcy-1</t>
  </si>
  <si>
    <t>Ūkio bankas</t>
  </si>
  <si>
    <t>https://www.lb.lt/en/news/the-operation-of-ukio-bankas-is-temporarily-suspended-a-temporary-administrator-is-appointed</t>
  </si>
  <si>
    <t>https://ec.europa.eu/competition/state_aid/cases/248857/248857_1515004_149_2.pdf</t>
  </si>
  <si>
    <t>https://bnn-news.com/european-central-bank-revokes-the-licence-of-trasta-komercbanka-139898</t>
  </si>
  <si>
    <t>Trasta Komercbanka AS</t>
  </si>
  <si>
    <t>De facto insolvency following Central Bank inquiry/liquidation</t>
  </si>
  <si>
    <t>Ethias Group</t>
  </si>
  <si>
    <t>Announcement recapitalisation/enforcement</t>
  </si>
  <si>
    <t>https://ec.europa.eu/competition/state_aid/cases/228044/228044_977964_77_2.pdf</t>
  </si>
  <si>
    <t>https://ec.europa.eu/competition/state_aid/cases/228379/228379_1153973_34_2.pdf</t>
  </si>
  <si>
    <t>https://ec.europa.eu/competition/state_aid/cases/227663/227663_917224_180_2.pdf</t>
  </si>
  <si>
    <t>https://ec.europa.eu/competition/state_aid/cases/231121/231121_978954_78_2.pdf</t>
  </si>
  <si>
    <t>Fortis Banque Luxembourg S.A.</t>
  </si>
  <si>
    <t>Luxembourg</t>
  </si>
  <si>
    <t>The Netherlands</t>
  </si>
  <si>
    <t>Netherlands</t>
  </si>
  <si>
    <t xml:space="preserve">LeasePlan Corp. N.V. </t>
  </si>
  <si>
    <t>Adoption guarantee scheme/enforcement (first: December 2008, second: January 2009, third: April 2009)</t>
  </si>
  <si>
    <r>
      <t>NIBC Bank N.V</t>
    </r>
    <r>
      <rPr>
        <sz val="11"/>
        <color theme="1"/>
        <rFont val="TimesNewRomanPSMT"/>
      </rPr>
      <t xml:space="preserve">. </t>
    </r>
  </si>
  <si>
    <t xml:space="preserve">SNS REAAL N.V. </t>
  </si>
  <si>
    <t>https://ec.europa.eu/commission/presscorner/detail/en/IP_08_1822</t>
  </si>
  <si>
    <t>https://ec.europa.eu/competition/state_aid/cases/249726/249726_1544400_217_2.pdf</t>
  </si>
  <si>
    <t>https://ec.europa.eu/competition/state_aid/cases/247614/247614_1415897_100_2.pdf</t>
  </si>
  <si>
    <t>https://ec.europa.eu/competition/state_aid/cases/230806/230806_1235915_338_2.pdf</t>
  </si>
  <si>
    <t>ING Groep N.V.</t>
  </si>
  <si>
    <t>DSB Bank</t>
  </si>
  <si>
    <t>Massive withdrawals/Bankruptcy</t>
  </si>
  <si>
    <t>https://www.wsj.com/articles/SB122020041890686409</t>
  </si>
  <si>
    <t xml:space="preserve">Norway </t>
  </si>
  <si>
    <t>https://www.finanstilsynet.no/en/news-archive/press-releases/2010/norwegian-banks-have-emerged-well-from-the-financial-crisis/</t>
  </si>
  <si>
    <t>https://www.finanstilsynet.no/contentassets/fde20f9700064849a413c09700dbcf2a/risk_outlook_2009.pdf</t>
  </si>
  <si>
    <t>Poland</t>
  </si>
  <si>
    <t>https://ec.europa.eu/competition/state_aid/cases/242996/242996_1329445_61_2.pdf</t>
  </si>
  <si>
    <t>https://ec.europa.eu/competition/state_aid/cases/238365/238365_1170676_36_3.pdf</t>
  </si>
  <si>
    <t>https://ypfsresourcelibrary.blob.core.windows.net/fcic/YPFS/Leon%20Hoyos%20Poland%20Guarantee%20Scheme%20(PL%20GFC)%202020-03-17%20PRELIMINARY_DRAFT.pdf</t>
  </si>
  <si>
    <t xml:space="preserve">Millennium/Banco Comercial Português S.A. </t>
  </si>
  <si>
    <t>Caixa Geral de Depósitos S.A.</t>
  </si>
  <si>
    <t>Banco Banif Mais, S.A</t>
  </si>
  <si>
    <t xml:space="preserve">Banco Português de Negócios S.A. </t>
  </si>
  <si>
    <t xml:space="preserve">Adoption guarantee scheme (nationalisation in November 2010, restructuring plan in September 2010, sale to Banco BIC Portugues July 2011)/reprivatisation </t>
  </si>
  <si>
    <t>https://ec.europa.eu/competition/state_aid/cases/242398/242398_1379555_239_4.pdf</t>
  </si>
  <si>
    <t>https://ec.europa.eu/commission/presscorner/detail/en/IP_10_972</t>
  </si>
  <si>
    <t>https://ec.europa.eu/competition/state_aid/cases/271354/271354_1965800_138_2.pdf</t>
  </si>
  <si>
    <t>https://ec.europa.eu/competition/state_aid/cases/247111/247111_1420908_83_2.pdf</t>
  </si>
  <si>
    <t>https://ec.europa.eu/competition/state_aid/cases/247499/247499_1604204_135_2.pdf</t>
  </si>
  <si>
    <t>Banco Português de Investimento (Banco BPI)</t>
  </si>
  <si>
    <t>https://www.reuters.com/article/bcp-capitalraising-idUSL6N0P461220140624</t>
  </si>
  <si>
    <t>https://ec.europa.eu/competition/state_aid/cases/247497/247497_1600000_491_2.pdf</t>
  </si>
  <si>
    <t>Banco Finantia S.A.</t>
  </si>
  <si>
    <t>Banco International do Funchal S.A. (BANIF)</t>
  </si>
  <si>
    <t>https://www.wsj.com/articles/santander-to-buy-assets-of-portugals-banif-1450662038</t>
  </si>
  <si>
    <t>https://ec.europa.eu/competition/state_aid/cases/261943/261943_1745459_428_2.pdf</t>
  </si>
  <si>
    <t>Adoption guarantee scheme/enforcement (subsidiary of BANIF)</t>
  </si>
  <si>
    <t>Announcement sale to Cofidis Participations, S.A./Sale completed</t>
  </si>
  <si>
    <t>Arnous, Julia A. (2020) "The Portuguese Guarantee Scheme (Portugal GFC)," Journal of Financial Crises: Vol. 2 : Iss. 3, 859-891. Available at: https://elischolar.library.yale.edu/journal-of-financial-crises/vol2/iss3/45</t>
  </si>
  <si>
    <t xml:space="preserve">Nova Ljubljanska banka d.d., Ljubljana (NLB) </t>
  </si>
  <si>
    <t>Slovenia</t>
  </si>
  <si>
    <t>Nova Kreditna Banka Maribor d. d. (NKBM)</t>
  </si>
  <si>
    <t>Factor Banka d.d.</t>
  </si>
  <si>
    <t>Probanka d.d.</t>
  </si>
  <si>
    <t>Abanka Vipa d.d.</t>
  </si>
  <si>
    <t>Reopening sale process (laid down in 2017)/sale process completed (state aid granted in August 2018)</t>
  </si>
  <si>
    <t>https://www.nlb.si/press-release-19-6-2019</t>
  </si>
  <si>
    <t>https://ec.europa.eu/competition/state_aid/cases/239115/239115_1222764_116_2.pdf</t>
  </si>
  <si>
    <t>https://ec.europa.eu/competition/state_aid/cases/275547/275547_2028145_64_2.pdf</t>
  </si>
  <si>
    <t>https://ec.europa.eu/commission/presscorner/detail/en/IP_11_264</t>
  </si>
  <si>
    <t>https://ec.europa.eu/competition/state_aid/cases/246951/246951_1428899_128_2.pdf</t>
  </si>
  <si>
    <t>https://ec.europa.eu/competition/state_aid/cases/249857/249857_1473280_92_3.pdf</t>
  </si>
  <si>
    <t>https://ec.europa.eu/competition/state_aid/cases/249858/249858_1473283_118_2.pdf</t>
  </si>
  <si>
    <t>https://ec.europa.eu/commission/presscorner/detail/en/IP_13_822</t>
  </si>
  <si>
    <t>Announcement recapitalisation (enforcement in December 2013)/liquidation</t>
  </si>
  <si>
    <t>https://insurancenewsnet.com/oarticle/State-Aid-Commission-Approves-Abankas-Restructuring-Plan-a-543503</t>
  </si>
  <si>
    <t>https://seenews.com/news/slovenias-nova-kbm-abanka-complete-merger-711916</t>
  </si>
  <si>
    <t>https://www.reuters.com/article/us-abanka-privatisation-idUSKCN1TK26C</t>
  </si>
  <si>
    <t>https://ec.europa.eu/competition/state_aid/cases/250616/250616_1505106_102_2.pdf</t>
  </si>
  <si>
    <t>Banka Celje d.d</t>
  </si>
  <si>
    <t>https://ec.europa.eu/commission/presscorner/detail/en/IP_14_2700</t>
  </si>
  <si>
    <t>State aid granted/merger completed</t>
  </si>
  <si>
    <t>https://ec.europa.eu/competition/state_aid/cases/252220/252220_1625594_223_2.pdf</t>
  </si>
  <si>
    <t xml:space="preserve">Caja Castilla-La Mancha (CCM) </t>
  </si>
  <si>
    <t>Liberbank</t>
  </si>
  <si>
    <t>Banco Gallego</t>
  </si>
  <si>
    <t>Catalunya Banc</t>
  </si>
  <si>
    <t>Banco de Valencia</t>
  </si>
  <si>
    <t>Adoption State guarantee scheme/recapitalisation and guarantee enforcement (November 2009), guarantees withdrawn (June 2010)</t>
  </si>
  <si>
    <t>Hypo Alpe-Adria Bank International AG</t>
  </si>
  <si>
    <t>Adoption State guarantee scheme/recapitalisation</t>
  </si>
  <si>
    <t>Hypo Tirol Bank AG</t>
  </si>
  <si>
    <t>Adoption State guarantee scheme/Separation of SPV Kommulnalkredit Finanz (KA Finanz, bad bank), nationalisation (November 2008), recapitalisation and guarantees (June 2009)</t>
  </si>
  <si>
    <t>Raiffeisen Bank International AG</t>
  </si>
  <si>
    <t>Dexia Holding</t>
  </si>
  <si>
    <t>New restructuring plan following losses (Dexia's bad bank)/European Commission puts the group for sale</t>
  </si>
  <si>
    <t>Announcement of rescue plan (recapitalisation + guarantee scheme)/Application restructuring plan</t>
  </si>
  <si>
    <t>Cyprus</t>
  </si>
  <si>
    <t>Cyprus Popular Bank (Laiki Bank)</t>
  </si>
  <si>
    <t>Fionia Bank/Nova Bank Fyn</t>
  </si>
  <si>
    <t>Adoption State guarantee scheme (Bank package III)/activities transfer to Financial Stability Company for liquidation, renarmed FS Finans IV in March 2013</t>
  </si>
  <si>
    <t>Adoption State guarantee scheme (Bank package IV)/activities transfer to Financial Stability Company for liquidation and to Sparekassen Sjælland for the sound parts, renamed FS Finans II in autumn 2012</t>
  </si>
  <si>
    <t>Adoption State guarantee scheme (Bank package IV)/activities transfer to Sparekassen Kronjylland, renamed FS Finans I in autumn 2012</t>
  </si>
  <si>
    <t>Liquidity crunch, preliminary guarantee scheme adopted in February/enfocement and application of liquidation plan (to end in 2020/2021), bank equity to be equally distributed between the State Treasury and the shareholders</t>
  </si>
  <si>
    <t>Creation guarantee scheme (Société de financement de l'économie française (emergency loans) + société de prise de participation de l'État in December (recapitalisation))/Emergency loans granted by SFEF (recapitalisation : first tranche in December, second tranche in January). Turmoil since January 2008 (Kerviel affair)</t>
  </si>
  <si>
    <t>Guarantee against legal risks notified by the governement/bank ceased activities in Finland - Finnish Branch</t>
  </si>
  <si>
    <t>Creation guarantee scheme/recapitalisation from the Land of Bavaria (January 2009), protection for liquidity loans from SoFFin and recapitalisation from Hypo Group Alpe Adria (December 2008), capital increase (June 2009)</t>
  </si>
  <si>
    <t>Creation guarantee + recapitalisation schemes/enforcement (capital increase in December 2008, part nationalisation in January, dormant equity holding in May), adoption restructuring plan</t>
  </si>
  <si>
    <t>Creation guarantee + recapitalisation schemes/recapitalisation (end April)</t>
  </si>
  <si>
    <t>HypoReal Estate Holding AG</t>
  </si>
  <si>
    <t>Creation guarantee scheme/enforcement (first guarantees in October 2008), nationalisation, recapitalisation through SoFFin in October 2009</t>
  </si>
  <si>
    <t>IKB Deutsche Industriebank AG</t>
  </si>
  <si>
    <t>LBBW (Landesbank Baden Württemberg)</t>
  </si>
  <si>
    <t>NordLB (Norddeutsche Landesbank)</t>
  </si>
  <si>
    <t>Adoption guarantee scheme/Application second guarantees, recapitalisations in May 2011 and June 2012, guarantees for the portfolio of assets until December 2014</t>
  </si>
  <si>
    <t>Purchase of illiquid securities from bank's fund by a groupe of regional German banks (until February 2008)/application restructuring plan (approval European Commission), sold to LBBW in August 2007</t>
  </si>
  <si>
    <t>WestLB AG (Westdeutsche Landesbank)</t>
  </si>
  <si>
    <t>https://ec.europa.eu/competition/state_aid/cases/229209/229209_1016043_31_1.pdf</t>
  </si>
  <si>
    <t>Düsseldorfer Hypothekenbank AG (DüssHyp)</t>
  </si>
  <si>
    <t>CorealCredit</t>
  </si>
  <si>
    <t>Recapitalisation through SoFFin/Second recapitalisation (guarantees in September 2010, part of HRE assets manager by bad bank Financial Market Stabilisation Fund, FMS-WM)</t>
  </si>
  <si>
    <t>Reminders</t>
  </si>
  <si>
    <t>Fortis = Fortis Banque SA/NV (Belgium), Fortis Banque Luxembourg (now Banque Générale du Luxembourg) and Fortis Bank Nederland</t>
  </si>
  <si>
    <t>Parent company of SNS Bank (which received loan guarantees)</t>
  </si>
  <si>
    <t>https://www.deutsche-finanzagentur.de/fileadmin/user_upload/finanzmarktstabilisierung/FMS-Massnahmen_en.pdf</t>
  </si>
  <si>
    <t>https://ypfsresourcelibrary.blob.core.windows.net/fcic/YPFS/Simon%20SoFFin%20Guarantee%20Scheme%20(DE%20GFC)%2019-01-16_PRELIMINARY_DRAFT.pdf</t>
  </si>
  <si>
    <t>Nea Proton Bank</t>
  </si>
  <si>
    <t>Received financial support from HDGF (October 2011) and HFSF (May 2012)/liquidation (November 2013), absorbed into Eurobank Ergasias S.A. (April 2013)</t>
  </si>
  <si>
    <t>TT Hellenic Postbank S.A.</t>
  </si>
  <si>
    <t>New TT Hellenic Postbank S.A.</t>
  </si>
  <si>
    <t>Creation New TT/Absorbed into Eurobank Ergasias S.A.</t>
  </si>
  <si>
    <t>Adoption guarantee, recapitalisation schemes, nationalisation (January 2009)/last recapitalisation - subsidiary of Anglo-Irish Bank</t>
  </si>
  <si>
    <t>Irish Bank Resolution Corporation Limited (IBRC)</t>
  </si>
  <si>
    <t>Irish Nationwide Building Society (INBS)</t>
  </si>
  <si>
    <t>Merger with Anglo Irish Bank to form Irish Bank Resolution Corporate (IBRC, liquidation February 2013), assets transferred to Allied Irish Bank early 2011</t>
  </si>
  <si>
    <t>Educational Building Society (EBS)</t>
  </si>
  <si>
    <t>Adoption guarantee, recapitalisation schemes/nationalisation (recapitalisation : March 2010, December 2010)</t>
  </si>
  <si>
    <t>Irish Life &amp; Permanent Group Holding</t>
  </si>
  <si>
    <t>Adoption guarantee, recapitalisation schemes/takeover by Irish Life and Permanent Group Holding (subsidiary of INBS)</t>
  </si>
  <si>
    <t xml:space="preserve">Mortgage and Land Bank (LHZB) </t>
  </si>
  <si>
    <t>Recapitalisation plans/last capital injection, bank surrendered its credit institution licence in January 2014</t>
  </si>
  <si>
    <t>De facto insolvency following Central Bank inquiry/liquidation (capital injection in February 2013)</t>
  </si>
  <si>
    <t xml:space="preserve">End </t>
  </si>
  <si>
    <t>Date (Months)</t>
  </si>
  <si>
    <t>Date (Quarters)</t>
  </si>
  <si>
    <t>Banco Santander Totta</t>
  </si>
  <si>
    <t xml:space="preserve">Caixa Central de Crédito Agrícola Mútuo </t>
  </si>
  <si>
    <t>Adoption guarantee scheme/recapitalisation (June 2012), restructuring plan adopted (July 2013)</t>
  </si>
  <si>
    <t xml:space="preserve">Recapitalisation recommandation (EBA)/nationalisation </t>
  </si>
  <si>
    <t>Banco Caja3</t>
  </si>
  <si>
    <t>Banco CAM</t>
  </si>
  <si>
    <t>Banco CEISS</t>
  </si>
  <si>
    <t>Creation of the bank from a combination of four cooperatives/Acquisition by Banco Sadabell (taken over by resolution agency (July 2011), recapitalisations (July 2011))</t>
  </si>
  <si>
    <t>Announcement State aid grant/bail-in by shareholders (recapitalisations in 2012-2013 and guarantees), bank taken over by Banco Sabadell in April 2013</t>
  </si>
  <si>
    <t>Creation of the bank from merger of cooperatives/last recapitalisation, resolution fund takeover (state guarantees in 2010, transfer of bad assets to SAREB (asset management company) in December 2012</t>
  </si>
  <si>
    <t>Bankia-BFA</t>
  </si>
  <si>
    <t>Adoption guarantee scheme, bank under receivership/recapitalisation (April 2009), state guarantees (June 2009), takeover by LiberBank</t>
  </si>
  <si>
    <t>Aborted takeover (bank already in ill condition was searching an investor)/Takeover by BBK Bank (Bilbao Bizkaia Kutxa, May 2010 : receivership introduced, recapitalisation in 2010, resolution fund guarantee on bad assets in May 2010)</t>
  </si>
  <si>
    <t>CajaSur (Banco Cajasur)</t>
  </si>
  <si>
    <t>https://thebanks.eu/search</t>
  </si>
  <si>
    <t>Banco Mare Nostrum (BMN)</t>
  </si>
  <si>
    <t>UNNIM Banc</t>
  </si>
  <si>
    <t>Creation of the bank (merger of three cajas), recapitalisation by the resolution agency (FROB), nationalisation/takeover by BBVA (recapitalisations in March 2010, March 2011), state guarantee (March 2012), disparition (May 2013)</t>
  </si>
  <si>
    <t>https://ec.europa.eu/commission/presscorner/detail/en/IP_12_1432</t>
  </si>
  <si>
    <t>https://ypfsresourcelibrary.blob.core.windows.net/fcic/YPFS/Engbith%20Spanish%20Guarantee%20Scheme%20for%20Credit%20Institutions%20(ES%20GFC)%2019-01-16)_PRELIMINARY_DRAFT_0.pdf</t>
  </si>
  <si>
    <t>https://www.frob.es/en/Lists/Contenidos/Attachments/582/20190610%20MactividadesFROB2018_EN.pdf</t>
  </si>
  <si>
    <t>https://ec.europa.eu/commission/presscorner/detail/en/IP_17_2421</t>
  </si>
  <si>
    <t>https://srb.europa.eu/sites/srbsite/files/srb_ees_2020_52_final_decision_en.pdf</t>
  </si>
  <si>
    <t>https://www.economiadigital.es/directivos-y-empresas/fin-del-banco-popular-santander-extingue-la-marca_638186_102.html</t>
  </si>
  <si>
    <t>Single Resolution Board announces default announced, default actually occurs (Moody's compendium)/merger with Santander (september 2018), bank ceased to exist (September 2019)</t>
  </si>
  <si>
    <t>https://ec.europa.eu/commission/presscorner/detail/en/IP_14_704</t>
  </si>
  <si>
    <t>https://www.mayerbrown.com/public_docs/0263fin_Summary_Government_Interventions_Spain.pdf</t>
  </si>
  <si>
    <t>Sweden</t>
  </si>
  <si>
    <t>Swedbank AB</t>
  </si>
  <si>
    <t xml:space="preserve">Swedbank Hypotek AB </t>
  </si>
  <si>
    <t xml:space="preserve">Volvofinans Bank AB </t>
  </si>
  <si>
    <t>Max Matthiessen Holding AB</t>
  </si>
  <si>
    <t>https://ypfsresourcelibrary.blob.core.windows.net/fcic/YPFS/Engbith%20Swedish%20Guarantee%20Scheme%20for%20Credit%20Institutions%20(SE%20GFC)%202020-03-20_PRELIMINARY_DRAFT.pdf</t>
  </si>
  <si>
    <t>Banking distress database</t>
  </si>
  <si>
    <t>Quentin Bro de Comères</t>
  </si>
  <si>
    <t>Author:</t>
  </si>
  <si>
    <t>Version:</t>
  </si>
  <si>
    <t xml:space="preserve">Date: </t>
  </si>
  <si>
    <t>Overview</t>
  </si>
  <si>
    <t xml:space="preserve">Countries considered: </t>
  </si>
  <si>
    <t>Country considered but without any distress event reported over the period:</t>
  </si>
  <si>
    <t xml:space="preserve">Definition: </t>
  </si>
  <si>
    <t>Caja Rural Mota del Cuervo</t>
  </si>
  <si>
    <t>Distress revealed by the resolution fund/beginning resolution process (sale to Globalcaja decided in January, approval by the Central Bank in March)</t>
  </si>
  <si>
    <t>https://www.teinteresa.es/finanzas/FROB-Caja-Rural-Mota-Cuervo_0_1112889312.html</t>
  </si>
  <si>
    <t>https://www.frob.es/en/Resoluciones-del-FROB/Paginas/Resoluciones.aspx?k=2011</t>
  </si>
  <si>
    <t>https://www.mayerbrown.com/public_docs/0358fin-Summary_of_Government_Interventions_Spain_2col.pdf</t>
  </si>
  <si>
    <t xml:space="preserve">Caixabank </t>
  </si>
  <si>
    <t>Convertible preference shares injection of EUR 0.977m in April 2010 by Resolution Fund, probably to facilitate acquisition of Banco de Valencia/injection</t>
  </si>
  <si>
    <t>Caja de Ahorros del Mediterráneo (CAM)</t>
  </si>
  <si>
    <t xml:space="preserve">Banco Sabadell </t>
  </si>
  <si>
    <t>EUR 5,249m capital injection from the Deposit Guarantee Fund, probably to facilitate aquisition of CAM/injection</t>
  </si>
  <si>
    <t>https://ec.europa.eu/competition/state_aid/cases/243405/243405_1344573_85_1.pdf</t>
  </si>
  <si>
    <t>HQ Bank</t>
  </si>
  <si>
    <t xml:space="preserve">Adoption guarantee scheme/shares transferred to Altor Fund III and Bure Equity AB (liquidity support in October 2008, nationalisation in November 2008, takeover agreement in February 2009). Member of Carnegie Group with Max Matthiessen Holding AB. </t>
  </si>
  <si>
    <t xml:space="preserve">Adoption guarantee scheme/shares transferred to Altor Fund III and Bure Equity AB (liquidity support in October 2008, nationalisation in November 2008, takeover agreement in February 2009). Member of Carnegie Group with Carnegie Investment Bank. </t>
  </si>
  <si>
    <t>Kaupthing Bank Sverige AB</t>
  </si>
  <si>
    <t>https://www.mayerbrown.com/public_docs/0285fin-Interventions_Sweden.pdf</t>
  </si>
  <si>
    <t>https://www.riksgalden.se/globalassets/dokument_eng/press-and-publications/reports/annual-reports/annual-report-2008.pdf?_t_id=1B2M2Y8AsgTpgAmY7PhCfg%3d%3d&amp;_t_q=volvofinans&amp;_t_tags=language%3aen%2csiteid%3a5214eb5f-a1b7-444b-83f5-850db03cf352&amp;_t_ip=91.161.105.28&amp;_t_hit.id=Riksgalden_Models_Media_SitePdfFile/_0bc61482-87bb-482e-ad35-fc6eb715865e&amp;_t_hit.pos=26</t>
  </si>
  <si>
    <t>Evaluation by Swedish  Financial Supervisory Authority, significant losses/acquisition by Carnegie Investment Bank (revocation banking licence in August 2010)</t>
  </si>
  <si>
    <t>https://gupea.ub.gu.se/bitstream/2077/29323/1/gupea_2077_29323_1.pdf</t>
  </si>
  <si>
    <t>https://www.riksgalden.se/globalassets/dokument_sve/press-och-publicerat/rapporter/arsredovisning/arsredovisning_2010.pdf</t>
  </si>
  <si>
    <t>Skandinaviska Enskilda Banken AB (SEB)</t>
  </si>
  <si>
    <t xml:space="preserve">Sveriges Bostadsfinansieringsaktiebolag (SBAB) </t>
  </si>
  <si>
    <t>Sparbanken Gripen</t>
  </si>
  <si>
    <t>First extension of guarantee scheme (no participation before)/second extension (bank did not renew participation), precise enforcement date unknown</t>
  </si>
  <si>
    <t>First extension of guarantee scheme (no participation before)/second extension (bank did not renew participation), precise enforcement date unknown. Merger with Sparbanken Finn in November 2010 to form Sparbanken Öresund, bought by Swedbank in May 2014, but merger was not in distress</t>
  </si>
  <si>
    <t>https://www.riksgalden.se/globalassets/dokument_sve/press-och-publicerat/rapporter/arsredovisning/arsredovisning_2009.pdf</t>
  </si>
  <si>
    <t>ABN Amro Group</t>
  </si>
  <si>
    <t>Bradford &amp; Bingley</t>
  </si>
  <si>
    <t>United Kingdom</t>
  </si>
  <si>
    <t>HBOS</t>
  </si>
  <si>
    <t>Lloyd's</t>
  </si>
  <si>
    <t>Adoption guarantee scheme and enforcement/takeover by Lloyd's</t>
  </si>
  <si>
    <t>Adoption guarantee scheme and enforcement/Capital injection in ordinary and preference shares in January 2009, issue of ordinary shares by the bank to redeem the preference shares in June 2009 (rebranded Lloyds Banking Group in January 2009, part nationalisation in February)</t>
  </si>
  <si>
    <t>Lloyd's Bank Group</t>
  </si>
  <si>
    <t>The United Kingdom</t>
  </si>
  <si>
    <t>https://ec.europa.eu/competition/state_aid/cases/252285/252285_1558448_89_2.pdf</t>
  </si>
  <si>
    <t>Beginning disvestment plan (as per approved restructuration plan) with TSB (part of LBG) sale process launched/Division of the bank into Lloyd's Bank Group and TSB Group, acquired by Banco Sabadell in 2015 and delisted. LBG in bad condition since 2008 with recorded loss in 2011-2013 but with high solvency ratio)</t>
  </si>
  <si>
    <t>Northern Rock</t>
  </si>
  <si>
    <t xml:space="preserve">Adoption guarantee scheme, liquidity support/capital injection (non-voting B shares), nationalisation and recapitalisation in October 2008 and January 2009, five-year contingent commitment of HM Treasury to inject capital in case Core Tier 1 ratio falls below 5% in December 2009. </t>
  </si>
  <si>
    <t xml:space="preserve">UK Asset Resolution </t>
  </si>
  <si>
    <t xml:space="preserve">Creation/governement mortgage guarantee program launched (beginning of operations of UKAR in September 2008), bad bank consisting of bad assets from Nothern Rock (2010, NRAM), and Bradford &amp; Bingley. </t>
  </si>
  <si>
    <t>https://www.mayerbrown.com/public_docs/0288fin-Interventions_UK.pdf</t>
  </si>
  <si>
    <t>https://www.mayerbrown.com/public_docs/0354fin-Summary_of_Government_Interventions_Germany_2col.pdf</t>
  </si>
  <si>
    <t>Baron, M.; Verner, E.; Xiong, W. - Banking Crises Without Panics (2020)_Appendix.pdf</t>
  </si>
  <si>
    <t>Banking crisis episodes 2000-2020</t>
  </si>
  <si>
    <t>Beginning year</t>
  </si>
  <si>
    <t>Widespread Bank failures</t>
  </si>
  <si>
    <t>Bank equity cumulative decline by 30%</t>
  </si>
  <si>
    <t xml:space="preserve">Belgium </t>
  </si>
  <si>
    <t>Panic month in 2000</t>
  </si>
  <si>
    <t>Norway</t>
  </si>
  <si>
    <t>Switzerland</t>
  </si>
  <si>
    <t>See Appendix p73 for Bank Equity Index Coverage sources</t>
  </si>
  <si>
    <t>Beginning year: first year in which the bank equity index cumulatively falls by more than 30% from its previous peak</t>
  </si>
  <si>
    <t>Baudino, P.; Murphy, D.; Svoronos, J.-P. - The banking crisis in Ireland, FSI Crisis Management Series, No 2, BIS, October 2020 (https://www.bis.org/fsi/fsicms2.pdf)</t>
  </si>
  <si>
    <t>https://ypfsresourcelibrary.blob.core.windows.net/fcic/YPFS/Simon%20OeCAG%20(AT%20GFC)%2020-03-17%20PD.pdf</t>
  </si>
  <si>
    <t>https://ypfsresourcelibrary.blob.core.windows.net/fcic/YPFS/Lawson%20UK%20Asset%20Resolution%20(UK%20GFC)%202020-03-17%20PRELIMINARY_DRAFT.pdf</t>
  </si>
  <si>
    <t>https://www.mirror.co.uk/news/uk-news/how-toxic-is-your-bank-372029</t>
  </si>
  <si>
    <t>https://www.dmo.gov.uk/media/1946/pr20100419.pdf</t>
  </si>
  <si>
    <t xml:space="preserve">Barclays Bank plc </t>
  </si>
  <si>
    <t>Clydesdale Bank plc</t>
  </si>
  <si>
    <t>Coventry Building Society</t>
  </si>
  <si>
    <t>Investec Bank plc</t>
  </si>
  <si>
    <t>Nationwide Building Society</t>
  </si>
  <si>
    <t>Skipton Building Society</t>
  </si>
  <si>
    <t>Standard Life Bank plc</t>
  </si>
  <si>
    <t>Tesco Personal Finance plc</t>
  </si>
  <si>
    <t xml:space="preserve">Bank of Scotland plc </t>
  </si>
  <si>
    <t xml:space="preserve">West Bromwich Building Society </t>
  </si>
  <si>
    <t xml:space="preserve">Yorkshire Building Society </t>
  </si>
  <si>
    <t>https://secure.cbonline.co.uk/media/results-and-financial-information/clydesdale-bank-utilises-government-backed-credit-guarantee-scheme</t>
  </si>
  <si>
    <t>Adoption guarantee scheme/enforcement - precise date unknown</t>
  </si>
  <si>
    <t>Not to be confused with the Royal Bank of Scotland (RBS)</t>
  </si>
  <si>
    <t>UBS</t>
  </si>
  <si>
    <t>https://www.swissinfo.ch/eng/business/2008-crisis_the-day-ubs--the-biggest-swiss-bank--was-saved/44474630</t>
  </si>
  <si>
    <t>Beginning of difficulties (SFr 19bn write-down)/recapitalisation, transfer of illiquid assets into a bad bank. April 2008 maintained as beginning date as the bank suffered major losses along 2008</t>
  </si>
  <si>
    <t>https://www.mayerbrown.com/public_docs/0297fin-Interventions_Switzerland.pdf</t>
  </si>
  <si>
    <t>Crédit Suisse</t>
  </si>
  <si>
    <t>Bank raised capital through sales of assets, job cuts by the end of the year but it was one of the least affected banks by the crisis, hence the short period of time considered.</t>
  </si>
  <si>
    <r>
      <t xml:space="preserve">Baron, M.; Dieckelmann, D.; Li, L. – </t>
    </r>
    <r>
      <rPr>
        <sz val="12"/>
        <color rgb="FF000000"/>
        <rFont val="Calibri"/>
        <family val="2"/>
        <scheme val="minor"/>
      </rPr>
      <t>The Historical Banking Crisis Database (2020)</t>
    </r>
  </si>
  <si>
    <t>Baron, M.; Verner, E.; Xiong, W. - Banking Crises Without Panics (2020), BIS Working Paper 26908</t>
  </si>
  <si>
    <t>Homar, T. - Bank recapitalizations and lending: A little is not enough, ECB Working Papers Series, no 16, June 2016</t>
  </si>
  <si>
    <t>Abildgren, K.; Albrechtsen, N.; Kristoffersen, M. S.; Nielsen, S. T.; Tommerup, R. - The Short-Term Danish Interbank Market Before, During and After The Financial Crisis, Danmarks National Bank Working Paper no 99, November 2015.pdf</t>
  </si>
  <si>
    <t>Baudino, P.; Murphy, D.; Svoronos, J.-P. - The banking crisis in Ireland, FSI Crisis Management Series, No 2, BIS, October 2020</t>
  </si>
  <si>
    <t>Lo Duca, M. et al. - A new database for financial crises in European countries, Occasional Paper Series No 194, April 2017, ECB/ESRB EU crises database.pdf</t>
  </si>
  <si>
    <t>Dubská, D. - The Czech Banking Sector: Two Decades with the Shuttle Changes (2013).pdf</t>
  </si>
  <si>
    <t>Peltonen, T. A.; Piloiu, A.; Sarlin, P. - Network linkages to predict bank distress, ECB Working Paper Series No 1828, July 2015</t>
  </si>
  <si>
    <t>Petrovic, Ana, Tutsch, Ralf, 2009. National Rescue Measures in Response to the Current Financial Crisis. ECB Legal Working Paper Series, No. 8, Frankfurt.</t>
  </si>
  <si>
    <t>Conlon, T.; Cotter, J. - Anatomy of a bail-in (2014)</t>
  </si>
  <si>
    <t>Goddard, J.; Molyneux, P.; Wilson, J. O. S. - The financial crisis in Europe: evolution, policy responses and lessons for the future (2009)</t>
  </si>
  <si>
    <t>Oesterreichische Clearingbank AG</t>
  </si>
  <si>
    <t>Clearing bank = not really in distress</t>
  </si>
  <si>
    <t>Still high stress in the Italian banking sector as of 2016</t>
  </si>
  <si>
    <t>Investiční a Poštovní banka (IPB)</t>
  </si>
  <si>
    <t>Czech national bank identifies deficiencies/bank taken over by Československá obchodní banka, a.s. (ČSOB) (in June 2000, massive withdrawals and collapse). Many banks failed during the Czech crisis (1997-2000) but only one systemic bank, which is reported here.</t>
  </si>
  <si>
    <t>Announcement rescue plan/application risk guarantees.</t>
  </si>
  <si>
    <t>MKB Bank</t>
  </si>
  <si>
    <t>https://ec.europa.eu/competition/state_aid/cases/261437/261437_1721348_166_2.pdf</t>
  </si>
  <si>
    <t>No events found:</t>
  </si>
  <si>
    <t>Sedicibanca</t>
  </si>
  <si>
    <t>Banca CARIM - Cassa di Risparmio di Rimini</t>
  </si>
  <si>
    <t>Beginning temporary administration by Governement/end, merged with Credit Agricole Italia in September 2018</t>
  </si>
  <si>
    <t>Sparisjóðabanki Islands hf. (SPB)</t>
  </si>
  <si>
    <t>Banco Privado Português (BPP)</t>
  </si>
  <si>
    <t>https://www.fktk.lv/en/media-room/other-publications/jsc-latvijas-krajbanka/jsc-latvijas-krajbanka-chronology-of-events-from-15-11-2011/</t>
  </si>
  <si>
    <t>https://eng.lsm.lv/article/economy/banks/former-krajbanka-board-faces-prospect-of-paying-15-million-euros.a357713/</t>
  </si>
  <si>
    <t>Financial services suspended/bankruptcy filling (banking licence revoqued, bank taken over by governement in December 2011)</t>
  </si>
  <si>
    <t>Latvijas Krajbanka</t>
  </si>
  <si>
    <t>Tercas-Cassa di Risparmio della Provincia di Teramo</t>
  </si>
  <si>
    <t>Beginning temporary administration by Governement/end, acquisition by Banca Popolare di Bari in July 2016</t>
  </si>
  <si>
    <t>Banca di Credito Cooperativo Luigi Sturzo di Caltagirone</t>
  </si>
  <si>
    <t>Beginning temporary administration by Governement/liquidation, activities transfered to Banca Sicana</t>
  </si>
  <si>
    <t>Banca di Monastier e del Sile</t>
  </si>
  <si>
    <t>Beginning temporary administration by Governement/end, liquidation in January 2020, activities transfered to BCC Pordenonese e Monsile</t>
  </si>
  <si>
    <t>Byr sparisjóður</t>
  </si>
  <si>
    <t xml:space="preserve">Sparisjóðurinn í Keflavík </t>
  </si>
  <si>
    <t>Recapitalisation needed/assets transferred to Byr hf.</t>
  </si>
  <si>
    <t>Sparisjóður = savings bank</t>
  </si>
  <si>
    <t>https://en.fme.is/published-material/news--announcements/decisions/</t>
  </si>
  <si>
    <t>Recapitalisation needed/assets transferred to Spkef Savings Bank</t>
  </si>
  <si>
    <t>Spkef sparisjóður</t>
  </si>
  <si>
    <t>Takeover by Landsbankinn hf./Landsbankinn receives state aid</t>
  </si>
  <si>
    <t>https://www.icelandreview.com/news/keflavik-savings-bank-heavy-load-icelandic-state/</t>
  </si>
  <si>
    <t>Banco Emiliano-Romagnolo</t>
  </si>
  <si>
    <t>Beginning temporary administration by Governement/liquidation, incorporated into Intesa SanPaolo S.P.A.</t>
  </si>
  <si>
    <t>Sofia Bank Finland</t>
  </si>
  <si>
    <t>Banking licence revoked by Financial Supervisory Authority/enforcement</t>
  </si>
  <si>
    <t>Kaupthing Singer &amp; Friedlander</t>
  </si>
  <si>
    <t>Company put under administration/transfer to ING Direct. Subsidiary of Kaupthing Bank, Kaupthing Edge was a division of that bank, also transferred to ING</t>
  </si>
  <si>
    <t>Icesave and Heritable Bank were subsidiaries of that bank operating in other countries (same as Kaupthing Edge), placed under administration and liquidated but not reported here</t>
  </si>
  <si>
    <t>Banca de Investitii si Dezvoltare</t>
  </si>
  <si>
    <t>Romania</t>
  </si>
  <si>
    <t>Banca Internationala a Religiilor (BIR)</t>
  </si>
  <si>
    <t>Liquidation decided by shareholders/liquidation</t>
  </si>
  <si>
    <t>Banca Romana de Scont (former Astra)</t>
  </si>
  <si>
    <t>http://www.bizcity.ro/stiri/banca-romana-de-scont-a-intrat-in-faliment.html?id=2405</t>
  </si>
  <si>
    <t>Banca Turco-Romana</t>
  </si>
  <si>
    <t>Central bank decides not to cover the bank's debt/liquidation</t>
  </si>
  <si>
    <t>Credit Bank</t>
  </si>
  <si>
    <t>Nova Bank</t>
  </si>
  <si>
    <t>Columna Bank</t>
  </si>
  <si>
    <t>Banking licence revoked/filed for bankruptcy</t>
  </si>
  <si>
    <t>Bankcoop</t>
  </si>
  <si>
    <t>Banking licence revoked/filed for bankruptcy (following massive fraud)</t>
  </si>
  <si>
    <t>Bank filed for bankruptcy (apparently owing to corruption practices)/filed for bankruptcy</t>
  </si>
  <si>
    <t>Filed for bankruptcy in November 2000, banking licence removed in April 1997 (set January 2000 as lower bound of the database)</t>
  </si>
  <si>
    <t>https://bnr.ro/2000---Regulations-issued-by-the-NBR-2689.aspx</t>
  </si>
  <si>
    <t>https://www.manager.ro/articole/financiar-bancar-94/11-prabusiri-istorice-ale-bancilor-romanesti-7823.html</t>
  </si>
  <si>
    <t>Banking licence revoked/enforcement</t>
  </si>
  <si>
    <t>Banca Dacia Felix</t>
  </si>
  <si>
    <t>Bank declared insolvent/liquidation</t>
  </si>
  <si>
    <t>https://bnr.ro/apage.aspx?pid=404&amp;actId=205690</t>
  </si>
  <si>
    <t xml:space="preserve">Chelsea Building Society </t>
  </si>
  <si>
    <t>http://news.bbc.co.uk/2/hi/business/8390203.stm</t>
  </si>
  <si>
    <t>Building societies with total assets below £1bn disregarded</t>
  </si>
  <si>
    <t>Scarborough Building Society</t>
  </si>
  <si>
    <t>https://www.thetimes.co.uk/article/qanda-skipton-and-scarborough-merger-z7qqkgzqnfd</t>
  </si>
  <si>
    <t>http://news.bbc.co.uk/2/hi/business/7706876.stm</t>
  </si>
  <si>
    <t>Losses recorded/merger with Skipton Building Society</t>
  </si>
  <si>
    <t>Barnsley Building Society</t>
  </si>
  <si>
    <t>First losses recorded (following involvement in Icelandic banks)/merger with the Yorkshire Building Society completed, rebranded in July 2016</t>
  </si>
  <si>
    <t>Derbyshire Building Society</t>
  </si>
  <si>
    <t>Cheshire Building Society</t>
  </si>
  <si>
    <t>Dunfermline Building Society</t>
  </si>
  <si>
    <t>Losses recorded, merger agreement/merger with Nationwide Building Society, rebranded November 2014</t>
  </si>
  <si>
    <t>http://news.bbc.co.uk/2/hi/uk_news/scotland/7971244.stm</t>
  </si>
  <si>
    <t>Norwich and Peterborough Building Society</t>
  </si>
  <si>
    <t>Capital injection by Financial Services Compensation Scheme/merger with Yorkshire Building Society</t>
  </si>
  <si>
    <t>http://news.bbc.co.uk/2/hi/business/8583054.stm</t>
  </si>
  <si>
    <t>Stroud and Swindon Building Society</t>
  </si>
  <si>
    <t>Loss recorded, merger agreement/merger with Coventry Building Society</t>
  </si>
  <si>
    <t>Alliance &amp; Leicester</t>
  </si>
  <si>
    <t>https://www.telegraph.co.uk/news/politics/labour/11329049/Labour-plans-were-ill-conceived-and-misguided-during-financial-crisis.html</t>
  </si>
  <si>
    <t>London Scottish Bank</t>
  </si>
  <si>
    <t>Banks stops all lending/enters into administration (losses already in 2007)</t>
  </si>
  <si>
    <t>Failed Banks Tracker : http://openeconomics.net/failed-bank-tracker/</t>
  </si>
  <si>
    <t>OECD Monitoring investment and trade measures: http://www.oecd.org/investment/g20.htm (2009-2019)</t>
  </si>
  <si>
    <t>Widespread bank failure: failure of a top five (by assets) bank or more than five total banks failures above the normal rate of bank failures. A “bank failure” is defined broadly to include liquidations, bankruptcies, forced mergers, substantial restructurings, nationalisations, suspensions of payment, etc.</t>
  </si>
  <si>
    <t>Corpbank AD</t>
  </si>
  <si>
    <t>Bulgaria</t>
  </si>
  <si>
    <t>Bank asks for central bank supervision/banking licence removed</t>
  </si>
  <si>
    <t>https://sofiaglobe.com/2018/06/21/factfile-bulgaria-corporate-commercial-bank-insolvency-four-years-on/</t>
  </si>
  <si>
    <t>Andorra, Estonia, Liechtenstein, Malta, Monaco, Norway, Poland, San Marino, Slovak Republic, Vatican City.</t>
  </si>
  <si>
    <t>Aegon Bank N.V.</t>
  </si>
  <si>
    <t>BAWAG Group AG</t>
  </si>
  <si>
    <t>RBIV.VI</t>
  </si>
  <si>
    <t>ERST.VI</t>
  </si>
  <si>
    <t>BAWG.VI</t>
  </si>
  <si>
    <t>Aviso Zeta AG (formerly Semper Constantia Privatbank)</t>
  </si>
  <si>
    <t>KBC.BR</t>
  </si>
  <si>
    <t>Bank of Cyprus PLC</t>
  </si>
  <si>
    <t>Hellenic Bank PLC</t>
  </si>
  <si>
    <t>HBNK.CY</t>
  </si>
  <si>
    <t>PBBG.VI</t>
  </si>
  <si>
    <t>DANSKE.CO</t>
  </si>
  <si>
    <t>ALMB.CO</t>
  </si>
  <si>
    <t>SPNO.CO</t>
  </si>
  <si>
    <t>Natixis</t>
  </si>
  <si>
    <t>CNAT.PA</t>
  </si>
  <si>
    <t>BNPP.PA</t>
  </si>
  <si>
    <t>CAGR.PA</t>
  </si>
  <si>
    <t>SOGN.PA</t>
  </si>
  <si>
    <t>ARLG.DE</t>
  </si>
  <si>
    <t>CBKG.DE</t>
  </si>
  <si>
    <t>EURBr.AT</t>
  </si>
  <si>
    <t>NBGr.AT</t>
  </si>
  <si>
    <t>BOPr.AT</t>
  </si>
  <si>
    <t>TAKA.BU</t>
  </si>
  <si>
    <t>OTPB.BU</t>
  </si>
  <si>
    <t>AIB Group (UK) plc</t>
  </si>
  <si>
    <t>AIBG.I</t>
  </si>
  <si>
    <t>BIRG.I</t>
  </si>
  <si>
    <t>CRGI.MI</t>
  </si>
  <si>
    <t>BBNS.UNL</t>
  </si>
  <si>
    <t>PCVI.MI</t>
  </si>
  <si>
    <t>BMPS.MI</t>
  </si>
  <si>
    <t>ABNd.AS</t>
  </si>
  <si>
    <t>INGA.AS</t>
  </si>
  <si>
    <t>Banco Invest (ex-Banco Alves Ribeiro)</t>
  </si>
  <si>
    <t>BCP.LS</t>
  </si>
  <si>
    <t>Banif – Banco de Investimento, S.A (BISON Bank)</t>
  </si>
  <si>
    <t>NLBR.LJ</t>
  </si>
  <si>
    <t>SABE.MC</t>
  </si>
  <si>
    <t>BKIA.MC</t>
  </si>
  <si>
    <t>CABK.MC</t>
  </si>
  <si>
    <t>LBK.MC</t>
  </si>
  <si>
    <t>SEBa.ST</t>
  </si>
  <si>
    <t>SWEDa.ST</t>
  </si>
  <si>
    <t>CSGN.S</t>
  </si>
  <si>
    <t>UBSG.S</t>
  </si>
  <si>
    <t>BARC.L</t>
  </si>
  <si>
    <t>LLOY.L</t>
  </si>
  <si>
    <t>RCHA.L</t>
  </si>
  <si>
    <t>SLA.L</t>
  </si>
  <si>
    <t>Creation of the entity/capital injection (measure announced and adopted in May 2009)</t>
  </si>
  <si>
    <t>Beck, T.H.L.; Todorov, R.I.; Wagner, W.B. - Supervising Cross-Border Banks (2012)</t>
  </si>
  <si>
    <r>
      <t xml:space="preserve">Kerlin, J., Malinowska-Misiąg, E., Smaga, P., Witkowski, B., Nowak, A. K., Kozłowska, A., &amp; Wiśniewski, P. (2016). </t>
    </r>
    <r>
      <rPr>
        <i/>
        <sz val="12"/>
        <color theme="1"/>
        <rFont val="Calibri"/>
        <family val="2"/>
        <scheme val="minor"/>
      </rPr>
      <t>European bank restructuring during the global financial crisis</t>
    </r>
    <r>
      <rPr>
        <sz val="12"/>
        <color theme="1"/>
        <rFont val="Calibri"/>
        <family val="2"/>
        <scheme val="minor"/>
      </rPr>
      <t>. Springer.</t>
    </r>
  </si>
  <si>
    <t>Iceland only, but considered as most important bank in Finland before its failure</t>
  </si>
  <si>
    <t>RIC code for Immigon Portfolioabbau AG</t>
  </si>
  <si>
    <t>DK:ROS</t>
  </si>
  <si>
    <t>NIBC.AS</t>
  </si>
  <si>
    <t>NBS.L</t>
  </si>
  <si>
    <t>78II.L</t>
  </si>
  <si>
    <t>CAHM.MC</t>
  </si>
  <si>
    <t>Fortis Bank S.A./N.V./BNP Paribas Fortis</t>
  </si>
  <si>
    <t>Takarek Jelzalogbank Nyrt</t>
  </si>
  <si>
    <t>BayernLB (Bayerische Landesbank)</t>
  </si>
  <si>
    <t>Oesterreichische Volksbanken AG</t>
  </si>
  <si>
    <t>Pfandbriefbank Oesterreich AG</t>
  </si>
  <si>
    <t>Investicni a Postovni banka (IPB)</t>
  </si>
  <si>
    <t>Forstaedernes Bank</t>
  </si>
  <si>
    <t xml:space="preserve">Lokalbanken i Nordsjaelland </t>
  </si>
  <si>
    <t xml:space="preserve">Loekken Sparekasse </t>
  </si>
  <si>
    <t>Morsoe Bank</t>
  </si>
  <si>
    <t xml:space="preserve">Ringkjoebing Bank </t>
  </si>
  <si>
    <t>O:AAI</t>
  </si>
  <si>
    <t>O:OVAG</t>
  </si>
  <si>
    <t>B:DEXB</t>
  </si>
  <si>
    <t>BL:CBO</t>
  </si>
  <si>
    <t>CP:CPB</t>
  </si>
  <si>
    <t>DK:AAR</t>
  </si>
  <si>
    <t>DK:AMA</t>
  </si>
  <si>
    <t>DK:BAN</t>
  </si>
  <si>
    <t>DK:BNK</t>
  </si>
  <si>
    <t>DK:EHH</t>
  </si>
  <si>
    <t>DK:EIK</t>
  </si>
  <si>
    <t>DK:FIO</t>
  </si>
  <si>
    <t>DK:FJO</t>
  </si>
  <si>
    <t>DK:LOK</t>
  </si>
  <si>
    <t>DK:FOB</t>
  </si>
  <si>
    <t>DK:HVB</t>
  </si>
  <si>
    <t>DK:MOR</t>
  </si>
  <si>
    <t>DK:RIL</t>
  </si>
  <si>
    <t>DK:SKA</t>
  </si>
  <si>
    <t xml:space="preserve">Skaelskoer Bank </t>
  </si>
  <si>
    <t>DK:SPL</t>
  </si>
  <si>
    <t xml:space="preserve">Sparekassen Oestjylland </t>
  </si>
  <si>
    <t xml:space="preserve">Toender Bank </t>
  </si>
  <si>
    <t>DK:TON</t>
  </si>
  <si>
    <t>DK:VJK</t>
  </si>
  <si>
    <t>D:BLG8</t>
  </si>
  <si>
    <t>D:AHY2</t>
  </si>
  <si>
    <t>D:DUO1</t>
  </si>
  <si>
    <t>D:HRX</t>
  </si>
  <si>
    <t>D:IKBG</t>
  </si>
  <si>
    <t>D:LBF1</t>
  </si>
  <si>
    <t>D:LSA5</t>
  </si>
  <si>
    <t>D:WLDH</t>
  </si>
  <si>
    <t>G:ATEG</t>
  </si>
  <si>
    <t>G:TBNK</t>
  </si>
  <si>
    <t>G:TGEN</t>
  </si>
  <si>
    <t>G:PRO</t>
  </si>
  <si>
    <t>G:POST</t>
  </si>
  <si>
    <t xml:space="preserve">Magyar Fejlesztesi Bank Zrt. </t>
  </si>
  <si>
    <t>Byr sparisjodur</t>
  </si>
  <si>
    <t>IC:ISB</t>
  </si>
  <si>
    <t>IC:KAP</t>
  </si>
  <si>
    <t>IC:LAN</t>
  </si>
  <si>
    <t>Sparisjodabanki Islands hf. (SPB)</t>
  </si>
  <si>
    <t xml:space="preserve">Sparisjodurinn i Keflavík </t>
  </si>
  <si>
    <t>Spkef sparisjodur</t>
  </si>
  <si>
    <t>IC:SPA</t>
  </si>
  <si>
    <t>IC:STF</t>
  </si>
  <si>
    <t>ANGL</t>
  </si>
  <si>
    <t>I:PMI</t>
  </si>
  <si>
    <t>LV:LKB</t>
  </si>
  <si>
    <t>LT:BAS</t>
  </si>
  <si>
    <t>LT:UKI</t>
  </si>
  <si>
    <t>Ukio bankas</t>
  </si>
  <si>
    <t>LX:AMV</t>
  </si>
  <si>
    <t>BAMI.MI</t>
  </si>
  <si>
    <t>ABLV Bank AS</t>
  </si>
  <si>
    <t>H:SRL</t>
  </si>
  <si>
    <t>P:BES</t>
  </si>
  <si>
    <t>P:BNF</t>
  </si>
  <si>
    <t>P:BPI</t>
  </si>
  <si>
    <t>RM:BTR</t>
  </si>
  <si>
    <t>SV:NOE</t>
  </si>
  <si>
    <t>SV:ABV</t>
  </si>
  <si>
    <t>SV:PPI</t>
  </si>
  <si>
    <t>E:BVA</t>
  </si>
  <si>
    <t>E:POP</t>
  </si>
  <si>
    <t>W:CAR</t>
  </si>
  <si>
    <t>W:KBH</t>
  </si>
  <si>
    <t>W:HQ</t>
  </si>
  <si>
    <t>AL.</t>
  </si>
  <si>
    <t>BSCT</t>
  </si>
  <si>
    <t>BB.</t>
  </si>
  <si>
    <t>LSB</t>
  </si>
  <si>
    <t>NRK</t>
  </si>
  <si>
    <t>INVP.L</t>
  </si>
  <si>
    <t>NWG.L</t>
  </si>
  <si>
    <t>DATASTREAM SYMBOL</t>
  </si>
  <si>
    <t>RIC CODE</t>
  </si>
  <si>
    <t>IC:BNO</t>
  </si>
  <si>
    <t>BankNordik P/F (ICE)</t>
  </si>
  <si>
    <t>Faroe Islands</t>
  </si>
  <si>
    <t>HN:IEB</t>
  </si>
  <si>
    <t>Inter-Europa Bank</t>
  </si>
  <si>
    <t>O:ERS</t>
  </si>
  <si>
    <t>O:BWGP</t>
  </si>
  <si>
    <t>O:DTP</t>
  </si>
  <si>
    <t>O:RAI</t>
  </si>
  <si>
    <t>B:BNP/27959H</t>
  </si>
  <si>
    <t>B:KB</t>
  </si>
  <si>
    <t>CP:HEL</t>
  </si>
  <si>
    <t>DK:ABF</t>
  </si>
  <si>
    <t>CAPI.CO</t>
  </si>
  <si>
    <t>DK:DAB</t>
  </si>
  <si>
    <t>DK:DJS</t>
  </si>
  <si>
    <t>RILBA.CO</t>
  </si>
  <si>
    <t>DK:SNB</t>
  </si>
  <si>
    <t>VJBA.CO</t>
  </si>
  <si>
    <t>Kaupthing Bank h.f. Finnish</t>
  </si>
  <si>
    <t>F:BNP</t>
  </si>
  <si>
    <t>F:CRDA</t>
  </si>
  <si>
    <t>F:KN@F</t>
  </si>
  <si>
    <t>F:SGE</t>
  </si>
  <si>
    <t>D:ARLX</t>
  </si>
  <si>
    <t>D:CBKX</t>
  </si>
  <si>
    <t>ACBr.AT</t>
  </si>
  <si>
    <t>G:PIST</t>
  </si>
  <si>
    <t>BOAr.AT</t>
  </si>
  <si>
    <t>G:ATT</t>
  </si>
  <si>
    <t>G:EFG</t>
  </si>
  <si>
    <t>G:ETE</t>
  </si>
  <si>
    <t>G:PEIR</t>
  </si>
  <si>
    <t>HN:FHB</t>
  </si>
  <si>
    <t>HN:OTP</t>
  </si>
  <si>
    <t>IE:A5G</t>
  </si>
  <si>
    <t>ANGL.I</t>
  </si>
  <si>
    <t>IE:BIRG</t>
  </si>
  <si>
    <t>IL0A.I</t>
  </si>
  <si>
    <t>IE:IL0A</t>
  </si>
  <si>
    <t>I:CRG</t>
  </si>
  <si>
    <t>I:BP</t>
  </si>
  <si>
    <t>I:CVAL</t>
  </si>
  <si>
    <t>I:MB</t>
  </si>
  <si>
    <t>H:ABN</t>
  </si>
  <si>
    <t>Not a bank (until 2012)</t>
  </si>
  <si>
    <t>H:INGA</t>
  </si>
  <si>
    <t>H:NIBC</t>
  </si>
  <si>
    <t>P:BCP</t>
  </si>
  <si>
    <t>SV:NVB</t>
  </si>
  <si>
    <t>E:BSAB</t>
  </si>
  <si>
    <t>E:BKIA</t>
  </si>
  <si>
    <t>E:CABK</t>
  </si>
  <si>
    <t>E:CAM</t>
  </si>
  <si>
    <t>E:LBK</t>
  </si>
  <si>
    <t>W:SEA</t>
  </si>
  <si>
    <t>W:SWED</t>
  </si>
  <si>
    <t>S:CSGN</t>
  </si>
  <si>
    <t>S:UBSG</t>
  </si>
  <si>
    <t>BARC</t>
  </si>
  <si>
    <t>INVP</t>
  </si>
  <si>
    <t>WBROM.LU</t>
  </si>
  <si>
    <t>LLOY</t>
  </si>
  <si>
    <t>SLA</t>
  </si>
  <si>
    <t>MKBB.BU</t>
  </si>
  <si>
    <t>EBSBS.UL</t>
  </si>
  <si>
    <t>IPO-BMAR.MC</t>
  </si>
  <si>
    <t>5753QK</t>
  </si>
  <si>
    <t>787T2Z</t>
  </si>
  <si>
    <t>NWG</t>
  </si>
  <si>
    <t>New financial aid/nationalisation and beginning dismantling plan</t>
  </si>
  <si>
    <t>Dexia Bank rebranded Belfius Bank, additional support granted to Dexia Holding (bad bank)/Dexia Group put for sale by European Commission</t>
  </si>
  <si>
    <t>Adoption State guarantee scheme/bank recapitalisation</t>
  </si>
  <si>
    <t>Adoption second State guarantee scheme/second bank recapitalisation</t>
  </si>
  <si>
    <t>Adoption State guarantee scheme/First recapitalisation</t>
  </si>
  <si>
    <t>Second recapitalisation/new guarantees, nationalisation</t>
  </si>
  <si>
    <t>New government guarantees, withdrawn June 2013</t>
  </si>
  <si>
    <t>Third recapitalisation</t>
  </si>
  <si>
    <t>Second recapitalisation/new guarantees</t>
  </si>
  <si>
    <t>Agreement restructuring plan/liquidation (end of mergers of independant Volksbanks in March 2015) and demerger (Immigon Portfolioabbau AG, liquidated in June 2019)</t>
  </si>
  <si>
    <t>Recapitalisation announcement (30/09/2008)/liquidity support (asset guarantee EUR 150bn October 2008 and 2009). Adoption restructuring plan (Belgium, France, Luxembourg) in February 2010</t>
  </si>
  <si>
    <t>Adoption state guarantee scheme/state guarantees (February, March, September 2009), recapitalisation (April 2009)</t>
  </si>
  <si>
    <t>Adoption state guarantees scheme/Enforcement (January, March, April 2009), recapitalisation in January</t>
  </si>
  <si>
    <t>Announcement merger/merger with CIB Bank ZRT</t>
  </si>
  <si>
    <t>Recapitalisation recommandation (EBA)/First recapitalisation</t>
  </si>
  <si>
    <t>Second recapitalisation (aquisition of shares by EBRD)</t>
  </si>
  <si>
    <t>Adoption capitalisation scheme/capital injection</t>
  </si>
  <si>
    <t>Adoption State guarantee scheme (Bank package I)/recapitalisation</t>
  </si>
  <si>
    <t>Activities transfer to Financial Stability Company for liquidation/request for withdrawal of shares from public trading, liquidation</t>
  </si>
  <si>
    <t>Recapitalisation, state guarantees (December 2010)/under Financial Stability Company management. Renamed FS Finans III in March 2013</t>
  </si>
  <si>
    <t>Nationalisation (transfer to Finansiel Stabilited for winding up), sales of remaining parts to Arbejdernes Landbank (January 2011)/liquidation, became part of FS Finans</t>
  </si>
  <si>
    <t>Liquidity providing by private banks and Danmarks Nationalbank/activities transfer to Financial Stability Company to liquidation (effective March 2009)</t>
  </si>
  <si>
    <t>Announcement restructuring plan/winding up of the bank by BankNordik Group</t>
  </si>
  <si>
    <t>Adoption guarantee scheme/enforcement, delisted, subsidiary of Aareal Bank in May 2015, rebranded Aareal Beteiligungen AG in June 2015</t>
  </si>
  <si>
    <t>First rescue package/enforcement guarantee scheme (restructuring plan in October), sale to Lone Star. Liquidity issues until 2014: liquidity support requested December 2009, December 2012, December 2014, no ratings since June 2011, delisted April 2016</t>
  </si>
  <si>
    <t>Loan from main owners annoucement/recapitalisation and guarantees (June 2009)</t>
  </si>
  <si>
    <t>Company delisted/liquidation, Portigon Financial Services AG became legal successor, bad bank part to Bundesanstalt für Finanzmarktstabilisierung, the rest merged with German bank Helaba</t>
  </si>
  <si>
    <t>Adoption guarantee and recapitalisation schemes/Recapitalisation and participation to the Bond Loan Scheme</t>
  </si>
  <si>
    <t>Adoption guarantee and recapitalisation schemes/state guarantees</t>
  </si>
  <si>
    <t>Bank sold to Piraeus Bank/delisted</t>
  </si>
  <si>
    <t>Bridge recapitalisation implemented/Second recapitalisation</t>
  </si>
  <si>
    <t>Fourth recapitalisation/funds granted by HFSF</t>
  </si>
  <si>
    <t>Adoption guarantee and recapitalisation schemes/first recapitalisation</t>
  </si>
  <si>
    <t>Additional capital requirements covered by HFSF. Bank absorbed New Proton Bank (recapitalised) (April 2013) and New TT (recapitalised) (August 2013)</t>
  </si>
  <si>
    <t>Adoption guarantee and recapitalisation schemes/recapitalisation</t>
  </si>
  <si>
    <t>Second recapitalisation/bridge recapitalisation implemented (May 2012), third recapitalisation</t>
  </si>
  <si>
    <t>Additional funds granted, absorbed First Business Bank (June 2013) and Probank (July 2013)</t>
  </si>
  <si>
    <t>Capital injection by private banks/liquidation (October 2011), rebranded Nea Proton Bank</t>
  </si>
  <si>
    <t xml:space="preserve">Adoption guarantee and recapitalisation schemes/capital injection </t>
  </si>
  <si>
    <t>Recapitalisation</t>
  </si>
  <si>
    <t>Additional funds granted, bank rebranded New TT (January 2013)</t>
  </si>
  <si>
    <t>Adoption guarantee, recapitalisation schemes, nationalisation (January 2009)/recapitalisation, delisted January 2009</t>
  </si>
  <si>
    <t>Adoption guarantee, recapitalisation schemes/recapitalisation</t>
  </si>
  <si>
    <t>Group rebranded Permanent TSB in July 2013, profitable part (Life Groupe) sold to Great-West Lifeco</t>
  </si>
  <si>
    <t>New guarantees granted</t>
  </si>
  <si>
    <t>Central bank liquidity support/state guarantees (March 2008)</t>
  </si>
  <si>
    <t>New guarantees from SoFFin/recapitalisation, creation of bad bank : Erste Abwicklungsanstalt (EAA)</t>
  </si>
  <si>
    <t>New recapitalisation (Monti Bonds)</t>
  </si>
  <si>
    <t>Adoption guarantee scheme/recapitalisation (Tremonti Bonds)</t>
  </si>
  <si>
    <t>Announcement recapitalisation agreement/nationalisation</t>
  </si>
  <si>
    <t>Incorporation into BGL BNPP (rebranded Banque générale du Luxembourg)</t>
  </si>
  <si>
    <t>Acquisition and dismantling by Fortis Holding, Royal Bank of Scotland, Banco Santander (ABN Amro, ABN Amro S, ABN Amro S and N)/Integration of Fortis into its ABN Amro parts by the governement.</t>
  </si>
  <si>
    <t>First recapitalisation/failure of Fortis and integration into ABN Amro, restructuring plan adopted in January 2010, transfer of governement shares to a foundation in September 2011, IPO beginning in November 2015 and ended in November 2016, state still major owner</t>
  </si>
  <si>
    <t>Adoption guarantee scheme/capital injection</t>
  </si>
  <si>
    <t>State guarantees granted/recapitalisation (new private recapitalisation in June-October 2013)</t>
  </si>
  <si>
    <t>EBA stress test (urgent recapitalisation)/capital injection</t>
  </si>
  <si>
    <t>Second recapitalisation, asset transfer agreement with BAMC, october 2014, enforcement restructuration plan. Merger with NKBM announced in June 2019, completed September 2020</t>
  </si>
  <si>
    <t>Bank ordered to increase capital by Central Bank of Slovenia/Capital injection, bank delisted in Novermber</t>
  </si>
  <si>
    <t>Adoption state guarantee program/First recapitalisation</t>
  </si>
  <si>
    <t>Adoption resolution plan, liquidation and state liquidity support/capital injection, delisted August 2013</t>
  </si>
  <si>
    <t>First recapitalisation/Creation of the bank (merger of seven financial institutions in December 2010)</t>
  </si>
  <si>
    <t>Second and third recapitalisations/nationalisation</t>
  </si>
  <si>
    <t>Adoption guarantee scheme/enforcement, scheme enforced until 2010</t>
  </si>
  <si>
    <t>Liquidity support required and granted by the Bank of England/nationalisation</t>
  </si>
  <si>
    <t>Merger with Banco Santander</t>
  </si>
  <si>
    <t>Capital injection by State Treasury (secret)/bank intervened and liquidated</t>
  </si>
  <si>
    <t>Adoption State guarantee scheme (Bank package I)/activities transferred to Financial Stability Company for liquidation</t>
  </si>
  <si>
    <r>
      <t xml:space="preserve">In other markets (Finland, Norway, Sweden, Belgium, UK, Germany, Luxembourg, Switzerland, Austria), also </t>
    </r>
    <r>
      <rPr>
        <i/>
        <sz val="12"/>
        <color theme="1"/>
        <rFont val="Calibri"/>
        <family val="2"/>
        <scheme val="minor"/>
      </rPr>
      <t>via</t>
    </r>
    <r>
      <rPr>
        <sz val="12"/>
        <color theme="1"/>
        <rFont val="Calibri"/>
        <family val="2"/>
        <scheme val="minor"/>
      </rPr>
      <t xml:space="preserve"> internet bank Kaupthing Edge, available until beginning/end 2008 (not reported, except for Finland and Sweden). In the UK, accounts transferred to ING in October 2008</t>
    </r>
  </si>
  <si>
    <t>Dresdner bank takeover by Commerzbank (May 2009) = distress merger ? But unlisted</t>
  </si>
  <si>
    <t>Source : Baron, M.; Verner, E.; Xiong, W. - Banking Crises Without Panics (2020)_Appendix</t>
  </si>
  <si>
    <t>Reuters Refinitiv</t>
  </si>
  <si>
    <t>Coverage ratio falls below 0 (whiting 12 months, technically negative since January 2008)/Acquisition by Piraeus Bank S.A. (merger with Piraeus),disparition of Geniki in November 2014</t>
  </si>
  <si>
    <t>Coverage ratio falls below 0/merger with INBS to form Irish Bank Resolution Corporate (IBRC, liquidation February 2013), assets transferred to Allied Irish Bank early 2011</t>
  </si>
  <si>
    <t>Coverage ratio falls below 0 (announcement liquidity support in November 2011)/acquisition by CaixaBank (introduction of the asset protection program in November 2012, recapitalisations in November 2011 and 2012). Rebranded CaixaBank in June 2014 and 2016</t>
  </si>
  <si>
    <t>Coverage ratio falls below 0 (Downgrade to non-investment grade by Moody's and Fitch in April 2010)/merger with Banco Sabadell (credit activities transferred to Banco CAM and nationalisation in July 2011, adjudication to Banco Sabadell in December 2011)</t>
  </si>
  <si>
    <t>Duesseldorfer Hypothekenbank AG (DüssHyp)</t>
  </si>
  <si>
    <t xml:space="preserve">A bank is counted once if more than one distress events happen within the same year, else more than one time. Only dates for listed banks have been updated accordingly. Thus, despite few exceptions, distress events are shorter than or equal to one year (4 quarters) for these banks. </t>
  </si>
  <si>
    <r>
      <t xml:space="preserve">Frank Betz, Silviu Oprică, Tuomas A. Peltonen, and Peter Sarlin. Predicting distress in European banks. </t>
    </r>
    <r>
      <rPr>
        <i/>
        <sz val="12"/>
        <color theme="1"/>
        <rFont val="Calibri"/>
        <family val="2"/>
        <scheme val="minor"/>
      </rPr>
      <t>Journal of Banking &amp; Finance,</t>
    </r>
    <r>
      <rPr>
        <sz val="12"/>
        <color theme="1"/>
        <rFont val="Calibri"/>
        <family val="2"/>
        <scheme val="minor"/>
      </rPr>
      <t xml:space="preserve"> 45 :225–241, 2014.</t>
    </r>
  </si>
  <si>
    <t>Rationale:</t>
  </si>
  <si>
    <t>Target variable:</t>
  </si>
  <si>
    <r>
      <t>To "</t>
    </r>
    <r>
      <rPr>
        <b/>
        <sz val="12"/>
        <color theme="1"/>
        <rFont val="Calibri"/>
        <family val="2"/>
        <scheme val="minor"/>
      </rPr>
      <t>account for post-crisis and crisis bias</t>
    </r>
    <r>
      <rPr>
        <sz val="12"/>
        <color theme="1"/>
        <rFont val="Calibri"/>
        <family val="2"/>
        <scheme val="minor"/>
      </rPr>
      <t xml:space="preserve">, as proposed by Bussiere and Fratzscher (2006), by not including periods when a bank distress event occurs or the 4 quarters thereafter. However, post-distress periods are included in the sample if they are also pre-distress periods. The excluded observations are not informative regarding the transition from tranquil times to distress events, as they can neither be considered “normal” periods nor vulnerabilities prior to distress." (Betz et al. (2014)) </t>
    </r>
  </si>
  <si>
    <t>Coverage ratio is computed following González-Hermosillo (1999) as (capital equity + loan reserve - nonperforming loans)/total assets. In Datastream : (preferred stock + common equity + loan-losses provisions - nonperforming loans)/total assets i.e. (WC03451+WC03501+WC02275-WC02285)/WC02999.</t>
  </si>
  <si>
    <t>AAIMG.VI^H10</t>
  </si>
  <si>
    <t>OTVVp.VI^L15</t>
  </si>
  <si>
    <t>DEXI.BR^L19</t>
  </si>
  <si>
    <t>6C9.BB^E16</t>
  </si>
  <si>
    <t>IEBK.BU^E07</t>
  </si>
  <si>
    <t>CPBC.CY^G13</t>
  </si>
  <si>
    <t>AARHUS.CO^D12</t>
  </si>
  <si>
    <t>AMBA.CO^C11</t>
  </si>
  <si>
    <t>BANKTR.CO^A08</t>
  </si>
  <si>
    <t>EBH.CO^E09</t>
  </si>
  <si>
    <t>FO-EIK.CO^L10</t>
  </si>
  <si>
    <t>FIONIA.CO^L09</t>
  </si>
  <si>
    <t>FJORD.CO^H11</t>
  </si>
  <si>
    <t>FORST.CO^K08</t>
  </si>
  <si>
    <t>LOKA.CO^J08</t>
  </si>
  <si>
    <t>MAX.CO^J11</t>
  </si>
  <si>
    <t>MORS.CO^K10</t>
  </si>
  <si>
    <t>ROSKBEBGN.DEp^K09</t>
  </si>
  <si>
    <t>SKLS.CO^I10</t>
  </si>
  <si>
    <t>SPALOL.CO^A13</t>
  </si>
  <si>
    <t>TNDR.CO^K12</t>
  </si>
  <si>
    <t>BNORDIK.IC^B17</t>
  </si>
  <si>
    <t>BLGGgi.F^D20</t>
  </si>
  <si>
    <t>AHYGga.F^D10</t>
  </si>
  <si>
    <t>DUOGg.D^F10</t>
  </si>
  <si>
    <t>HRXG.DE^J09</t>
  </si>
  <si>
    <t>IKBGga.F^G17</t>
  </si>
  <si>
    <t>LKBFg.F^I15</t>
  </si>
  <si>
    <t>LSAGgc.F^F15</t>
  </si>
  <si>
    <t>WDLGgi.SG^I12</t>
  </si>
  <si>
    <t>AGBr.AT^B16</t>
  </si>
  <si>
    <t>GHBr.AT^K14</t>
  </si>
  <si>
    <t>PRBr.AT^B16</t>
  </si>
  <si>
    <t>AMBr.AT^L18</t>
  </si>
  <si>
    <t>GPSr.AT^L18</t>
  </si>
  <si>
    <t>GLB.IC^J08</t>
  </si>
  <si>
    <t>KAUP.IC^A09</t>
  </si>
  <si>
    <t>LAIS.IC^J08</t>
  </si>
  <si>
    <t>SPRON.IC^C09</t>
  </si>
  <si>
    <t>STRB.IC^C09</t>
  </si>
  <si>
    <t>ANGL.I^A09</t>
  </si>
  <si>
    <t>PMII.MI^A17</t>
  </si>
  <si>
    <t>LKB1R.RI^C11</t>
  </si>
  <si>
    <t>SRS1L.VL^A12</t>
  </si>
  <si>
    <t>UKB1L.VL^F13</t>
  </si>
  <si>
    <t>GENBj.LU^I98</t>
  </si>
  <si>
    <t>SR.AS^C13</t>
  </si>
  <si>
    <t>BES.LS^B16</t>
  </si>
  <si>
    <t>BNF.LS^L12</t>
  </si>
  <si>
    <t>BBPI.LS^L18</t>
  </si>
  <si>
    <t>ABKN.LJ^L13</t>
  </si>
  <si>
    <t>NKBM.LJ^L13</t>
  </si>
  <si>
    <t>PRBP_p.LJ^L13</t>
  </si>
  <si>
    <t>BVA.MC^G13</t>
  </si>
  <si>
    <t>POP.MC^F17</t>
  </si>
  <si>
    <t>CAR.ST^L08</t>
  </si>
  <si>
    <t>HQ.TE^L17</t>
  </si>
  <si>
    <t>KAUP.ST^L08</t>
  </si>
  <si>
    <t>ALLL.L^J08</t>
  </si>
  <si>
    <t>BSCT.L^I01</t>
  </si>
  <si>
    <t>BB.L^I08</t>
  </si>
  <si>
    <t>HBOS.L^A09</t>
  </si>
  <si>
    <t>LSB.L^L08</t>
  </si>
  <si>
    <t>NRK.L^C08</t>
  </si>
  <si>
    <t>Technically, the bank is still in serious financial difficulties/RIC code for Natwest Group (original RIC: RBS.AS^D15, datastream mnemonics: 74190U or H:RBS)</t>
  </si>
  <si>
    <t>BE0172505399.BR</t>
  </si>
  <si>
    <t>BONUn.CO^J06</t>
  </si>
  <si>
    <t>FIHC.CO^A00</t>
  </si>
  <si>
    <t>Nationalisation of the bank (state purchase of shares previously detained by Bayern LB)/Placed under resolution</t>
  </si>
  <si>
    <t>TERCAS.HT^I14</t>
  </si>
  <si>
    <t>BPRAV.HT^K14</t>
  </si>
  <si>
    <t>Liquidation/state aid considered illegal by European Commission</t>
  </si>
  <si>
    <t>BTRB.NL^G07</t>
  </si>
  <si>
    <t>YBS_p.L^D19</t>
  </si>
  <si>
    <t>Beginning temporary administration by Governement, default (Fitch)/liquidation</t>
  </si>
  <si>
    <t>Announcement nationalisation, default/nationalisation (revamped as ALMC hf. In 2010), default (Fitch). Distress may have begun in October 2008</t>
  </si>
  <si>
    <t>Straumur Investment Bank hf. (ALMC hf)</t>
  </si>
  <si>
    <t>Announcement public intervention, default (Fitch)/placed under resolution (rebranded NBI hf. In October 2008 and Landsbankinn hf.  in April 2011)</t>
  </si>
  <si>
    <t>Announcement public intervention, default (Fitch)/placed under resolution, New Kaupthing established in October 2008, rebranded Arion banki in November 2009</t>
  </si>
  <si>
    <t>Default announced/placed under resolution (S&amp;P, Fitch)</t>
  </si>
  <si>
    <t>Announcement nationalisation plan, default (Fitch)/liquidity support in November 2008, December 2008, April 2009, October 2009, nationalisation in December 2008, restructuring plan : August 2010, bank split into Reverta (bad bank) and Citadele (good bank), banking licence revoked</t>
  </si>
  <si>
    <t>Bailout from private banks/ECB takes control of the bank (January 2019), default (Moody's)</t>
  </si>
  <si>
    <t>Greek governement imposes extended bank holidays and capital controls/default actually occurs (S&amp;P, Fitch, Moody's)</t>
  </si>
  <si>
    <t>Liquidation (bank sold to Banco Santander Totta), default (Moody's)/delisted</t>
  </si>
  <si>
    <t>Default - Seized by regulators (Moody's), announcement sale process to Lone Star/default - distressed exchange (Moody's)</t>
  </si>
  <si>
    <t>Greek governement imposes extended bank holidays and capital controls/default actually occurs (S&amp;P, Moody's, Fitch)</t>
  </si>
  <si>
    <t>Announcement public intervention/placed under resolution (good assets transferred to Novo Banco), recapitalisation in August 2014, default (Moody's)</t>
  </si>
  <si>
    <t>Hypo Alpe-Adria Bank International AG (Heta Asset Resolution AG)</t>
  </si>
  <si>
    <t>Fourth recapitalisation/liquidation (rebranding as Heta Asset Resolution AG without banking licence, end of liquidation in December 2014 (Balkans unit)), default (Moody's)</t>
  </si>
  <si>
    <t>Recapitalisation from resolution agency, states guarantees/takeover by Bank Unicaja (recapitalisation in March 2010, December 2012, state guarantees in March 2013). Bank created in 2010 by merger of Caja Espana and Caja Duero. Bad loan portfolio transferred to SAREB, default in 2013 (Moody's)</t>
  </si>
  <si>
    <t>Bail in of the bank and government administrations (4 month after end March), default (Fitch, Moody's)</t>
  </si>
  <si>
    <t>Adoption guarantee scheme/takeover by BBVA (Banco Bilbao Vizcaya Argentaria), state guarantees (December 2008), recapitalisation (March 2010, September 2011, November 2012, June 2013), closed in 2016. Bank created in 2010 by merger of three savings banks (notably Caixa Catalunya, Caixa Tarragona), default in 2013 (Moody's)</t>
  </si>
  <si>
    <t>Resolution Act adopted/default actually occurs (S&amp;P, Moody's)</t>
  </si>
  <si>
    <t>Creation of the bank as Effibank (merger of Cajasur-CCM, Caja Cantabria, Caja Extremadura)/recapitalisation, state guarantees adoption, bank did not require state aid until 2012, default (April 2012, Moody's)</t>
  </si>
  <si>
    <t>NCGOF.PK^L16</t>
  </si>
  <si>
    <t>NCG Banco (Abanca Corporacion Bancaria SA)</t>
  </si>
  <si>
    <t>Announcement state guarantees, creation of the bank (September 2011) by merger of Caja Gallicia and Caixabova under name Novacaixagalicia, changed to NCG in 2010/first recapitalisation and enforcement state guarantees</t>
  </si>
  <si>
    <t>Second recapitalisation/default in March 2013 (Moody's)</t>
  </si>
  <si>
    <t>Takeover by Etcheverria Banco S.A.rebranded ABANCA/merged with Etcheverria in December 2014, ABANCA surviving firm</t>
  </si>
  <si>
    <t>8681W1</t>
  </si>
  <si>
    <t>Second recapitalisation/nationalisation, default (Moody's). Adoption restructuration plan in 2017 with transfer of bad assets to Slovenian Bank Asset Management Company (BAMC), laid down in June 2017</t>
  </si>
  <si>
    <t>Adoption guarantee scheme/recapitalisation (enforcement for SNS Bank in January 2010)</t>
  </si>
  <si>
    <t>Urgent recapitalisation need warned by supervisor/Recapitalisation and separation into a good and bad bank (February 2013), default September 2013 (Moody's). SNS Bank rebranded De Volksbank in January 2017, disparition of SNS REAAL in September 2015</t>
  </si>
  <si>
    <t>Recapitalisation recommandation (EBA)/recapitalisation, first default (Moody's)</t>
  </si>
  <si>
    <t>Second recapitalisation/recapitalisation implemented (May 2012), third recapitalisation, default (Moody's, distressed exchange)</t>
  </si>
  <si>
    <t>Merger with Allied Irish Bank/state aid granted (incorporation to Allied Irish Bank in 2012), default (Moody's, distressed exchange)</t>
  </si>
  <si>
    <t>Adoption guarantee, recapitalisation schemes/recapitalisation, group rebranded Permanent TSB in July 2013, profitable part (Life Groupe) sold to Great-West Lifeco, default (Moody's)</t>
  </si>
  <si>
    <t>Adoption guarantee, recapitalisation schemes/takeover by Irish Life and Permanent Group Holding (capital injection in March and September 2010, nationalisation in March 2010), default in 2011 (Moody's)</t>
  </si>
  <si>
    <t>Liquidation, bank divided into two parts in January 2010, one part being acquired by the Virgin Money Fund (January 2012) and rebranded. Sale of large part of the assets in June 2013. Default in 2011 (distressed exchange, Moody's)</t>
  </si>
  <si>
    <t>Recapitalisations/liquidation (NAMA acquires bad debt until 2011), split into Asset Recovery Bank (liquidated) and Funding Banks (deposits guaranted by the state), default (Moody's, distressed exchange)</t>
  </si>
  <si>
    <t>Second recapitalisation/last recapitalisation, defaults (Moody's, distressed exchange, 2010, 2011)</t>
  </si>
  <si>
    <t>First losses recorded (following involvement in Icelandic banks)/merger with the Yorkshire Building Society completed, default (Moody's, distressed exchange)</t>
  </si>
  <si>
    <t>Company considered insolvent/takeover by Nationwide Building Society, merger in October 2013, company rebranded, default in 2009 (Moody's)</t>
  </si>
  <si>
    <t>A distress event is any event entering at least one of the following categories (mainly following Betz et al. (2014)):</t>
  </si>
  <si>
    <t>Adoption State guarantee scheme (Bank package I)/sale of branches (activities transfer to Financial Stability Company for liquidation in May 2009, application liquidation plan in October 2010), default in 2010 (Moody's)</t>
  </si>
  <si>
    <t>Adoption guarantee scheme/enforcement - precise date unknown, default (Moody's, 2009, distressed exchange)</t>
  </si>
  <si>
    <t>Announcement capitalisation scheme to the bank/Bank taken over on August 2008 and divided into good and bad banks, default in October 2008 (Moody's)</t>
  </si>
  <si>
    <t>Espirito Santo Financial Group SA (ESFG)</t>
  </si>
  <si>
    <t>ESTL.LU^B16</t>
  </si>
  <si>
    <t>LX:ESP</t>
  </si>
  <si>
    <t>CTT.L^C11</t>
  </si>
  <si>
    <t>CTLS</t>
  </si>
  <si>
    <t>Banca Privada d'Andorra</t>
  </si>
  <si>
    <t>Andorra</t>
  </si>
  <si>
    <t>Default (Fitch)</t>
  </si>
  <si>
    <t>GMAC international finance B.V.</t>
  </si>
  <si>
    <t>GMAC Bank GmbH (Opel Bank S.A.)</t>
  </si>
  <si>
    <t>Default (Fitch, distressed exchange)</t>
  </si>
  <si>
    <t>Default (Fitch, Moody's, distressed exchange)</t>
  </si>
  <si>
    <t>Indover Bank</t>
  </si>
  <si>
    <t>Default (Fitch)/bankruptcy</t>
  </si>
  <si>
    <t>Default (S&amp;P)/Default (Moody's), diparition of Espirito Santo Group</t>
  </si>
  <si>
    <t>Banco Financiero y de Ahorros</t>
  </si>
  <si>
    <t>Estonia, Liechtenstein, Malta, Monaco, Norway, Poland, San Marino, Slovak Republic, Vatican City</t>
  </si>
  <si>
    <t>Andorra, Austria, Belgium, Bulgaria, Cyprus, Czech Republic, Denmark, Faroe Islands, Finland, France, Germany, Greece, Hungary, Iceland, Ireland, Italy, Latvia, Lithuania, Luxembourg, the Netherlands, Portugal, Slovenia, Spain, Sweden, Switzerland, the United Kingdom</t>
  </si>
  <si>
    <t>Default (Moody's, distressed exchange)</t>
  </si>
  <si>
    <t>Ibercaja Banco SA</t>
  </si>
  <si>
    <t>Creation of the bank from a merger of three cooperatives/merger with Ibercaja Banco (state guarantees since 2010, recapitalisation in December 2012)</t>
  </si>
  <si>
    <t>Moody’s Annual Default Study: Corporate Default and Recovery Rates (2000-2019)</t>
  </si>
  <si>
    <t>S&amp;P Annual Global Corporate Default And Rating (2000-2020)</t>
  </si>
  <si>
    <t>Fitch Ratings Global Corporate Finance: Transition and Default Study (2000-2019)</t>
  </si>
  <si>
    <t>SachsenLB (Landesbank Sachsen AG)</t>
  </si>
  <si>
    <t>Carnegie Investment Bank AB (HEMBLA AB)</t>
  </si>
  <si>
    <t>Capital injections (December 2010, July 2011), Merger with EBS/state aid granted - surviving company, default (Moody's, distressed exchange), renamed AIB Group plc</t>
  </si>
  <si>
    <t>Rothschild &amp; Co Continuation Finance PLC</t>
  </si>
  <si>
    <t>Adoption guarantee scheme/enforcement - precise date unknown, named Rothschilds Continuation Finance PLC until 2018, was eligible to UK scheme but is a Non-bank FI Financing Vehicles/Special Purpose Entities (Fitch). Parent Rothschilds &amp; Co Continuation Limited is a Bank Holding Company</t>
  </si>
  <si>
    <t>DJSPAR.CO^A21</t>
  </si>
  <si>
    <t>Rated - Analysts recommendations</t>
  </si>
  <si>
    <t>February 2020</t>
  </si>
  <si>
    <t>• State support captures recapitalisation and asset relief (asset protection or asset guarantees) programs. The event is defined to begin when the program is announced or adopted (almost always the same quarter)  and to end when it is implemented to the bank. When a bank benefits from more than one program or intervention within one year, the duration is extended to capture the period of actual distress. When the period is longer, the bank is counted more than one time - one for each event. When the enforcement of the program happens a long time after its announcement or adoption, another more relevant date is considered.</t>
  </si>
  <si>
    <r>
      <t xml:space="preserve">• Private sector solutions are taken into account </t>
    </r>
    <r>
      <rPr>
        <sz val="12"/>
        <color theme="1"/>
        <rFont val="Calibri"/>
        <family val="2"/>
        <scheme val="minor"/>
      </rPr>
      <t xml:space="preserve">via </t>
    </r>
    <r>
      <rPr>
        <i/>
        <sz val="12"/>
        <color theme="1"/>
        <rFont val="Calibri"/>
        <family val="2"/>
        <scheme val="minor"/>
      </rPr>
      <t xml:space="preserve">mergers in distress (a parent receives state aid within 12 months after the merger or a merged entity has a coverage ratio below than 0 within 12 months before the merger) and IPO, purchase or liquidity providing (recapitalisation) by private investors. The event is defined to begin when the merger occurs and to end when the parent receives state aid, </t>
    </r>
    <r>
      <rPr>
        <i/>
        <sz val="12"/>
        <color theme="1"/>
        <rFont val="Calibri (Body)"/>
      </rPr>
      <t>or to start when the coverage ratio falls below 0 (within 12 months before the merger) and end when the merger occurs.</t>
    </r>
  </si>
  <si>
    <r>
      <t xml:space="preserve">Data was mainly extracted from S&amp;P, Moody's and Fitch annual compendiums of corporate defaults, Eikon Refinitiv, the financial (Reuters, the Financial Times, Bloomberg) and general press, the European Commission, the Bank for International Settlements, the OECD, the World Bank, the European Central Bank and national Central Banks and resolution funds, the Yale Program on Financial Stability, law firms (e.g. MayerBrown) and various academical papers, see worksheet "Sources'' for more details. 
• </t>
    </r>
    <r>
      <rPr>
        <sz val="12"/>
        <color theme="1"/>
        <rFont val="Calibri"/>
        <family val="2"/>
        <scheme val="minor"/>
      </rPr>
      <t xml:space="preserve">Frank Betz, Silviu Oprică, Tuomas A. Peltonen, and Peter Sarlin. Predicting distress in European banks. </t>
    </r>
    <r>
      <rPr>
        <i/>
        <sz val="12"/>
        <color theme="1"/>
        <rFont val="Calibri"/>
        <family val="2"/>
        <scheme val="minor"/>
      </rPr>
      <t>Journal of Banking &amp; Finance</t>
    </r>
    <r>
      <rPr>
        <sz val="12"/>
        <color theme="1"/>
        <rFont val="Calibri"/>
        <family val="2"/>
        <scheme val="minor"/>
      </rPr>
      <t>, 45 :225–241, 2014.</t>
    </r>
    <r>
      <rPr>
        <i/>
        <sz val="12"/>
        <color theme="1"/>
        <rFont val="Calibri"/>
        <family val="2"/>
        <scheme val="minor"/>
      </rPr>
      <t xml:space="preserve">
• </t>
    </r>
    <r>
      <rPr>
        <sz val="12"/>
        <color theme="1"/>
        <rFont val="Calibri"/>
        <family val="2"/>
        <scheme val="minor"/>
      </rPr>
      <t>Brenda González-Hermosillo. Determinants of ex-ante banking system distress : A macro-micro empirical exploration of some recent episodes. Working Paper No. 99/33, International Monetary Fund, New York, 1999.</t>
    </r>
  </si>
  <si>
    <t>DATASTREAM MNEMONICS</t>
  </si>
  <si>
    <t>This database lists major distress events of European banks since Q1-2000 to Q4-2020, frequency is quarterly</t>
  </si>
  <si>
    <t>Pre-distress event variable (1 4 quarters before the distress event, else 0)</t>
  </si>
  <si>
    <t>BOC.CY^A17</t>
  </si>
  <si>
    <t>CP:BCH</t>
  </si>
  <si>
    <t>Default (Fitch)/liquidation, actually coverage ratio below 0 since January 2009</t>
  </si>
  <si>
    <t>Ex-Aspis Bank S.A. Adoption guarantee and recapitalisation schemes/Acquisition by Hellenic Postbank and rebranded T-Bank (coverage ratio below 0 from January 2009)</t>
  </si>
  <si>
    <t>Banca Monte dei Paschi di Siena SpA</t>
  </si>
  <si>
    <t>Allied Irish Banks plc/AIB Group (UK) plc</t>
  </si>
  <si>
    <t>Adoption guarantee, recapitalisation schemes/Nationalisation, original RIC/Datastream : ALBK.L^A11/ALBKL, AIB Group subsidiary of AIB</t>
  </si>
  <si>
    <t>Banca Piccolo Credito Valtellinese SpA</t>
  </si>
  <si>
    <t>Banco BPM SpA</t>
  </si>
  <si>
    <t>Fortis Bank Nederland (Holding) N.V. : Announcement recapitalisation agreement/nationalisation, integration into ABN Amro in July 2010</t>
  </si>
  <si>
    <t>Natwest/Royal Bank of Scotland (RBS)</t>
  </si>
  <si>
    <t>Cattles LTD</t>
  </si>
  <si>
    <t>Default (Fitch), acquisition by Bovess Ltd/delisted (liquidation in September 2016)</t>
  </si>
  <si>
    <t>Istituto per il Credito sportivo</t>
  </si>
  <si>
    <t>Adoption guarantee scheme/enforcement, merger with Banco Popolare SC (Banco BPM) to form Banco BPM in 2016</t>
  </si>
  <si>
    <t>Convertible preference shares injection in February 2011 by Resolution Fund (FROB) to facilitate aquisition of Banca Civica SA in 2012</t>
  </si>
  <si>
    <t>Announcement recapitalisation agreement Belgium, the Netherlands, Luxembourg (asset guarantees in November, nationalisation)/conclution of deal with BNP, European commission agreement</t>
  </si>
  <si>
    <t>Creation bank/banking licence set aside, clearing bank capitalised by Austrian Banks to provide liquidity and create confidence, conducted 310 auctions, no government guarantees used.</t>
  </si>
  <si>
    <t>Coverage ratio falls around 1, very difficult 2008 year/merger with Max Bank</t>
  </si>
  <si>
    <t>Announcement guarantee scheme/enforcement</t>
  </si>
  <si>
    <t>https://ec.europa.eu/competition/state_aid/cases/247539/247539_1578187_24_2.pdf</t>
  </si>
  <si>
    <t>https://ricerca.gelocal.it/tribunatreviso/archivio/tribunatreviso/2007/01/10/TCKPO_TCK05.html</t>
  </si>
  <si>
    <t>https://www.borsaitaliana.it/azioni/profilisocietari/46.en.htm</t>
  </si>
  <si>
    <t>https://www.20minutos.es/noticia/1780669/0/caixabanc/banca-civica/frob/</t>
  </si>
  <si>
    <t>https://www.20minutos.es/noticia/1780669/0/caixabanc/banca-civica/frob/?autoref=true</t>
  </si>
  <si>
    <t>Banca Civica SA</t>
  </si>
  <si>
    <t>BCIV.MC^H12</t>
  </si>
  <si>
    <t>Banco Pastor SA</t>
  </si>
  <si>
    <t>PAS.MC^C12</t>
  </si>
  <si>
    <t>Banca Popolare di Intra SpA</t>
  </si>
  <si>
    <t>PINI.MI^L08</t>
  </si>
  <si>
    <t>Marfin Egnatia Bank SA</t>
  </si>
  <si>
    <t>EGNr.AT^C11</t>
  </si>
  <si>
    <t>Emporiki Bank of Greece SA</t>
  </si>
  <si>
    <t>CBGr.AT^J11</t>
  </si>
  <si>
    <t>Dresdner Bank AG</t>
  </si>
  <si>
    <t>DRSDgd.F^F08</t>
  </si>
  <si>
    <t>E:BCIV</t>
  </si>
  <si>
    <t>E:PAS</t>
  </si>
  <si>
    <t>G:EGNC</t>
  </si>
  <si>
    <t>G:EMP</t>
  </si>
  <si>
    <t>Merger with Commerbank, announced 31/08/2008, effective 11/05/2009</t>
  </si>
  <si>
    <t>Merger with CPB (Laiki), announced 15/05/2009, effective end-2010 (CPB recapitalised in 2011), delisted March 2011</t>
  </si>
  <si>
    <t>Bank delisted (August 2011), coverage ratio falls below 0 (technically since 2006), recapitalisation by parent Credit Agricole (January 2012)/Merger with Alpha Bank, announced 01/10/2012 (Credit Agricole), effective in February 2013.</t>
  </si>
  <si>
    <t>Bank near collapse owing to Finpart bankruptcy (money laundering), the bank being strongly exposed/merger with Veneto Banca (April 2007), bank ceased to exist in November 2010</t>
  </si>
  <si>
    <t>Merger with Banco Popular announced (October 2011)/enforcement (November 2012)</t>
  </si>
  <si>
    <t>La Caixa (Caixabank) receive aid from the FROB (February 2011), merger announced (March 2012) with la Caixa/Enforcement (03/08/2012)</t>
  </si>
  <si>
    <t>Distress event slightly put forward (delisting in 2011 unstead of merger announcement) as no data following that date</t>
  </si>
  <si>
    <t>Nordea Bank Abp</t>
  </si>
  <si>
    <t>NDASE.ST</t>
  </si>
  <si>
    <t>W:NDAS</t>
  </si>
  <si>
    <t>Enforcement recapitalisation by the government</t>
  </si>
  <si>
    <t>Sale of the company in Greece (renamed CPB Bank) to Piraeus Bank in March 2013)/division into a good and a bad bank (Legacy Laiki), second default (Moody's)</t>
  </si>
  <si>
    <t>Sale of the company's branches in Greece to Piraeus Bank, default/successful private recapitalisation (announced in October)</t>
  </si>
  <si>
    <t>Additional funds granted, absorbed Agricultural Bank of Greece and Bank of Cyprus, Cyprus Popular Bank, Hellenic Bank  (Cyprus) (March 2013), funded by the EFSF (recapitalisation)</t>
  </si>
  <si>
    <t>Forced rescue by regional bank owners following moratorium on Heta liabilities/end of 2015 year</t>
  </si>
  <si>
    <t>Implementation bridge recapitalisation/new recapitalisation, bank renamed Eurobank Ergasias S.A. (June 2012)</t>
  </si>
  <si>
    <t>Default (0 if agency (obligation payment failure, distressed exchange); 1 if placed under administration, regulatory intervention)</t>
  </si>
  <si>
    <t>Unsuccessful attempt to raise capital in the financial markets/acquisition by Santander and disparition of the bank (full nationalisation in September 2008, sale to Santander in 2008, division and liquididation in March 2009), defaults (Moody's, distressed exchange, 2009 and 2010)</t>
  </si>
  <si>
    <t xml:space="preserve">• Actual bankruptcies (net worth of a bank falls below country-specific guidelines), liquidations (bank is sold as per the guidelines of the liquidator in which case the shareholders may not receive full payment for their ownership), defaults (obligation payment failure - bank has failed to pay interest or principal on at least one financial obligation beyond any grace period specified by the terms -, distressed exchange - at least one financial obligation is repurchased or replaced by other instruments with a diminished total value -, placed under administration or regulatory intervention, as per rating agencies categories). The event is defined to begin when the failure is announced and to end when it occurs. Default from agencies are coded 0 and removed from the final sample owing to endogeneity bias.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</si>
</sst>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yyyy"/>
  </numFmts>
  <fonts count="18">
    <font>
      <sz val="12"/>
      <color theme="1"/>
      <name val="Calibri"/>
      <family val="2"/>
      <scheme val="minor"/>
    </font>
    <font>
      <sz val="11"/>
      <color theme="1"/>
      <name val="Calibri"/>
      <family val="2"/>
      <scheme val="minor"/>
    </font>
    <font>
      <b/>
      <sz val="12"/>
      <color theme="1"/>
      <name val="Calibri"/>
      <family val="2"/>
      <scheme val="minor"/>
    </font>
    <font>
      <sz val="8"/>
      <name val="Calibri"/>
      <family val="2"/>
      <scheme val="minor"/>
    </font>
    <font>
      <sz val="10"/>
      <color theme="1"/>
      <name val="TT19Ft00"/>
    </font>
    <font>
      <sz val="12"/>
      <color rgb="FFFF0000"/>
      <name val="Calibri"/>
      <family val="2"/>
      <scheme val="minor"/>
    </font>
    <font>
      <sz val="12"/>
      <color rgb="FF000000"/>
      <name val="Calibri"/>
      <family val="2"/>
      <scheme val="minor"/>
    </font>
    <font>
      <sz val="11"/>
      <color theme="1"/>
      <name val="TimesNewRomanPSMT"/>
    </font>
    <font>
      <i/>
      <sz val="12"/>
      <color theme="1"/>
      <name val="Calibri"/>
      <family val="2"/>
      <scheme val="minor"/>
    </font>
    <font>
      <i/>
      <sz val="12"/>
      <color rgb="FF000000"/>
      <name val="Calibri"/>
      <family val="2"/>
      <scheme val="minor"/>
    </font>
    <font>
      <sz val="12"/>
      <color theme="1"/>
      <name val="Times New Roman"/>
      <family val="1"/>
    </font>
    <font>
      <sz val="10"/>
      <color rgb="FFFF0000"/>
      <name val="TT19Ft00"/>
    </font>
    <font>
      <i/>
      <sz val="12"/>
      <color theme="1"/>
      <name val="Calibri (Body)"/>
    </font>
    <font>
      <b/>
      <sz val="12"/>
      <color theme="1"/>
      <name val="Calibri (Body)"/>
    </font>
    <font>
      <sz val="12"/>
      <color theme="1"/>
      <name val="Calibri (Body)"/>
    </font>
    <font>
      <sz val="11"/>
      <color theme="1"/>
      <name val="Calibri"/>
      <family val="2"/>
      <scheme val="minor"/>
    </font>
    <font>
      <u/>
      <sz val="12"/>
      <color theme="10"/>
      <name val="Calibri"/>
      <family val="2"/>
      <scheme val="minor"/>
    </font>
    <font>
      <sz val="12"/>
      <name val="Calibri"/>
      <family val="2"/>
      <scheme val="minor"/>
    </font>
  </fonts>
  <fills count="5">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rgb="FFFFFF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16" fillId="0" borderId="0" applyNumberFormat="0" applyFill="0" applyBorder="0" applyAlignment="0" applyProtection="0"/>
  </cellStyleXfs>
  <cellXfs count="78">
    <xf numFmtId="0" fontId="0" fillId="0" borderId="0" xfId="0"/>
    <xf numFmtId="0" fontId="0" fillId="0" borderId="0" xfId="0" applyAlignment="1">
      <alignment horizontal="right"/>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0" borderId="0" xfId="0" applyFont="1"/>
    <xf numFmtId="17" fontId="0" fillId="0" borderId="0" xfId="0" applyNumberFormat="1"/>
    <xf numFmtId="0" fontId="4" fillId="0" borderId="0" xfId="0" applyFont="1"/>
    <xf numFmtId="0" fontId="5" fillId="0" borderId="0" xfId="0" applyFont="1"/>
    <xf numFmtId="0" fontId="6" fillId="0" borderId="0" xfId="0" applyFont="1"/>
    <xf numFmtId="0" fontId="9" fillId="0" borderId="0" xfId="0" applyFont="1"/>
    <xf numFmtId="0" fontId="8" fillId="0" borderId="0" xfId="0" applyFont="1"/>
    <xf numFmtId="164" fontId="8" fillId="0" borderId="0" xfId="0" applyNumberFormat="1" applyFont="1"/>
    <xf numFmtId="0" fontId="0" fillId="0" borderId="13" xfId="0" applyBorder="1"/>
    <xf numFmtId="0" fontId="0" fillId="3" borderId="10" xfId="0" applyFill="1" applyBorder="1"/>
    <xf numFmtId="0" fontId="0" fillId="3" borderId="0" xfId="0" applyFill="1"/>
    <xf numFmtId="0" fontId="0" fillId="3" borderId="11" xfId="0" applyFill="1" applyBorder="1"/>
    <xf numFmtId="0" fontId="8" fillId="3" borderId="11" xfId="0" applyFont="1" applyFill="1" applyBorder="1"/>
    <xf numFmtId="164" fontId="8" fillId="3" borderId="0" xfId="0" quotePrefix="1" applyNumberFormat="1" applyFont="1" applyFill="1"/>
    <xf numFmtId="164" fontId="8" fillId="3" borderId="11" xfId="0" applyNumberFormat="1" applyFont="1" applyFill="1" applyBorder="1"/>
    <xf numFmtId="0" fontId="9" fillId="3" borderId="0" xfId="0" applyFont="1" applyFill="1"/>
    <xf numFmtId="0" fontId="9" fillId="3" borderId="11" xfId="0" applyFont="1" applyFill="1" applyBorder="1"/>
    <xf numFmtId="0" fontId="2" fillId="3" borderId="10" xfId="0" applyFont="1" applyFill="1" applyBorder="1"/>
    <xf numFmtId="0" fontId="2" fillId="3" borderId="0" xfId="0" applyFont="1" applyFill="1"/>
    <xf numFmtId="0" fontId="2" fillId="3" borderId="11" xfId="0" applyFont="1" applyFill="1" applyBorder="1"/>
    <xf numFmtId="0" fontId="8" fillId="3" borderId="11" xfId="0" applyFont="1" applyFill="1" applyBorder="1" applyAlignment="1">
      <alignment wrapText="1"/>
    </xf>
    <xf numFmtId="0" fontId="8" fillId="3" borderId="0" xfId="0" applyFont="1" applyFill="1" applyAlignment="1">
      <alignment horizontal="left"/>
    </xf>
    <xf numFmtId="0" fontId="8" fillId="3" borderId="11" xfId="0" applyFont="1" applyFill="1" applyBorder="1" applyAlignment="1">
      <alignment vertical="center" wrapText="1"/>
    </xf>
    <xf numFmtId="0" fontId="0" fillId="3" borderId="12" xfId="0" applyFill="1" applyBorder="1" applyAlignment="1">
      <alignment vertical="top"/>
    </xf>
    <xf numFmtId="0" fontId="10" fillId="0" borderId="0" xfId="0" applyFont="1"/>
    <xf numFmtId="0" fontId="0" fillId="2" borderId="1" xfId="0" applyFill="1" applyBorder="1" applyAlignment="1">
      <alignment horizontal="center"/>
    </xf>
    <xf numFmtId="0" fontId="0" fillId="2" borderId="1" xfId="0" applyFill="1" applyBorder="1" applyAlignment="1">
      <alignment horizontal="center" wrapText="1"/>
    </xf>
    <xf numFmtId="0" fontId="0" fillId="0" borderId="8" xfId="0" applyBorder="1"/>
    <xf numFmtId="0" fontId="0" fillId="0" borderId="6" xfId="0" applyBorder="1" applyAlignment="1">
      <alignment horizontal="center" vertical="center"/>
    </xf>
    <xf numFmtId="0" fontId="0" fillId="0" borderId="6" xfId="0" applyBorder="1"/>
    <xf numFmtId="0" fontId="11" fillId="0" borderId="0" xfId="0" applyFont="1"/>
    <xf numFmtId="0" fontId="6" fillId="0" borderId="0" xfId="0" applyFont="1" applyAlignment="1">
      <alignment vertical="center"/>
    </xf>
    <xf numFmtId="0" fontId="0" fillId="0" borderId="0" xfId="0" applyAlignment="1">
      <alignment vertical="center"/>
    </xf>
    <xf numFmtId="0" fontId="0" fillId="2" borderId="1" xfId="0" applyFill="1" applyBorder="1"/>
    <xf numFmtId="0" fontId="2" fillId="2" borderId="1" xfId="0" applyFont="1" applyFill="1" applyBorder="1"/>
    <xf numFmtId="0" fontId="5" fillId="0" borderId="0" xfId="0" applyFont="1" applyAlignment="1">
      <alignment horizontal="right"/>
    </xf>
    <xf numFmtId="0" fontId="0" fillId="0" borderId="0" xfId="0" applyAlignment="1">
      <alignment horizontal="left"/>
    </xf>
    <xf numFmtId="0" fontId="0" fillId="0" borderId="0" xfId="0" applyAlignment="1">
      <alignment wrapText="1"/>
    </xf>
    <xf numFmtId="0" fontId="0" fillId="0" borderId="0" xfId="0" applyAlignment="1">
      <alignment horizontal="left" vertical="center" wrapText="1"/>
    </xf>
    <xf numFmtId="0" fontId="13" fillId="3" borderId="11" xfId="0" applyFont="1" applyFill="1" applyBorder="1" applyAlignment="1">
      <alignment vertical="center" wrapText="1"/>
    </xf>
    <xf numFmtId="0" fontId="0" fillId="3" borderId="13" xfId="0" applyFill="1" applyBorder="1" applyAlignment="1">
      <alignment vertical="top"/>
    </xf>
    <xf numFmtId="0" fontId="0" fillId="3" borderId="14" xfId="0" applyFill="1" applyBorder="1" applyAlignment="1">
      <alignment vertical="top" wrapText="1"/>
    </xf>
    <xf numFmtId="0" fontId="14" fillId="3" borderId="11" xfId="0" applyFont="1" applyFill="1" applyBorder="1" applyAlignment="1">
      <alignment vertical="center" wrapText="1"/>
    </xf>
    <xf numFmtId="0" fontId="2" fillId="3" borderId="10" xfId="0" applyFont="1" applyFill="1" applyBorder="1" applyAlignment="1">
      <alignment vertical="center"/>
    </xf>
    <xf numFmtId="0" fontId="2" fillId="3" borderId="0" xfId="0" applyFont="1" applyFill="1" applyAlignment="1">
      <alignment vertical="center"/>
    </xf>
    <xf numFmtId="0" fontId="2" fillId="3" borderId="11" xfId="0" applyFont="1" applyFill="1" applyBorder="1" applyAlignment="1">
      <alignment vertical="center"/>
    </xf>
    <xf numFmtId="0" fontId="15" fillId="0" borderId="0" xfId="0" applyFont="1"/>
    <xf numFmtId="0" fontId="16" fillId="0" borderId="0" xfId="1"/>
    <xf numFmtId="0" fontId="16" fillId="3" borderId="10" xfId="1" applyFill="1" applyBorder="1" applyAlignment="1">
      <alignment vertical="top"/>
    </xf>
    <xf numFmtId="0" fontId="16" fillId="3" borderId="10" xfId="1" applyFill="1" applyBorder="1"/>
    <xf numFmtId="0" fontId="1" fillId="0" borderId="0" xfId="0" applyFont="1"/>
    <xf numFmtId="0" fontId="17" fillId="0" borderId="0" xfId="0" applyFont="1"/>
    <xf numFmtId="0" fontId="0" fillId="3" borderId="10" xfId="0" applyFill="1" applyBorder="1" applyAlignment="1">
      <alignment horizontal="left" vertical="top"/>
    </xf>
    <xf numFmtId="0" fontId="0" fillId="3" borderId="0" xfId="0" applyFill="1" applyAlignment="1">
      <alignment horizontal="left" vertical="top"/>
    </xf>
    <xf numFmtId="0" fontId="0" fillId="3" borderId="10" xfId="0" applyFill="1" applyBorder="1" applyAlignment="1">
      <alignment horizontal="left" vertical="top" wrapText="1"/>
    </xf>
    <xf numFmtId="0" fontId="0" fillId="3" borderId="0" xfId="0" applyFill="1" applyAlignment="1">
      <alignment horizontal="left" vertical="top" wrapText="1"/>
    </xf>
    <xf numFmtId="0" fontId="2" fillId="3" borderId="7" xfId="0" applyFont="1" applyFill="1" applyBorder="1" applyAlignment="1">
      <alignment horizontal="left"/>
    </xf>
    <xf numFmtId="0" fontId="2" fillId="3" borderId="8" xfId="0" applyFont="1" applyFill="1" applyBorder="1" applyAlignment="1">
      <alignment horizontal="left"/>
    </xf>
    <xf numFmtId="0" fontId="2" fillId="3" borderId="9" xfId="0" applyFont="1" applyFill="1" applyBorder="1" applyAlignment="1">
      <alignment horizontal="left"/>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0" fillId="0" borderId="8" xfId="0"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2" borderId="1" xfId="0" applyFill="1" applyBorder="1" applyAlignment="1">
      <alignment horizontal="center"/>
    </xf>
    <xf numFmtId="0" fontId="0" fillId="4"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I25"/>
  <sheetViews>
    <sheetView topLeftCell="A19" zoomScale="88" workbookViewId="0">
      <selection activeCell="D16" sqref="D16"/>
    </sheetView>
  </sheetViews>
  <sheetFormatPr baseColWidth="10" defaultRowHeight="16"/>
  <cols>
    <col min="2" max="2" width="10.83203125" customWidth="1"/>
    <col min="3" max="3" width="15" customWidth="1"/>
    <col min="4" max="4" width="98.83203125" customWidth="1"/>
    <col min="6" max="6" width="61.6640625" customWidth="1"/>
  </cols>
  <sheetData>
    <row r="2" spans="2:9">
      <c r="B2" s="60" t="s">
        <v>401</v>
      </c>
      <c r="C2" s="61"/>
      <c r="D2" s="62"/>
      <c r="E2" s="4"/>
      <c r="F2" s="4"/>
      <c r="G2" s="4"/>
      <c r="H2" s="4"/>
    </row>
    <row r="3" spans="2:9">
      <c r="B3" s="13"/>
      <c r="C3" s="14"/>
      <c r="D3" s="15"/>
    </row>
    <row r="4" spans="2:9">
      <c r="B4" s="13" t="s">
        <v>404</v>
      </c>
      <c r="C4" s="25">
        <v>1</v>
      </c>
      <c r="D4" s="16"/>
      <c r="E4" s="10"/>
      <c r="F4" s="10"/>
      <c r="G4" s="10"/>
      <c r="H4" s="10"/>
    </row>
    <row r="5" spans="2:9">
      <c r="B5" s="13" t="s">
        <v>405</v>
      </c>
      <c r="C5" s="17" t="s">
        <v>1044</v>
      </c>
      <c r="D5" s="18"/>
      <c r="E5" s="11"/>
      <c r="F5" s="11"/>
      <c r="G5" s="11"/>
      <c r="H5" s="11"/>
    </row>
    <row r="6" spans="2:9">
      <c r="B6" s="13"/>
      <c r="C6" s="14"/>
      <c r="D6" s="15"/>
    </row>
    <row r="7" spans="2:9">
      <c r="B7" s="13" t="s">
        <v>403</v>
      </c>
      <c r="C7" s="19" t="s">
        <v>402</v>
      </c>
      <c r="D7" s="20"/>
      <c r="E7" s="9"/>
      <c r="F7" s="9"/>
      <c r="G7" s="9"/>
      <c r="H7" s="9"/>
      <c r="I7" s="9"/>
    </row>
    <row r="8" spans="2:9">
      <c r="B8" s="13"/>
      <c r="C8" s="14"/>
      <c r="D8" s="15"/>
    </row>
    <row r="9" spans="2:9">
      <c r="B9" s="21" t="s">
        <v>406</v>
      </c>
      <c r="C9" s="22"/>
      <c r="D9" s="23"/>
      <c r="E9" s="4"/>
      <c r="F9" s="4"/>
      <c r="G9" s="4"/>
      <c r="H9" s="4"/>
    </row>
    <row r="10" spans="2:9">
      <c r="B10" s="13" t="s">
        <v>1049</v>
      </c>
      <c r="C10" s="14"/>
      <c r="D10" s="15"/>
    </row>
    <row r="11" spans="2:9">
      <c r="B11" s="13"/>
      <c r="C11" s="14"/>
      <c r="D11" s="15"/>
    </row>
    <row r="12" spans="2:9" ht="52" customHeight="1">
      <c r="B12" s="56" t="s">
        <v>407</v>
      </c>
      <c r="C12" s="57"/>
      <c r="D12" s="24" t="s">
        <v>1030</v>
      </c>
    </row>
    <row r="13" spans="2:9" ht="63" customHeight="1">
      <c r="B13" s="58" t="s">
        <v>408</v>
      </c>
      <c r="C13" s="59"/>
      <c r="D13" s="26" t="s">
        <v>1029</v>
      </c>
    </row>
    <row r="14" spans="2:9">
      <c r="B14" s="13"/>
      <c r="C14" s="14"/>
      <c r="D14" s="16"/>
    </row>
    <row r="15" spans="2:9">
      <c r="B15" s="53" t="s">
        <v>409</v>
      </c>
      <c r="C15" s="14"/>
      <c r="D15" s="16" t="s">
        <v>1009</v>
      </c>
    </row>
    <row r="16" spans="2:9" ht="113" customHeight="1">
      <c r="B16" s="13"/>
      <c r="C16" s="14"/>
      <c r="D16" s="24" t="s">
        <v>1110</v>
      </c>
    </row>
    <row r="17" spans="2:6" ht="98" customHeight="1">
      <c r="B17" s="13"/>
      <c r="C17" s="14"/>
      <c r="D17" s="24" t="s">
        <v>1045</v>
      </c>
    </row>
    <row r="18" spans="2:6" ht="81" customHeight="1">
      <c r="B18" s="13"/>
      <c r="C18" s="14"/>
      <c r="D18" s="24" t="s">
        <v>1046</v>
      </c>
    </row>
    <row r="19" spans="2:6" ht="68" customHeight="1">
      <c r="B19" s="13"/>
      <c r="C19" s="14"/>
      <c r="D19" s="46" t="s">
        <v>895</v>
      </c>
      <c r="F19" s="41"/>
    </row>
    <row r="20" spans="2:6" ht="48" customHeight="1">
      <c r="B20" s="13"/>
      <c r="C20" s="14"/>
      <c r="D20" s="43" t="s">
        <v>890</v>
      </c>
    </row>
    <row r="21" spans="2:6" ht="172" customHeight="1">
      <c r="B21" s="52" t="s">
        <v>15</v>
      </c>
      <c r="C21" s="14"/>
      <c r="D21" s="24" t="s">
        <v>1047</v>
      </c>
      <c r="E21" s="51"/>
    </row>
    <row r="22" spans="2:6" ht="51" customHeight="1">
      <c r="B22" s="47" t="s">
        <v>893</v>
      </c>
      <c r="C22" s="48"/>
      <c r="D22" s="49" t="s">
        <v>1050</v>
      </c>
    </row>
    <row r="23" spans="2:6" ht="85">
      <c r="B23" s="27" t="s">
        <v>892</v>
      </c>
      <c r="C23" s="44"/>
      <c r="D23" s="45" t="s">
        <v>894</v>
      </c>
    </row>
    <row r="25" spans="2:6">
      <c r="B25" s="7"/>
    </row>
  </sheetData>
  <mergeCells count="3">
    <mergeCell ref="B12:C12"/>
    <mergeCell ref="B13:C13"/>
    <mergeCell ref="B2:D2"/>
  </mergeCells>
  <hyperlinks>
    <hyperlink ref="B21" location="Sources!A1" display="Sources:" xr:uid="{6D801B32-795F-BF4C-8581-75DFE71AAD77}"/>
    <hyperlink ref="B15" location="'Main Table'!A1" display="Definition: " xr:uid="{7E6E5035-535C-DB4C-B49C-323DCDF3B8C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W440"/>
  <sheetViews>
    <sheetView topLeftCell="A161" zoomScale="119" zoomScaleNormal="55" workbookViewId="0">
      <pane xSplit="1" topLeftCell="Q1" activePane="topRight" state="frozen"/>
      <selection pane="topRight" activeCell="U182" sqref="U182"/>
    </sheetView>
  </sheetViews>
  <sheetFormatPr baseColWidth="10" defaultRowHeight="16"/>
  <cols>
    <col min="1" max="1" width="51.33203125" customWidth="1"/>
    <col min="2" max="2" width="18.6640625" customWidth="1"/>
    <col min="3" max="3" width="14.6640625" customWidth="1"/>
    <col min="4" max="4" width="20.6640625" customWidth="1"/>
    <col min="5" max="5" width="15.33203125" customWidth="1"/>
    <col min="6" max="6" width="17" style="1" customWidth="1"/>
    <col min="7" max="7" width="10.83203125" customWidth="1"/>
    <col min="8" max="8" width="13" customWidth="1"/>
    <col min="9" max="9" width="20" customWidth="1"/>
    <col min="10" max="11" width="14.1640625" customWidth="1"/>
    <col min="12" max="12" width="15.6640625" customWidth="1"/>
    <col min="13" max="13" width="15.1640625" customWidth="1"/>
    <col min="14" max="14" width="23.5" customWidth="1"/>
    <col min="18" max="18" width="18.1640625" customWidth="1"/>
    <col min="19" max="19" width="9" customWidth="1"/>
    <col min="20" max="20" width="9.6640625" customWidth="1"/>
    <col min="21" max="21" width="118.6640625" customWidth="1"/>
    <col min="22" max="22" width="76.1640625" style="7" customWidth="1"/>
  </cols>
  <sheetData>
    <row r="1" spans="1:22" ht="94" customHeight="1">
      <c r="A1" s="63" t="s">
        <v>2</v>
      </c>
      <c r="B1" s="66" t="s">
        <v>743</v>
      </c>
      <c r="C1" s="66" t="s">
        <v>1048</v>
      </c>
      <c r="D1" s="67" t="s">
        <v>1043</v>
      </c>
      <c r="E1" s="63" t="s">
        <v>21</v>
      </c>
      <c r="F1" s="63" t="s">
        <v>3</v>
      </c>
      <c r="G1" s="63" t="s">
        <v>5</v>
      </c>
      <c r="H1" s="63"/>
      <c r="I1" s="63"/>
      <c r="J1" s="63"/>
      <c r="K1" s="63"/>
      <c r="L1" s="63"/>
      <c r="M1" s="63"/>
      <c r="N1" s="63"/>
      <c r="O1" s="63"/>
      <c r="P1" s="63" t="s">
        <v>366</v>
      </c>
      <c r="Q1" s="63"/>
      <c r="R1" s="63" t="s">
        <v>18</v>
      </c>
      <c r="S1" s="63" t="s">
        <v>367</v>
      </c>
      <c r="T1" s="63"/>
      <c r="U1" s="63" t="s">
        <v>25</v>
      </c>
      <c r="V1" s="63" t="s">
        <v>344</v>
      </c>
    </row>
    <row r="2" spans="1:22">
      <c r="A2" s="63"/>
      <c r="B2" s="66"/>
      <c r="C2" s="66"/>
      <c r="D2" s="68"/>
      <c r="E2" s="63"/>
      <c r="F2" s="63"/>
      <c r="G2" s="64" t="s">
        <v>4</v>
      </c>
      <c r="H2" s="64" t="s">
        <v>1</v>
      </c>
      <c r="I2" s="67" t="s">
        <v>1108</v>
      </c>
      <c r="J2" s="70" t="s">
        <v>7</v>
      </c>
      <c r="K2" s="72"/>
      <c r="L2" s="71"/>
      <c r="M2" s="70" t="s">
        <v>9</v>
      </c>
      <c r="N2" s="71"/>
      <c r="O2" s="67" t="s">
        <v>28</v>
      </c>
      <c r="P2" s="63"/>
      <c r="Q2" s="63"/>
      <c r="R2" s="63"/>
      <c r="S2" s="63"/>
      <c r="T2" s="63"/>
      <c r="U2" s="63"/>
      <c r="V2" s="63"/>
    </row>
    <row r="3" spans="1:22" ht="96" customHeight="1">
      <c r="A3" s="63"/>
      <c r="B3" s="66"/>
      <c r="C3" s="66" t="s">
        <v>742</v>
      </c>
      <c r="D3" s="69"/>
      <c r="E3" s="63"/>
      <c r="F3" s="63"/>
      <c r="G3" s="65"/>
      <c r="H3" s="65"/>
      <c r="I3" s="69"/>
      <c r="J3" s="2" t="s">
        <v>6</v>
      </c>
      <c r="K3" s="2" t="s">
        <v>0</v>
      </c>
      <c r="L3" s="3" t="s">
        <v>8</v>
      </c>
      <c r="M3" s="3" t="s">
        <v>64</v>
      </c>
      <c r="N3" s="3" t="s">
        <v>10</v>
      </c>
      <c r="O3" s="69"/>
      <c r="P3" s="2" t="s">
        <v>16</v>
      </c>
      <c r="Q3" s="2" t="s">
        <v>17</v>
      </c>
      <c r="R3" s="63"/>
      <c r="S3" s="2" t="s">
        <v>16</v>
      </c>
      <c r="T3" s="2" t="s">
        <v>365</v>
      </c>
      <c r="U3" s="63"/>
      <c r="V3" s="63" t="s">
        <v>344</v>
      </c>
    </row>
    <row r="4" spans="1:22">
      <c r="A4" t="s">
        <v>1018</v>
      </c>
      <c r="E4">
        <v>2015</v>
      </c>
      <c r="F4" s="1" t="s">
        <v>1019</v>
      </c>
      <c r="I4">
        <v>1</v>
      </c>
      <c r="P4" s="5">
        <v>42005</v>
      </c>
      <c r="Q4" s="5">
        <v>42005</v>
      </c>
      <c r="R4" s="4">
        <f t="shared" ref="R4:R30" si="0">FLOOR(((YEAR(Q4)*12+MONTH(Q4))-(YEAR(P4)*12+MONTH(P4)))/3,1)+1</f>
        <v>1</v>
      </c>
      <c r="S4" t="str">
        <f t="shared" ref="S4:S67" si="1">"Q" &amp;INT((MONTH(P4)+2)/3) &amp; "-" &amp; YEAR(P4)</f>
        <v>Q1-2015</v>
      </c>
      <c r="T4" t="str">
        <f t="shared" ref="T4:T67" si="2">"Q" &amp;INT((MONTH(Q4)+2)/3) &amp; "-" &amp; YEAR(Q4)</f>
        <v>Q1-2015</v>
      </c>
      <c r="U4" t="s">
        <v>1020</v>
      </c>
    </row>
    <row r="5" spans="1:22">
      <c r="A5" t="s">
        <v>598</v>
      </c>
      <c r="E5">
        <v>2008</v>
      </c>
      <c r="F5" s="1" t="s">
        <v>11</v>
      </c>
      <c r="L5">
        <v>1</v>
      </c>
      <c r="M5">
        <v>1</v>
      </c>
      <c r="P5" s="5">
        <v>39722</v>
      </c>
      <c r="Q5" s="5">
        <v>39722</v>
      </c>
      <c r="R5" s="4">
        <f t="shared" si="0"/>
        <v>1</v>
      </c>
      <c r="S5" t="str">
        <f t="shared" si="1"/>
        <v>Q4-2008</v>
      </c>
      <c r="T5" t="str">
        <f t="shared" si="2"/>
        <v>Q4-2008</v>
      </c>
      <c r="U5" t="s">
        <v>49</v>
      </c>
    </row>
    <row r="6" spans="1:22">
      <c r="A6" t="s">
        <v>594</v>
      </c>
      <c r="B6" t="s">
        <v>597</v>
      </c>
      <c r="C6" t="s">
        <v>750</v>
      </c>
      <c r="D6">
        <v>1</v>
      </c>
      <c r="E6">
        <v>2006</v>
      </c>
      <c r="F6" s="1" t="s">
        <v>11</v>
      </c>
      <c r="L6">
        <v>1</v>
      </c>
      <c r="P6" s="5">
        <v>38777</v>
      </c>
      <c r="Q6" s="5">
        <v>38869</v>
      </c>
      <c r="R6" s="4">
        <f t="shared" si="0"/>
        <v>2</v>
      </c>
      <c r="S6" t="str">
        <f t="shared" si="1"/>
        <v>Q1-2006</v>
      </c>
      <c r="T6" t="str">
        <f t="shared" si="2"/>
        <v>Q2-2006</v>
      </c>
      <c r="U6" t="s">
        <v>137</v>
      </c>
    </row>
    <row r="7" spans="1:22">
      <c r="A7" t="s">
        <v>594</v>
      </c>
      <c r="B7" t="s">
        <v>597</v>
      </c>
      <c r="C7" t="s">
        <v>750</v>
      </c>
      <c r="D7">
        <v>1</v>
      </c>
      <c r="E7">
        <v>2009</v>
      </c>
      <c r="F7" s="1" t="s">
        <v>11</v>
      </c>
      <c r="J7">
        <v>1</v>
      </c>
      <c r="L7">
        <v>1</v>
      </c>
      <c r="P7" s="5">
        <v>39722</v>
      </c>
      <c r="Q7" s="5">
        <v>40118</v>
      </c>
      <c r="R7" s="4">
        <f t="shared" si="0"/>
        <v>5</v>
      </c>
      <c r="S7" t="str">
        <f t="shared" si="1"/>
        <v>Q4-2008</v>
      </c>
      <c r="T7" t="str">
        <f t="shared" si="2"/>
        <v>Q4-2009</v>
      </c>
      <c r="U7" t="s">
        <v>311</v>
      </c>
    </row>
    <row r="8" spans="1:22">
      <c r="A8" t="s">
        <v>24</v>
      </c>
      <c r="B8" t="s">
        <v>596</v>
      </c>
      <c r="C8" t="s">
        <v>749</v>
      </c>
      <c r="D8">
        <v>1</v>
      </c>
      <c r="E8">
        <v>2008</v>
      </c>
      <c r="F8" s="1" t="s">
        <v>11</v>
      </c>
      <c r="J8">
        <v>1</v>
      </c>
      <c r="P8" s="5">
        <v>39722</v>
      </c>
      <c r="Q8" s="5">
        <v>39722</v>
      </c>
      <c r="R8" s="4">
        <f t="shared" si="0"/>
        <v>1</v>
      </c>
      <c r="S8" t="str">
        <f t="shared" si="1"/>
        <v>Q4-2008</v>
      </c>
      <c r="T8" t="str">
        <f t="shared" si="2"/>
        <v>Q4-2008</v>
      </c>
      <c r="U8" t="s">
        <v>816</v>
      </c>
    </row>
    <row r="9" spans="1:22">
      <c r="A9" t="s">
        <v>24</v>
      </c>
      <c r="B9" t="s">
        <v>596</v>
      </c>
      <c r="C9" t="s">
        <v>749</v>
      </c>
      <c r="D9">
        <v>1</v>
      </c>
      <c r="E9">
        <v>2009</v>
      </c>
      <c r="F9" s="1" t="s">
        <v>11</v>
      </c>
      <c r="J9">
        <v>1</v>
      </c>
      <c r="P9" s="5">
        <v>39814</v>
      </c>
      <c r="Q9" s="5">
        <v>39904</v>
      </c>
      <c r="R9" s="4">
        <f t="shared" si="0"/>
        <v>2</v>
      </c>
      <c r="S9" t="str">
        <f t="shared" si="1"/>
        <v>Q1-2009</v>
      </c>
      <c r="T9" t="str">
        <f t="shared" si="2"/>
        <v>Q2-2009</v>
      </c>
      <c r="U9" t="s">
        <v>817</v>
      </c>
    </row>
    <row r="10" spans="1:22">
      <c r="A10" t="s">
        <v>312</v>
      </c>
      <c r="B10" t="s">
        <v>896</v>
      </c>
      <c r="C10" t="s">
        <v>665</v>
      </c>
      <c r="E10">
        <v>2008</v>
      </c>
      <c r="F10" s="1" t="s">
        <v>11</v>
      </c>
      <c r="J10">
        <v>1</v>
      </c>
      <c r="P10" s="5">
        <v>39722</v>
      </c>
      <c r="Q10" s="5">
        <v>39783</v>
      </c>
      <c r="R10" s="4">
        <f t="shared" si="0"/>
        <v>1</v>
      </c>
      <c r="S10" t="str">
        <f t="shared" si="1"/>
        <v>Q4-2008</v>
      </c>
      <c r="T10" t="str">
        <f t="shared" si="2"/>
        <v>Q4-2008</v>
      </c>
      <c r="U10" t="s">
        <v>818</v>
      </c>
    </row>
    <row r="11" spans="1:22">
      <c r="A11" t="s">
        <v>312</v>
      </c>
      <c r="B11" t="s">
        <v>896</v>
      </c>
      <c r="C11" t="s">
        <v>665</v>
      </c>
      <c r="E11">
        <v>2009</v>
      </c>
      <c r="F11" s="1" t="s">
        <v>11</v>
      </c>
      <c r="J11">
        <v>1</v>
      </c>
      <c r="K11">
        <v>1</v>
      </c>
      <c r="L11">
        <v>1</v>
      </c>
      <c r="P11" s="5">
        <v>40148</v>
      </c>
      <c r="Q11" s="5">
        <v>40148</v>
      </c>
      <c r="R11" s="4">
        <f t="shared" si="0"/>
        <v>1</v>
      </c>
      <c r="S11" t="str">
        <f t="shared" si="1"/>
        <v>Q4-2009</v>
      </c>
      <c r="T11" t="str">
        <f t="shared" si="2"/>
        <v>Q4-2009</v>
      </c>
      <c r="U11" t="s">
        <v>819</v>
      </c>
    </row>
    <row r="12" spans="1:22">
      <c r="A12" t="s">
        <v>312</v>
      </c>
      <c r="B12" t="s">
        <v>896</v>
      </c>
      <c r="C12" t="s">
        <v>665</v>
      </c>
      <c r="E12">
        <v>2010</v>
      </c>
      <c r="F12" s="1" t="s">
        <v>11</v>
      </c>
      <c r="L12">
        <v>1</v>
      </c>
      <c r="P12" s="5">
        <v>40513</v>
      </c>
      <c r="Q12" s="5">
        <v>40513</v>
      </c>
      <c r="R12" s="4">
        <f t="shared" si="0"/>
        <v>1</v>
      </c>
      <c r="S12" t="str">
        <f t="shared" si="1"/>
        <v>Q4-2010</v>
      </c>
      <c r="T12" t="str">
        <f t="shared" si="2"/>
        <v>Q4-2010</v>
      </c>
      <c r="U12" t="s">
        <v>820</v>
      </c>
    </row>
    <row r="13" spans="1:22">
      <c r="A13" t="s">
        <v>312</v>
      </c>
      <c r="B13" t="s">
        <v>896</v>
      </c>
      <c r="C13" t="s">
        <v>665</v>
      </c>
      <c r="E13">
        <v>2012</v>
      </c>
      <c r="F13" s="1" t="s">
        <v>11</v>
      </c>
      <c r="J13">
        <v>1</v>
      </c>
      <c r="P13" s="5">
        <v>41244</v>
      </c>
      <c r="Q13" s="5">
        <v>41244</v>
      </c>
      <c r="R13" s="4">
        <f t="shared" si="0"/>
        <v>1</v>
      </c>
      <c r="S13" t="str">
        <f t="shared" si="1"/>
        <v>Q4-2012</v>
      </c>
      <c r="T13" t="str">
        <f t="shared" si="2"/>
        <v>Q4-2012</v>
      </c>
      <c r="U13" t="s">
        <v>821</v>
      </c>
    </row>
    <row r="14" spans="1:22">
      <c r="A14" t="s">
        <v>983</v>
      </c>
      <c r="B14" t="s">
        <v>896</v>
      </c>
      <c r="C14" t="s">
        <v>665</v>
      </c>
      <c r="E14">
        <v>2014</v>
      </c>
      <c r="F14" s="1" t="s">
        <v>11</v>
      </c>
      <c r="H14">
        <v>1</v>
      </c>
      <c r="I14">
        <v>1</v>
      </c>
      <c r="J14">
        <v>1</v>
      </c>
      <c r="P14" s="5">
        <v>41730</v>
      </c>
      <c r="Q14" s="5">
        <v>41974</v>
      </c>
      <c r="R14" s="4">
        <f t="shared" si="0"/>
        <v>3</v>
      </c>
      <c r="S14" t="str">
        <f t="shared" si="1"/>
        <v>Q2-2014</v>
      </c>
      <c r="T14" t="str">
        <f t="shared" si="2"/>
        <v>Q4-2014</v>
      </c>
      <c r="U14" t="s">
        <v>984</v>
      </c>
    </row>
    <row r="15" spans="1:22">
      <c r="A15" t="s">
        <v>314</v>
      </c>
      <c r="E15">
        <v>2008</v>
      </c>
      <c r="F15" s="1" t="s">
        <v>11</v>
      </c>
      <c r="J15">
        <v>1</v>
      </c>
      <c r="P15" s="5">
        <v>39722</v>
      </c>
      <c r="Q15" s="5">
        <v>41244</v>
      </c>
      <c r="R15" s="4">
        <f t="shared" si="0"/>
        <v>17</v>
      </c>
      <c r="S15" t="str">
        <f t="shared" si="1"/>
        <v>Q4-2008</v>
      </c>
      <c r="T15" t="str">
        <f t="shared" si="2"/>
        <v>Q4-2012</v>
      </c>
      <c r="U15" t="s">
        <v>313</v>
      </c>
    </row>
    <row r="16" spans="1:22">
      <c r="A16" t="s">
        <v>26</v>
      </c>
      <c r="E16">
        <v>2008</v>
      </c>
      <c r="F16" s="1" t="s">
        <v>11</v>
      </c>
      <c r="J16">
        <v>1</v>
      </c>
      <c r="K16">
        <v>1</v>
      </c>
      <c r="L16">
        <v>1</v>
      </c>
      <c r="P16" s="5">
        <v>39722</v>
      </c>
      <c r="Q16" s="5">
        <v>40118</v>
      </c>
      <c r="R16" s="4">
        <f t="shared" si="0"/>
        <v>5</v>
      </c>
      <c r="S16" t="str">
        <f t="shared" si="1"/>
        <v>Q4-2008</v>
      </c>
      <c r="T16" t="str">
        <f t="shared" si="2"/>
        <v>Q4-2009</v>
      </c>
      <c r="U16" t="s">
        <v>315</v>
      </c>
    </row>
    <row r="17" spans="1:23">
      <c r="A17" t="s">
        <v>500</v>
      </c>
      <c r="E17">
        <v>2008</v>
      </c>
      <c r="F17" s="1" t="s">
        <v>11</v>
      </c>
      <c r="L17">
        <v>1</v>
      </c>
      <c r="P17" s="5">
        <v>39722</v>
      </c>
      <c r="Q17" s="5">
        <v>40575</v>
      </c>
      <c r="R17" s="4">
        <f t="shared" si="0"/>
        <v>10</v>
      </c>
      <c r="S17" t="str">
        <f t="shared" si="1"/>
        <v>Q4-2008</v>
      </c>
      <c r="T17" t="str">
        <f t="shared" si="2"/>
        <v>Q1-2011</v>
      </c>
      <c r="U17" t="s">
        <v>1068</v>
      </c>
      <c r="V17" t="s">
        <v>501</v>
      </c>
    </row>
    <row r="18" spans="1:23">
      <c r="A18" t="s">
        <v>657</v>
      </c>
      <c r="B18" t="s">
        <v>897</v>
      </c>
      <c r="C18" t="s">
        <v>666</v>
      </c>
      <c r="E18">
        <v>2008</v>
      </c>
      <c r="F18" s="1" t="s">
        <v>11</v>
      </c>
      <c r="J18">
        <v>1</v>
      </c>
      <c r="L18">
        <v>1</v>
      </c>
      <c r="P18" s="5">
        <v>39722</v>
      </c>
      <c r="Q18" s="5">
        <v>40057</v>
      </c>
      <c r="R18" s="4">
        <f t="shared" si="0"/>
        <v>4</v>
      </c>
      <c r="S18" t="str">
        <f t="shared" si="1"/>
        <v>Q4-2008</v>
      </c>
      <c r="T18" t="str">
        <f t="shared" si="2"/>
        <v>Q3-2009</v>
      </c>
      <c r="U18" t="s">
        <v>825</v>
      </c>
      <c r="V18" t="s">
        <v>648</v>
      </c>
      <c r="W18" t="s">
        <v>19</v>
      </c>
    </row>
    <row r="19" spans="1:23">
      <c r="A19" t="s">
        <v>657</v>
      </c>
      <c r="B19" t="s">
        <v>897</v>
      </c>
      <c r="C19" t="s">
        <v>666</v>
      </c>
      <c r="E19">
        <v>2012</v>
      </c>
      <c r="F19" s="1" t="s">
        <v>11</v>
      </c>
      <c r="J19">
        <v>1</v>
      </c>
      <c r="L19">
        <v>1</v>
      </c>
      <c r="P19" s="5">
        <v>40940</v>
      </c>
      <c r="Q19" s="5">
        <v>40940</v>
      </c>
      <c r="R19" s="4">
        <f t="shared" si="0"/>
        <v>1</v>
      </c>
      <c r="S19" t="str">
        <f t="shared" si="1"/>
        <v>Q1-2012</v>
      </c>
      <c r="T19" t="str">
        <f t="shared" si="2"/>
        <v>Q1-2012</v>
      </c>
      <c r="U19" t="s">
        <v>822</v>
      </c>
    </row>
    <row r="20" spans="1:23">
      <c r="A20" t="s">
        <v>657</v>
      </c>
      <c r="B20" t="s">
        <v>897</v>
      </c>
      <c r="C20" t="s">
        <v>666</v>
      </c>
      <c r="E20">
        <v>2015</v>
      </c>
      <c r="F20" s="1" t="s">
        <v>11</v>
      </c>
      <c r="H20">
        <v>1</v>
      </c>
      <c r="P20" s="5">
        <v>42186</v>
      </c>
      <c r="Q20" s="5">
        <v>42339</v>
      </c>
      <c r="R20" s="4">
        <f t="shared" si="0"/>
        <v>2</v>
      </c>
      <c r="S20" t="str">
        <f t="shared" si="1"/>
        <v>Q3-2015</v>
      </c>
      <c r="T20" t="str">
        <f t="shared" si="2"/>
        <v>Q4-2015</v>
      </c>
      <c r="U20" t="s">
        <v>823</v>
      </c>
      <c r="W20" t="s">
        <v>19</v>
      </c>
    </row>
    <row r="21" spans="1:23">
      <c r="A21" t="s">
        <v>658</v>
      </c>
      <c r="B21" t="s">
        <v>603</v>
      </c>
      <c r="C21" t="s">
        <v>751</v>
      </c>
      <c r="D21">
        <v>1</v>
      </c>
      <c r="E21">
        <v>2015</v>
      </c>
      <c r="F21" s="1" t="s">
        <v>11</v>
      </c>
      <c r="M21">
        <v>1</v>
      </c>
      <c r="P21" s="5">
        <v>42064</v>
      </c>
      <c r="Q21" s="5">
        <v>42339</v>
      </c>
      <c r="R21" s="4">
        <f t="shared" si="0"/>
        <v>4</v>
      </c>
      <c r="S21" t="str">
        <f t="shared" si="1"/>
        <v>Q1-2015</v>
      </c>
      <c r="T21" t="str">
        <f t="shared" si="2"/>
        <v>Q4-2015</v>
      </c>
      <c r="U21" t="s">
        <v>1106</v>
      </c>
      <c r="W21" t="s">
        <v>27</v>
      </c>
    </row>
    <row r="22" spans="1:23" ht="17">
      <c r="A22" s="41" t="s">
        <v>316</v>
      </c>
      <c r="B22" t="s">
        <v>595</v>
      </c>
      <c r="C22" t="s">
        <v>752</v>
      </c>
      <c r="D22">
        <v>1</v>
      </c>
      <c r="E22">
        <v>2009</v>
      </c>
      <c r="F22" s="1" t="s">
        <v>11</v>
      </c>
      <c r="J22">
        <v>1</v>
      </c>
      <c r="L22">
        <v>1</v>
      </c>
      <c r="P22" s="5">
        <v>39722</v>
      </c>
      <c r="Q22" s="5">
        <v>39904</v>
      </c>
      <c r="R22" s="4">
        <f t="shared" si="0"/>
        <v>3</v>
      </c>
      <c r="S22" t="str">
        <f t="shared" si="1"/>
        <v>Q4-2008</v>
      </c>
      <c r="T22" t="str">
        <f t="shared" si="2"/>
        <v>Q2-2009</v>
      </c>
      <c r="U22" t="s">
        <v>826</v>
      </c>
    </row>
    <row r="23" spans="1:23">
      <c r="A23" t="s">
        <v>13</v>
      </c>
      <c r="B23" t="s">
        <v>898</v>
      </c>
      <c r="C23" t="s">
        <v>667</v>
      </c>
      <c r="D23">
        <v>1</v>
      </c>
      <c r="E23">
        <v>2008</v>
      </c>
      <c r="F23" s="1" t="s">
        <v>12</v>
      </c>
      <c r="J23">
        <v>1</v>
      </c>
      <c r="L23">
        <v>1</v>
      </c>
      <c r="P23" s="5">
        <v>39722</v>
      </c>
      <c r="Q23" s="5">
        <v>40087</v>
      </c>
      <c r="R23" s="4">
        <f t="shared" si="0"/>
        <v>5</v>
      </c>
      <c r="S23" t="str">
        <f t="shared" si="1"/>
        <v>Q4-2008</v>
      </c>
      <c r="T23" t="str">
        <f t="shared" si="2"/>
        <v>Q4-2009</v>
      </c>
      <c r="U23" t="s">
        <v>824</v>
      </c>
    </row>
    <row r="24" spans="1:23">
      <c r="A24" t="s">
        <v>13</v>
      </c>
      <c r="B24" t="s">
        <v>898</v>
      </c>
      <c r="C24" t="s">
        <v>667</v>
      </c>
      <c r="D24">
        <v>1</v>
      </c>
      <c r="E24">
        <v>2010</v>
      </c>
      <c r="F24" s="1" t="s">
        <v>12</v>
      </c>
      <c r="H24">
        <v>1</v>
      </c>
      <c r="K24">
        <v>1</v>
      </c>
      <c r="P24" s="5">
        <v>40817</v>
      </c>
      <c r="Q24" s="5">
        <v>40817</v>
      </c>
      <c r="R24" s="4">
        <f t="shared" si="0"/>
        <v>1</v>
      </c>
      <c r="S24" t="str">
        <f t="shared" si="1"/>
        <v>Q4-2011</v>
      </c>
      <c r="T24" t="str">
        <f t="shared" si="2"/>
        <v>Q4-2011</v>
      </c>
      <c r="U24" t="s">
        <v>814</v>
      </c>
    </row>
    <row r="25" spans="1:23">
      <c r="A25" t="s">
        <v>13</v>
      </c>
      <c r="B25" t="s">
        <v>898</v>
      </c>
      <c r="C25" t="s">
        <v>667</v>
      </c>
      <c r="D25">
        <v>1</v>
      </c>
      <c r="E25">
        <v>2011</v>
      </c>
      <c r="F25" s="1" t="s">
        <v>12</v>
      </c>
      <c r="K25">
        <v>1</v>
      </c>
      <c r="P25" s="5">
        <v>40969</v>
      </c>
      <c r="Q25" s="5">
        <v>41244</v>
      </c>
      <c r="R25" s="4">
        <f t="shared" si="0"/>
        <v>4</v>
      </c>
      <c r="S25" t="str">
        <f t="shared" si="1"/>
        <v>Q1-2012</v>
      </c>
      <c r="T25" t="str">
        <f t="shared" si="2"/>
        <v>Q4-2012</v>
      </c>
      <c r="U25" t="s">
        <v>815</v>
      </c>
    </row>
    <row r="26" spans="1:23">
      <c r="A26" t="s">
        <v>317</v>
      </c>
      <c r="E26">
        <v>2012</v>
      </c>
      <c r="F26" s="1" t="s">
        <v>12</v>
      </c>
      <c r="H26">
        <v>1</v>
      </c>
      <c r="P26" s="5">
        <v>41091</v>
      </c>
      <c r="Q26" s="5">
        <v>41244</v>
      </c>
      <c r="R26" s="4">
        <f t="shared" si="0"/>
        <v>2</v>
      </c>
      <c r="S26" t="str">
        <f t="shared" si="1"/>
        <v>Q3-2012</v>
      </c>
      <c r="T26" t="str">
        <f t="shared" si="2"/>
        <v>Q4-2012</v>
      </c>
      <c r="U26" t="s">
        <v>318</v>
      </c>
    </row>
    <row r="27" spans="1:23">
      <c r="A27" t="s">
        <v>233</v>
      </c>
      <c r="E27">
        <v>2009</v>
      </c>
      <c r="F27" s="1" t="s">
        <v>12</v>
      </c>
      <c r="J27">
        <v>1</v>
      </c>
      <c r="P27" s="5">
        <v>39722</v>
      </c>
      <c r="Q27" s="5">
        <v>39845</v>
      </c>
      <c r="R27" s="4">
        <f t="shared" si="0"/>
        <v>2</v>
      </c>
      <c r="S27" t="str">
        <f t="shared" si="1"/>
        <v>Q4-2008</v>
      </c>
      <c r="T27" t="str">
        <f t="shared" si="2"/>
        <v>Q1-2009</v>
      </c>
      <c r="U27" t="s">
        <v>234</v>
      </c>
    </row>
    <row r="28" spans="1:23">
      <c r="A28" t="s">
        <v>654</v>
      </c>
      <c r="B28" t="s">
        <v>961</v>
      </c>
      <c r="C28" t="s">
        <v>753</v>
      </c>
      <c r="D28">
        <v>1</v>
      </c>
      <c r="E28">
        <v>2008</v>
      </c>
      <c r="F28" s="1" t="s">
        <v>12</v>
      </c>
      <c r="J28">
        <v>1</v>
      </c>
      <c r="K28">
        <v>1</v>
      </c>
      <c r="L28">
        <v>1</v>
      </c>
      <c r="P28" s="5">
        <v>39692</v>
      </c>
      <c r="Q28" s="5">
        <v>39934</v>
      </c>
      <c r="R28" s="4">
        <f t="shared" si="0"/>
        <v>3</v>
      </c>
      <c r="S28" t="str">
        <f t="shared" si="1"/>
        <v>Q3-2008</v>
      </c>
      <c r="T28" t="str">
        <f t="shared" si="2"/>
        <v>Q2-2009</v>
      </c>
      <c r="U28" t="s">
        <v>1067</v>
      </c>
      <c r="V28" t="s">
        <v>345</v>
      </c>
    </row>
    <row r="29" spans="1:23">
      <c r="A29" t="s">
        <v>31</v>
      </c>
      <c r="B29" t="s">
        <v>599</v>
      </c>
      <c r="C29" t="s">
        <v>754</v>
      </c>
      <c r="D29">
        <v>1</v>
      </c>
      <c r="E29">
        <v>2008</v>
      </c>
      <c r="F29" s="1" t="s">
        <v>12</v>
      </c>
      <c r="J29">
        <v>1</v>
      </c>
      <c r="P29" s="5">
        <v>39722</v>
      </c>
      <c r="Q29" s="5">
        <v>39814</v>
      </c>
      <c r="R29" s="4">
        <f t="shared" si="0"/>
        <v>2</v>
      </c>
      <c r="S29" t="str">
        <f t="shared" si="1"/>
        <v>Q4-2008</v>
      </c>
      <c r="T29" t="str">
        <f t="shared" si="2"/>
        <v>Q1-2009</v>
      </c>
      <c r="U29" t="s">
        <v>50</v>
      </c>
    </row>
    <row r="30" spans="1:23">
      <c r="A30" t="s">
        <v>31</v>
      </c>
      <c r="B30" t="s">
        <v>599</v>
      </c>
      <c r="C30" t="s">
        <v>754</v>
      </c>
      <c r="D30">
        <v>1</v>
      </c>
      <c r="E30">
        <v>2009</v>
      </c>
      <c r="F30" s="1" t="s">
        <v>12</v>
      </c>
      <c r="H30">
        <v>1</v>
      </c>
      <c r="J30">
        <v>1</v>
      </c>
      <c r="L30">
        <v>1</v>
      </c>
      <c r="P30" s="5">
        <v>39934</v>
      </c>
      <c r="Q30" s="5">
        <v>40057</v>
      </c>
      <c r="R30" s="4">
        <f t="shared" si="0"/>
        <v>2</v>
      </c>
      <c r="S30" t="str">
        <f t="shared" si="1"/>
        <v>Q2-2009</v>
      </c>
      <c r="T30" t="str">
        <f t="shared" si="2"/>
        <v>Q3-2009</v>
      </c>
      <c r="U30" t="s">
        <v>319</v>
      </c>
    </row>
    <row r="31" spans="1:23">
      <c r="A31" t="s">
        <v>588</v>
      </c>
      <c r="B31" t="s">
        <v>899</v>
      </c>
      <c r="C31" t="s">
        <v>668</v>
      </c>
      <c r="D31">
        <v>1</v>
      </c>
      <c r="E31">
        <v>2014</v>
      </c>
      <c r="F31" s="1" t="s">
        <v>589</v>
      </c>
      <c r="G31">
        <v>1</v>
      </c>
      <c r="K31">
        <v>1</v>
      </c>
      <c r="P31" s="5">
        <v>41791</v>
      </c>
      <c r="Q31" s="5">
        <v>41944</v>
      </c>
      <c r="R31" s="4">
        <v>3</v>
      </c>
      <c r="S31" t="str">
        <f t="shared" si="1"/>
        <v>Q2-2014</v>
      </c>
      <c r="T31" t="str">
        <f t="shared" si="2"/>
        <v>Q4-2014</v>
      </c>
      <c r="U31" t="s">
        <v>590</v>
      </c>
    </row>
    <row r="32" spans="1:23">
      <c r="A32" t="s">
        <v>600</v>
      </c>
      <c r="B32" t="s">
        <v>1051</v>
      </c>
      <c r="C32" t="s">
        <v>1052</v>
      </c>
      <c r="D32">
        <v>1</v>
      </c>
      <c r="E32">
        <v>2011</v>
      </c>
      <c r="F32" s="1" t="s">
        <v>320</v>
      </c>
      <c r="J32">
        <v>1</v>
      </c>
      <c r="P32" s="5">
        <v>40878</v>
      </c>
      <c r="Q32" s="5">
        <v>41061</v>
      </c>
      <c r="R32" s="4">
        <f>FLOOR(((YEAR(Q32)*12+MONTH(Q32))-(YEAR(P32)*12+MONTH(P32)))/3,1)+1</f>
        <v>3</v>
      </c>
      <c r="S32" t="str">
        <f t="shared" si="1"/>
        <v>Q4-2011</v>
      </c>
      <c r="T32" t="str">
        <f t="shared" si="2"/>
        <v>Q2-2012</v>
      </c>
      <c r="U32" t="s">
        <v>828</v>
      </c>
    </row>
    <row r="33" spans="1:23">
      <c r="A33" t="s">
        <v>600</v>
      </c>
      <c r="B33" t="s">
        <v>1051</v>
      </c>
      <c r="C33" t="s">
        <v>1052</v>
      </c>
      <c r="D33">
        <v>1</v>
      </c>
      <c r="E33">
        <v>2013</v>
      </c>
      <c r="F33" s="1" t="s">
        <v>320</v>
      </c>
      <c r="I33">
        <v>0</v>
      </c>
      <c r="K33">
        <v>1</v>
      </c>
      <c r="P33" s="5">
        <v>41334</v>
      </c>
      <c r="Q33" s="5">
        <v>41456</v>
      </c>
      <c r="R33" s="4">
        <v>3</v>
      </c>
      <c r="S33" t="str">
        <f t="shared" si="1"/>
        <v>Q1-2013</v>
      </c>
      <c r="T33" t="str">
        <f t="shared" si="2"/>
        <v>Q3-2013</v>
      </c>
      <c r="U33" t="s">
        <v>986</v>
      </c>
    </row>
    <row r="34" spans="1:23">
      <c r="A34" t="s">
        <v>600</v>
      </c>
      <c r="B34" t="s">
        <v>1051</v>
      </c>
      <c r="C34" t="s">
        <v>1052</v>
      </c>
      <c r="D34">
        <v>1</v>
      </c>
      <c r="E34">
        <v>2014</v>
      </c>
      <c r="F34" s="1" t="s">
        <v>320</v>
      </c>
      <c r="J34">
        <v>1</v>
      </c>
      <c r="P34" s="5">
        <v>41821</v>
      </c>
      <c r="Q34" s="5">
        <v>41821</v>
      </c>
      <c r="R34" s="4">
        <f>FLOOR(((YEAR(Q34)*12+MONTH(Q34))-(YEAR(P34)*12+MONTH(P34)))/3,1)+1</f>
        <v>1</v>
      </c>
      <c r="S34" t="str">
        <f t="shared" si="1"/>
        <v>Q3-2014</v>
      </c>
      <c r="T34" t="str">
        <f t="shared" si="2"/>
        <v>Q3-2014</v>
      </c>
      <c r="U34" t="s">
        <v>829</v>
      </c>
    </row>
    <row r="35" spans="1:23">
      <c r="A35" t="s">
        <v>321</v>
      </c>
      <c r="B35" t="s">
        <v>901</v>
      </c>
      <c r="C35" t="s">
        <v>669</v>
      </c>
      <c r="D35">
        <v>1</v>
      </c>
      <c r="E35">
        <v>2011</v>
      </c>
      <c r="F35" s="1" t="s">
        <v>320</v>
      </c>
      <c r="I35">
        <v>0</v>
      </c>
      <c r="J35">
        <v>1</v>
      </c>
      <c r="P35" s="5">
        <v>40878</v>
      </c>
      <c r="Q35" s="5">
        <v>41030</v>
      </c>
      <c r="R35" s="4">
        <v>3</v>
      </c>
      <c r="S35" t="str">
        <f t="shared" si="1"/>
        <v>Q4-2011</v>
      </c>
      <c r="T35" t="str">
        <f t="shared" si="2"/>
        <v>Q2-2012</v>
      </c>
      <c r="U35" t="s">
        <v>999</v>
      </c>
    </row>
    <row r="36" spans="1:23">
      <c r="A36" t="s">
        <v>321</v>
      </c>
      <c r="B36" t="s">
        <v>901</v>
      </c>
      <c r="C36" t="s">
        <v>669</v>
      </c>
      <c r="D36">
        <v>1</v>
      </c>
      <c r="E36">
        <v>2013</v>
      </c>
      <c r="F36" s="1" t="s">
        <v>320</v>
      </c>
      <c r="H36">
        <v>1</v>
      </c>
      <c r="I36">
        <v>0</v>
      </c>
      <c r="N36">
        <v>1</v>
      </c>
      <c r="P36" s="5">
        <v>41334</v>
      </c>
      <c r="Q36" s="5">
        <v>41456</v>
      </c>
      <c r="R36" s="4">
        <v>3</v>
      </c>
      <c r="S36" t="str">
        <f t="shared" si="1"/>
        <v>Q1-2013</v>
      </c>
      <c r="T36" t="str">
        <f t="shared" si="2"/>
        <v>Q3-2013</v>
      </c>
      <c r="U36" t="s">
        <v>1103</v>
      </c>
    </row>
    <row r="37" spans="1:23">
      <c r="A37" t="s">
        <v>601</v>
      </c>
      <c r="B37" t="s">
        <v>602</v>
      </c>
      <c r="C37" t="s">
        <v>755</v>
      </c>
      <c r="D37">
        <v>1</v>
      </c>
      <c r="E37">
        <v>2013</v>
      </c>
      <c r="F37" s="1" t="s">
        <v>320</v>
      </c>
      <c r="I37">
        <v>1</v>
      </c>
      <c r="M37">
        <v>1</v>
      </c>
      <c r="P37" s="5">
        <v>41334</v>
      </c>
      <c r="Q37" s="5">
        <v>41579</v>
      </c>
      <c r="R37" s="4">
        <v>4</v>
      </c>
      <c r="S37" t="str">
        <f t="shared" si="1"/>
        <v>Q1-2013</v>
      </c>
      <c r="T37" t="str">
        <f t="shared" si="2"/>
        <v>Q4-2013</v>
      </c>
      <c r="U37" t="s">
        <v>1104</v>
      </c>
    </row>
    <row r="38" spans="1:23">
      <c r="A38" t="s">
        <v>659</v>
      </c>
      <c r="E38">
        <v>2000</v>
      </c>
      <c r="F38" s="1" t="s">
        <v>14</v>
      </c>
      <c r="I38">
        <v>1</v>
      </c>
      <c r="N38">
        <v>1</v>
      </c>
      <c r="P38" s="5">
        <v>36557</v>
      </c>
      <c r="Q38" s="5">
        <v>36678</v>
      </c>
      <c r="R38" s="4">
        <f>FLOOR(((YEAR(Q38)*12+MONTH(Q38))-(YEAR(P38)*12+MONTH(P38)))/3,1)+1</f>
        <v>2</v>
      </c>
      <c r="S38" t="str">
        <f t="shared" si="1"/>
        <v>Q1-2000</v>
      </c>
      <c r="T38" t="str">
        <f t="shared" si="2"/>
        <v>Q2-2000</v>
      </c>
      <c r="U38" t="s">
        <v>504</v>
      </c>
      <c r="W38" t="s">
        <v>503</v>
      </c>
    </row>
    <row r="39" spans="1:23">
      <c r="A39" t="s">
        <v>82</v>
      </c>
      <c r="B39" t="s">
        <v>902</v>
      </c>
      <c r="C39" t="s">
        <v>670</v>
      </c>
      <c r="E39">
        <v>2012</v>
      </c>
      <c r="F39" s="1" t="s">
        <v>52</v>
      </c>
      <c r="J39">
        <v>1</v>
      </c>
      <c r="L39">
        <v>1</v>
      </c>
      <c r="N39">
        <v>1</v>
      </c>
      <c r="P39" s="5">
        <v>40756</v>
      </c>
      <c r="Q39" s="5">
        <v>40969</v>
      </c>
      <c r="R39" s="4">
        <f>FLOOR(((YEAR(Q39)*12+MONTH(Q39))-(YEAR(P39)*12+MONTH(P39)))/3,1)+1</f>
        <v>3</v>
      </c>
      <c r="S39" t="str">
        <f t="shared" si="1"/>
        <v>Q3-2011</v>
      </c>
      <c r="T39" t="str">
        <f t="shared" si="2"/>
        <v>Q1-2012</v>
      </c>
      <c r="U39" t="s">
        <v>83</v>
      </c>
    </row>
    <row r="40" spans="1:23">
      <c r="A40" t="s">
        <v>91</v>
      </c>
      <c r="B40" t="s">
        <v>605</v>
      </c>
      <c r="C40" t="s">
        <v>756</v>
      </c>
      <c r="E40">
        <v>2009</v>
      </c>
      <c r="F40" s="1" t="s">
        <v>52</v>
      </c>
      <c r="J40">
        <v>1</v>
      </c>
      <c r="P40" s="5">
        <v>39845</v>
      </c>
      <c r="Q40" s="5">
        <v>40148</v>
      </c>
      <c r="R40" s="4">
        <f>FLOOR(((YEAR(Q40)*12+MONTH(Q40))-(YEAR(P40)*12+MONTH(P40)))/3,1)+1</f>
        <v>4</v>
      </c>
      <c r="S40" t="str">
        <f t="shared" si="1"/>
        <v>Q1-2009</v>
      </c>
      <c r="T40" t="str">
        <f t="shared" si="2"/>
        <v>Q4-2009</v>
      </c>
      <c r="U40" t="s">
        <v>103</v>
      </c>
    </row>
    <row r="41" spans="1:23">
      <c r="A41" t="s">
        <v>66</v>
      </c>
      <c r="B41" t="s">
        <v>903</v>
      </c>
      <c r="C41" t="s">
        <v>671</v>
      </c>
      <c r="D41">
        <v>1</v>
      </c>
      <c r="E41">
        <v>2008</v>
      </c>
      <c r="F41" s="1" t="s">
        <v>52</v>
      </c>
      <c r="J41">
        <v>1</v>
      </c>
      <c r="P41" s="5">
        <v>39814</v>
      </c>
      <c r="Q41" s="5">
        <v>40148</v>
      </c>
      <c r="R41" s="4">
        <f>FLOOR(((YEAR(Q41)*12+MONTH(Q41))-(YEAR(P41)*12+MONTH(P41)))/3,1)+1</f>
        <v>4</v>
      </c>
      <c r="S41" t="str">
        <f t="shared" si="1"/>
        <v>Q1-2009</v>
      </c>
      <c r="T41" t="str">
        <f t="shared" si="2"/>
        <v>Q4-2009</v>
      </c>
      <c r="U41" t="s">
        <v>830</v>
      </c>
    </row>
    <row r="42" spans="1:23">
      <c r="A42" t="s">
        <v>66</v>
      </c>
      <c r="B42" t="s">
        <v>903</v>
      </c>
      <c r="C42" t="s">
        <v>671</v>
      </c>
      <c r="D42">
        <v>1</v>
      </c>
      <c r="E42">
        <v>2010</v>
      </c>
      <c r="F42" s="1" t="s">
        <v>52</v>
      </c>
      <c r="H42">
        <v>1</v>
      </c>
      <c r="J42">
        <v>1</v>
      </c>
      <c r="L42">
        <v>1</v>
      </c>
      <c r="P42" s="5">
        <v>40422</v>
      </c>
      <c r="Q42" s="5">
        <v>40575</v>
      </c>
      <c r="R42" s="4">
        <v>3</v>
      </c>
      <c r="S42" t="str">
        <f t="shared" si="1"/>
        <v>Q3-2010</v>
      </c>
      <c r="T42" t="str">
        <f t="shared" si="2"/>
        <v>Q1-2011</v>
      </c>
      <c r="U42" t="s">
        <v>833</v>
      </c>
    </row>
    <row r="43" spans="1:23">
      <c r="A43" t="s">
        <v>53</v>
      </c>
      <c r="B43" t="s">
        <v>904</v>
      </c>
      <c r="C43" t="s">
        <v>672</v>
      </c>
      <c r="D43" s="7"/>
      <c r="E43">
        <v>2008</v>
      </c>
      <c r="F43" s="1" t="s">
        <v>52</v>
      </c>
      <c r="J43">
        <v>1</v>
      </c>
      <c r="N43">
        <v>1</v>
      </c>
      <c r="P43" s="5">
        <v>39448</v>
      </c>
      <c r="Q43" s="5">
        <v>39448</v>
      </c>
      <c r="R43" s="4">
        <f t="shared" ref="R43:R61" si="3">FLOOR(((YEAR(Q43)*12+MONTH(Q43))-(YEAR(P43)*12+MONTH(P43)))/3,1)+1</f>
        <v>1</v>
      </c>
      <c r="S43" t="str">
        <f t="shared" si="1"/>
        <v>Q1-2008</v>
      </c>
      <c r="T43" t="str">
        <f t="shared" si="2"/>
        <v>Q1-2008</v>
      </c>
      <c r="U43" t="s">
        <v>54</v>
      </c>
    </row>
    <row r="44" spans="1:23">
      <c r="A44" t="s">
        <v>61</v>
      </c>
      <c r="B44" t="s">
        <v>962</v>
      </c>
      <c r="C44" t="s">
        <v>673</v>
      </c>
      <c r="D44" s="7"/>
      <c r="E44">
        <v>2008</v>
      </c>
      <c r="F44" s="1" t="s">
        <v>52</v>
      </c>
      <c r="J44">
        <v>1</v>
      </c>
      <c r="P44" s="5">
        <v>39692</v>
      </c>
      <c r="Q44" s="5">
        <v>39692</v>
      </c>
      <c r="R44" s="4">
        <f t="shared" si="3"/>
        <v>1</v>
      </c>
      <c r="S44" t="str">
        <f t="shared" si="1"/>
        <v>Q3-2008</v>
      </c>
      <c r="T44" t="str">
        <f t="shared" si="2"/>
        <v>Q3-2008</v>
      </c>
      <c r="U44" t="s">
        <v>62</v>
      </c>
    </row>
    <row r="45" spans="1:23">
      <c r="A45" t="s">
        <v>73</v>
      </c>
      <c r="B45" t="s">
        <v>757</v>
      </c>
      <c r="E45">
        <v>2010</v>
      </c>
      <c r="F45" s="1" t="s">
        <v>52</v>
      </c>
      <c r="H45">
        <v>1</v>
      </c>
      <c r="P45" s="5">
        <v>39722</v>
      </c>
      <c r="Q45" s="5">
        <v>40210</v>
      </c>
      <c r="R45" s="4">
        <f t="shared" si="3"/>
        <v>6</v>
      </c>
      <c r="S45" t="str">
        <f t="shared" si="1"/>
        <v>Q4-2008</v>
      </c>
      <c r="T45" t="str">
        <f t="shared" si="2"/>
        <v>Q1-2010</v>
      </c>
      <c r="U45" t="s">
        <v>880</v>
      </c>
    </row>
    <row r="46" spans="1:23">
      <c r="A46" t="s">
        <v>97</v>
      </c>
      <c r="B46" t="s">
        <v>604</v>
      </c>
      <c r="C46" t="s">
        <v>758</v>
      </c>
      <c r="D46">
        <v>1</v>
      </c>
      <c r="E46">
        <v>2009</v>
      </c>
      <c r="F46" s="1" t="s">
        <v>52</v>
      </c>
      <c r="J46">
        <v>1</v>
      </c>
      <c r="L46">
        <v>1</v>
      </c>
      <c r="P46" s="5">
        <v>39845</v>
      </c>
      <c r="Q46" s="5">
        <v>39934</v>
      </c>
      <c r="R46" s="4">
        <f t="shared" si="3"/>
        <v>2</v>
      </c>
      <c r="S46" t="str">
        <f t="shared" si="1"/>
        <v>Q1-2009</v>
      </c>
      <c r="T46" t="str">
        <f t="shared" si="2"/>
        <v>Q2-2009</v>
      </c>
      <c r="U46" t="s">
        <v>102</v>
      </c>
    </row>
    <row r="47" spans="1:23">
      <c r="A47" t="s">
        <v>92</v>
      </c>
      <c r="B47" t="s">
        <v>1042</v>
      </c>
      <c r="C47" t="s">
        <v>759</v>
      </c>
      <c r="D47" s="8"/>
      <c r="E47">
        <v>2009</v>
      </c>
      <c r="F47" s="1" t="s">
        <v>52</v>
      </c>
      <c r="J47">
        <v>1</v>
      </c>
      <c r="L47">
        <v>1</v>
      </c>
      <c r="P47" s="5">
        <v>39845</v>
      </c>
      <c r="Q47" s="5">
        <v>40148</v>
      </c>
      <c r="R47" s="4">
        <f t="shared" si="3"/>
        <v>4</v>
      </c>
      <c r="S47" t="str">
        <f t="shared" si="1"/>
        <v>Q1-2009</v>
      </c>
      <c r="T47" t="str">
        <f t="shared" si="2"/>
        <v>Q4-2009</v>
      </c>
      <c r="U47" t="s">
        <v>100</v>
      </c>
    </row>
    <row r="48" spans="1:23">
      <c r="A48" t="s">
        <v>60</v>
      </c>
      <c r="B48" t="s">
        <v>905</v>
      </c>
      <c r="C48" t="s">
        <v>674</v>
      </c>
      <c r="D48" s="8"/>
      <c r="E48">
        <v>2008</v>
      </c>
      <c r="F48" s="1" t="s">
        <v>52</v>
      </c>
      <c r="H48">
        <v>1</v>
      </c>
      <c r="J48">
        <v>1</v>
      </c>
      <c r="M48">
        <v>1</v>
      </c>
      <c r="P48" s="5">
        <v>39692</v>
      </c>
      <c r="Q48" s="5">
        <v>39753</v>
      </c>
      <c r="R48" s="4">
        <f t="shared" si="3"/>
        <v>1</v>
      </c>
      <c r="S48" t="str">
        <f t="shared" si="1"/>
        <v>Q3-2008</v>
      </c>
      <c r="T48" t="str">
        <f t="shared" si="2"/>
        <v>Q4-2008</v>
      </c>
      <c r="U48" t="s">
        <v>835</v>
      </c>
    </row>
    <row r="49" spans="1:23">
      <c r="A49" t="s">
        <v>75</v>
      </c>
      <c r="B49" t="s">
        <v>906</v>
      </c>
      <c r="C49" t="s">
        <v>675</v>
      </c>
      <c r="D49" s="7"/>
      <c r="E49">
        <v>2008</v>
      </c>
      <c r="F49" s="1" t="s">
        <v>52</v>
      </c>
      <c r="H49">
        <v>1</v>
      </c>
      <c r="J49">
        <v>1</v>
      </c>
      <c r="P49" s="5">
        <v>39722</v>
      </c>
      <c r="Q49" s="5">
        <v>40087</v>
      </c>
      <c r="R49" s="4">
        <f t="shared" si="3"/>
        <v>5</v>
      </c>
      <c r="S49" t="str">
        <f t="shared" si="1"/>
        <v>Q4-2008</v>
      </c>
      <c r="T49" t="str">
        <f t="shared" si="2"/>
        <v>Q4-2009</v>
      </c>
      <c r="U49" t="s">
        <v>831</v>
      </c>
    </row>
    <row r="50" spans="1:23">
      <c r="A50" t="s">
        <v>75</v>
      </c>
      <c r="B50" t="s">
        <v>906</v>
      </c>
      <c r="C50" t="s">
        <v>675</v>
      </c>
      <c r="D50" s="7"/>
      <c r="E50">
        <v>2010</v>
      </c>
      <c r="F50" s="1" t="s">
        <v>52</v>
      </c>
      <c r="H50">
        <v>1</v>
      </c>
      <c r="P50" s="5">
        <v>40422</v>
      </c>
      <c r="Q50" s="5">
        <v>40544</v>
      </c>
      <c r="R50" s="4">
        <f t="shared" si="3"/>
        <v>2</v>
      </c>
      <c r="S50" t="str">
        <f t="shared" si="1"/>
        <v>Q3-2010</v>
      </c>
      <c r="T50" t="str">
        <f t="shared" si="2"/>
        <v>Q1-2011</v>
      </c>
      <c r="U50" t="s">
        <v>832</v>
      </c>
    </row>
    <row r="51" spans="1:23">
      <c r="A51" t="s">
        <v>93</v>
      </c>
      <c r="B51" t="s">
        <v>963</v>
      </c>
      <c r="D51">
        <v>1</v>
      </c>
      <c r="E51">
        <v>2009</v>
      </c>
      <c r="F51" s="1" t="s">
        <v>52</v>
      </c>
      <c r="J51">
        <v>1</v>
      </c>
      <c r="P51" s="5">
        <v>39845</v>
      </c>
      <c r="Q51" s="5">
        <v>39845</v>
      </c>
      <c r="R51" s="4">
        <f t="shared" si="3"/>
        <v>1</v>
      </c>
      <c r="S51" t="str">
        <f t="shared" si="1"/>
        <v>Q1-2009</v>
      </c>
      <c r="T51" t="str">
        <f t="shared" si="2"/>
        <v>Q1-2009</v>
      </c>
      <c r="U51" t="s">
        <v>102</v>
      </c>
    </row>
    <row r="52" spans="1:23">
      <c r="A52" t="s">
        <v>322</v>
      </c>
      <c r="B52" t="s">
        <v>907</v>
      </c>
      <c r="C52" t="s">
        <v>676</v>
      </c>
      <c r="D52">
        <v>1</v>
      </c>
      <c r="E52">
        <v>2009</v>
      </c>
      <c r="F52" s="1" t="s">
        <v>52</v>
      </c>
      <c r="H52">
        <v>1</v>
      </c>
      <c r="I52">
        <v>0</v>
      </c>
      <c r="P52" s="5">
        <v>39722</v>
      </c>
      <c r="Q52" s="5">
        <v>40057</v>
      </c>
      <c r="R52" s="4">
        <f t="shared" si="3"/>
        <v>4</v>
      </c>
      <c r="S52" t="str">
        <f t="shared" si="1"/>
        <v>Q4-2008</v>
      </c>
      <c r="T52" t="str">
        <f t="shared" si="2"/>
        <v>Q3-2009</v>
      </c>
      <c r="U52" t="s">
        <v>1010</v>
      </c>
    </row>
    <row r="53" spans="1:23">
      <c r="A53" t="s">
        <v>79</v>
      </c>
      <c r="B53" t="s">
        <v>908</v>
      </c>
      <c r="C53" t="s">
        <v>677</v>
      </c>
      <c r="E53">
        <v>2010</v>
      </c>
      <c r="F53" s="1" t="s">
        <v>52</v>
      </c>
      <c r="H53">
        <v>1</v>
      </c>
      <c r="P53" s="5">
        <v>40452</v>
      </c>
      <c r="Q53" s="5">
        <v>40695</v>
      </c>
      <c r="R53" s="4">
        <f t="shared" si="3"/>
        <v>3</v>
      </c>
      <c r="S53" t="str">
        <f t="shared" si="1"/>
        <v>Q4-2010</v>
      </c>
      <c r="T53" t="str">
        <f t="shared" si="2"/>
        <v>Q2-2011</v>
      </c>
      <c r="U53" t="s">
        <v>323</v>
      </c>
    </row>
    <row r="54" spans="1:23">
      <c r="A54" t="s">
        <v>660</v>
      </c>
      <c r="B54" t="s">
        <v>909</v>
      </c>
      <c r="C54" t="s">
        <v>679</v>
      </c>
      <c r="E54">
        <v>2008</v>
      </c>
      <c r="F54" s="1" t="s">
        <v>52</v>
      </c>
      <c r="N54">
        <v>1</v>
      </c>
      <c r="P54" s="5">
        <v>39692</v>
      </c>
      <c r="Q54" s="5">
        <v>39722</v>
      </c>
      <c r="R54" s="4">
        <f t="shared" si="3"/>
        <v>1</v>
      </c>
      <c r="S54" t="str">
        <f t="shared" si="1"/>
        <v>Q3-2008</v>
      </c>
      <c r="T54" t="str">
        <f t="shared" si="2"/>
        <v>Q4-2008</v>
      </c>
      <c r="U54" t="s">
        <v>58</v>
      </c>
      <c r="W54" t="s">
        <v>56</v>
      </c>
    </row>
    <row r="55" spans="1:23">
      <c r="A55" t="s">
        <v>72</v>
      </c>
      <c r="E55">
        <v>2009</v>
      </c>
      <c r="F55" s="1" t="s">
        <v>52</v>
      </c>
      <c r="H55">
        <v>1</v>
      </c>
      <c r="P55" s="5">
        <v>39722</v>
      </c>
      <c r="Q55" s="5">
        <v>39904</v>
      </c>
      <c r="R55" s="4">
        <f t="shared" si="3"/>
        <v>3</v>
      </c>
      <c r="S55" t="str">
        <f t="shared" si="1"/>
        <v>Q4-2008</v>
      </c>
      <c r="T55" t="str">
        <f t="shared" si="2"/>
        <v>Q2-2009</v>
      </c>
      <c r="U55" t="s">
        <v>80</v>
      </c>
    </row>
    <row r="56" spans="1:23">
      <c r="A56" t="s">
        <v>662</v>
      </c>
      <c r="B56" s="50" t="s">
        <v>911</v>
      </c>
      <c r="E56">
        <v>2009</v>
      </c>
      <c r="F56" s="1" t="s">
        <v>52</v>
      </c>
      <c r="H56">
        <v>1</v>
      </c>
      <c r="P56" s="5">
        <v>39722</v>
      </c>
      <c r="Q56" s="5">
        <v>39873</v>
      </c>
      <c r="R56" s="4">
        <f t="shared" si="3"/>
        <v>2</v>
      </c>
      <c r="S56" t="str">
        <f t="shared" si="1"/>
        <v>Q4-2008</v>
      </c>
      <c r="T56" t="str">
        <f t="shared" si="2"/>
        <v>Q1-2009</v>
      </c>
      <c r="U56" t="s">
        <v>80</v>
      </c>
      <c r="W56" t="s">
        <v>71</v>
      </c>
    </row>
    <row r="57" spans="1:23">
      <c r="A57" t="s">
        <v>661</v>
      </c>
      <c r="B57" t="s">
        <v>910</v>
      </c>
      <c r="C57" t="s">
        <v>678</v>
      </c>
      <c r="D57" s="8"/>
      <c r="E57">
        <v>2008</v>
      </c>
      <c r="F57" s="1" t="s">
        <v>52</v>
      </c>
      <c r="M57">
        <v>1</v>
      </c>
      <c r="P57" s="5">
        <v>39692</v>
      </c>
      <c r="Q57" s="5">
        <v>39722</v>
      </c>
      <c r="R57" s="4">
        <f t="shared" si="3"/>
        <v>1</v>
      </c>
      <c r="S57" t="str">
        <f t="shared" si="1"/>
        <v>Q3-2008</v>
      </c>
      <c r="T57" t="str">
        <f t="shared" si="2"/>
        <v>Q4-2008</v>
      </c>
      <c r="U57" t="s">
        <v>59</v>
      </c>
      <c r="W57" t="s">
        <v>57</v>
      </c>
    </row>
    <row r="58" spans="1:23">
      <c r="A58" t="s">
        <v>81</v>
      </c>
      <c r="B58" t="s">
        <v>911</v>
      </c>
      <c r="C58" t="s">
        <v>680</v>
      </c>
      <c r="D58" s="8"/>
      <c r="E58">
        <v>2011</v>
      </c>
      <c r="F58" s="1" t="s">
        <v>52</v>
      </c>
      <c r="H58">
        <v>1</v>
      </c>
      <c r="J58">
        <v>1</v>
      </c>
      <c r="M58">
        <v>1</v>
      </c>
      <c r="P58" s="5">
        <v>40756</v>
      </c>
      <c r="Q58" s="5">
        <v>40817</v>
      </c>
      <c r="R58" s="4">
        <f t="shared" si="3"/>
        <v>1</v>
      </c>
      <c r="S58" t="str">
        <f t="shared" si="1"/>
        <v>Q3-2011</v>
      </c>
      <c r="T58" t="str">
        <f t="shared" si="2"/>
        <v>Q4-2011</v>
      </c>
      <c r="U58" t="s">
        <v>324</v>
      </c>
    </row>
    <row r="59" spans="1:23">
      <c r="A59" t="s">
        <v>663</v>
      </c>
      <c r="B59" t="s">
        <v>912</v>
      </c>
      <c r="C59" t="s">
        <v>681</v>
      </c>
      <c r="D59" s="8"/>
      <c r="E59">
        <v>2010</v>
      </c>
      <c r="F59" s="1" t="s">
        <v>52</v>
      </c>
      <c r="N59">
        <v>1</v>
      </c>
      <c r="P59" s="5">
        <v>40391</v>
      </c>
      <c r="Q59" s="5">
        <v>40483</v>
      </c>
      <c r="R59" s="4">
        <f t="shared" si="3"/>
        <v>2</v>
      </c>
      <c r="S59" t="str">
        <f t="shared" si="1"/>
        <v>Q3-2010</v>
      </c>
      <c r="T59" t="str">
        <f t="shared" si="2"/>
        <v>Q4-2010</v>
      </c>
      <c r="U59" t="s">
        <v>78</v>
      </c>
      <c r="W59" t="s">
        <v>77</v>
      </c>
    </row>
    <row r="60" spans="1:23">
      <c r="A60" t="s">
        <v>664</v>
      </c>
      <c r="B60" t="s">
        <v>760</v>
      </c>
      <c r="C60" t="s">
        <v>682</v>
      </c>
      <c r="D60">
        <v>1</v>
      </c>
      <c r="E60">
        <v>2008</v>
      </c>
      <c r="F60" s="1" t="s">
        <v>52</v>
      </c>
      <c r="N60">
        <v>1</v>
      </c>
      <c r="P60" s="5">
        <v>39692</v>
      </c>
      <c r="Q60" s="5">
        <v>39692</v>
      </c>
      <c r="R60" s="4">
        <f t="shared" si="3"/>
        <v>1</v>
      </c>
      <c r="S60" t="str">
        <f t="shared" si="1"/>
        <v>Q3-2008</v>
      </c>
      <c r="T60" t="str">
        <f t="shared" si="2"/>
        <v>Q3-2008</v>
      </c>
      <c r="U60" t="s">
        <v>65</v>
      </c>
      <c r="W60" t="s">
        <v>63</v>
      </c>
    </row>
    <row r="61" spans="1:23">
      <c r="A61" t="s">
        <v>55</v>
      </c>
      <c r="B61" t="s">
        <v>913</v>
      </c>
      <c r="C61" t="s">
        <v>649</v>
      </c>
      <c r="D61">
        <v>1</v>
      </c>
      <c r="E61">
        <v>2008</v>
      </c>
      <c r="F61" s="1" t="s">
        <v>52</v>
      </c>
      <c r="H61">
        <v>1</v>
      </c>
      <c r="I61">
        <v>0</v>
      </c>
      <c r="J61">
        <v>1</v>
      </c>
      <c r="P61" s="5">
        <v>39630</v>
      </c>
      <c r="Q61" s="5">
        <v>39661</v>
      </c>
      <c r="R61" s="4">
        <f t="shared" si="3"/>
        <v>1</v>
      </c>
      <c r="S61" t="str">
        <f t="shared" si="1"/>
        <v>Q3-2008</v>
      </c>
      <c r="T61" t="str">
        <f t="shared" si="2"/>
        <v>Q3-2008</v>
      </c>
      <c r="U61" t="s">
        <v>1012</v>
      </c>
      <c r="V61"/>
    </row>
    <row r="62" spans="1:23">
      <c r="A62" t="s">
        <v>55</v>
      </c>
      <c r="B62" t="s">
        <v>913</v>
      </c>
      <c r="C62" t="s">
        <v>649</v>
      </c>
      <c r="D62">
        <v>1</v>
      </c>
      <c r="E62">
        <v>2009</v>
      </c>
      <c r="F62" s="1" t="s">
        <v>52</v>
      </c>
      <c r="H62">
        <v>1</v>
      </c>
      <c r="K62">
        <v>1</v>
      </c>
      <c r="M62">
        <v>1</v>
      </c>
      <c r="P62" s="5">
        <v>39873</v>
      </c>
      <c r="Q62" s="5">
        <v>40026</v>
      </c>
      <c r="R62" s="4">
        <v>3</v>
      </c>
      <c r="S62" t="str">
        <f t="shared" si="1"/>
        <v>Q1-2009</v>
      </c>
      <c r="T62" t="str">
        <f t="shared" si="2"/>
        <v>Q3-2009</v>
      </c>
      <c r="U62" t="s">
        <v>834</v>
      </c>
    </row>
    <row r="63" spans="1:23">
      <c r="A63" t="s">
        <v>684</v>
      </c>
      <c r="B63" t="s">
        <v>914</v>
      </c>
      <c r="C63" t="s">
        <v>683</v>
      </c>
      <c r="D63" s="8"/>
      <c r="E63">
        <v>2010</v>
      </c>
      <c r="F63" s="1" t="s">
        <v>52</v>
      </c>
      <c r="J63">
        <v>1</v>
      </c>
      <c r="P63" s="5">
        <v>39814</v>
      </c>
      <c r="Q63" s="5">
        <v>40422</v>
      </c>
      <c r="R63" s="4">
        <f t="shared" ref="R63:R95" si="4">FLOOR(((YEAR(Q63)*12+MONTH(Q63))-(YEAR(P63)*12+MONTH(P63)))/3,1)+1</f>
        <v>7</v>
      </c>
      <c r="S63" t="str">
        <f t="shared" si="1"/>
        <v>Q1-2009</v>
      </c>
      <c r="T63" t="str">
        <f t="shared" si="2"/>
        <v>Q3-2010</v>
      </c>
      <c r="U63" t="s">
        <v>1069</v>
      </c>
      <c r="W63" t="s">
        <v>74</v>
      </c>
    </row>
    <row r="64" spans="1:23">
      <c r="A64" t="s">
        <v>94</v>
      </c>
      <c r="B64" t="s">
        <v>606</v>
      </c>
      <c r="C64" t="s">
        <v>761</v>
      </c>
      <c r="D64">
        <v>1</v>
      </c>
      <c r="E64">
        <v>2009</v>
      </c>
      <c r="F64" s="1" t="s">
        <v>52</v>
      </c>
      <c r="J64">
        <v>1</v>
      </c>
      <c r="L64">
        <v>1</v>
      </c>
      <c r="P64" s="5">
        <v>39845</v>
      </c>
      <c r="Q64" s="5">
        <v>40148</v>
      </c>
      <c r="R64" s="4">
        <f t="shared" si="4"/>
        <v>4</v>
      </c>
      <c r="S64" t="str">
        <f t="shared" si="1"/>
        <v>Q1-2009</v>
      </c>
      <c r="T64" t="str">
        <f t="shared" si="2"/>
        <v>Q4-2009</v>
      </c>
      <c r="U64" t="s">
        <v>100</v>
      </c>
    </row>
    <row r="65" spans="1:23">
      <c r="A65" t="s">
        <v>85</v>
      </c>
      <c r="B65" t="s">
        <v>915</v>
      </c>
      <c r="E65">
        <v>2012</v>
      </c>
      <c r="F65" s="1" t="s">
        <v>52</v>
      </c>
      <c r="I65">
        <v>1</v>
      </c>
      <c r="P65" s="5">
        <v>40695</v>
      </c>
      <c r="Q65" s="5">
        <v>41000</v>
      </c>
      <c r="R65" s="4">
        <f t="shared" si="4"/>
        <v>4</v>
      </c>
      <c r="S65" t="str">
        <f t="shared" si="1"/>
        <v>Q2-2011</v>
      </c>
      <c r="T65" t="str">
        <f t="shared" si="2"/>
        <v>Q2-2012</v>
      </c>
      <c r="U65" t="s">
        <v>86</v>
      </c>
    </row>
    <row r="66" spans="1:23">
      <c r="A66" t="s">
        <v>88</v>
      </c>
      <c r="B66" t="s">
        <v>915</v>
      </c>
      <c r="C66" t="s">
        <v>685</v>
      </c>
      <c r="E66">
        <v>2013</v>
      </c>
      <c r="F66" s="1" t="s">
        <v>52</v>
      </c>
      <c r="N66">
        <v>1</v>
      </c>
      <c r="P66" s="5">
        <v>41275</v>
      </c>
      <c r="Q66" s="5">
        <v>41275</v>
      </c>
      <c r="R66" s="4">
        <f t="shared" si="4"/>
        <v>1</v>
      </c>
      <c r="S66" t="str">
        <f t="shared" si="1"/>
        <v>Q1-2013</v>
      </c>
      <c r="T66" t="str">
        <f t="shared" si="2"/>
        <v>Q1-2013</v>
      </c>
      <c r="U66" t="s">
        <v>90</v>
      </c>
    </row>
    <row r="67" spans="1:23">
      <c r="A67" t="s">
        <v>686</v>
      </c>
      <c r="E67">
        <v>2012</v>
      </c>
      <c r="F67" s="1" t="s">
        <v>52</v>
      </c>
      <c r="H67">
        <v>1</v>
      </c>
      <c r="N67">
        <v>1</v>
      </c>
      <c r="P67" s="5">
        <v>40756</v>
      </c>
      <c r="Q67" s="5">
        <v>41000</v>
      </c>
      <c r="R67" s="4">
        <f t="shared" si="4"/>
        <v>3</v>
      </c>
      <c r="S67" t="str">
        <f t="shared" si="1"/>
        <v>Q3-2011</v>
      </c>
      <c r="T67" t="str">
        <f t="shared" si="2"/>
        <v>Q2-2012</v>
      </c>
      <c r="U67" t="s">
        <v>325</v>
      </c>
      <c r="W67" t="s">
        <v>84</v>
      </c>
    </row>
    <row r="68" spans="1:23">
      <c r="A68" t="s">
        <v>76</v>
      </c>
      <c r="E68">
        <v>2008</v>
      </c>
      <c r="F68" s="1" t="s">
        <v>52</v>
      </c>
      <c r="M68">
        <v>1</v>
      </c>
      <c r="P68" s="5">
        <v>39722</v>
      </c>
      <c r="Q68" s="5">
        <v>39722</v>
      </c>
      <c r="R68" s="4">
        <f t="shared" si="4"/>
        <v>1</v>
      </c>
      <c r="S68" t="str">
        <f t="shared" ref="S68:S132" si="5">"Q" &amp;INT((MONTH(P68)+2)/3) &amp; "-" &amp; YEAR(P68)</f>
        <v>Q4-2008</v>
      </c>
      <c r="T68" t="str">
        <f t="shared" ref="T68:T132" si="6">"Q" &amp;INT((MONTH(Q68)+2)/3) &amp; "-" &amp; YEAR(Q68)</f>
        <v>Q4-2008</v>
      </c>
      <c r="U68" t="s">
        <v>68</v>
      </c>
    </row>
    <row r="69" spans="1:23">
      <c r="A69" t="s">
        <v>95</v>
      </c>
      <c r="E69">
        <v>2009</v>
      </c>
      <c r="F69" s="1" t="s">
        <v>52</v>
      </c>
      <c r="J69">
        <v>1</v>
      </c>
      <c r="P69" s="5">
        <v>39845</v>
      </c>
      <c r="Q69" s="5">
        <v>40148</v>
      </c>
      <c r="R69" s="4">
        <f t="shared" si="4"/>
        <v>4</v>
      </c>
      <c r="S69" t="str">
        <f t="shared" si="5"/>
        <v>Q1-2009</v>
      </c>
      <c r="T69" t="str">
        <f t="shared" si="6"/>
        <v>Q4-2009</v>
      </c>
      <c r="U69" t="s">
        <v>100</v>
      </c>
    </row>
    <row r="70" spans="1:23">
      <c r="A70" t="s">
        <v>687</v>
      </c>
      <c r="B70" t="s">
        <v>916</v>
      </c>
      <c r="C70" t="s">
        <v>688</v>
      </c>
      <c r="D70" s="8"/>
      <c r="E70">
        <v>2012</v>
      </c>
      <c r="F70" s="1" t="s">
        <v>52</v>
      </c>
      <c r="G70">
        <v>1</v>
      </c>
      <c r="M70">
        <v>1</v>
      </c>
      <c r="P70" s="5">
        <v>41214</v>
      </c>
      <c r="Q70" s="5">
        <v>41214</v>
      </c>
      <c r="R70" s="4">
        <f t="shared" si="4"/>
        <v>1</v>
      </c>
      <c r="S70" t="str">
        <f t="shared" si="5"/>
        <v>Q4-2012</v>
      </c>
      <c r="T70" t="str">
        <f t="shared" si="6"/>
        <v>Q4-2012</v>
      </c>
      <c r="U70" t="s">
        <v>89</v>
      </c>
      <c r="W70" t="s">
        <v>87</v>
      </c>
    </row>
    <row r="71" spans="1:23">
      <c r="A71" t="s">
        <v>96</v>
      </c>
      <c r="B71" t="s">
        <v>762</v>
      </c>
      <c r="C71" t="s">
        <v>689</v>
      </c>
      <c r="D71">
        <v>1</v>
      </c>
      <c r="E71">
        <v>2009</v>
      </c>
      <c r="F71" s="1" t="s">
        <v>52</v>
      </c>
      <c r="J71">
        <v>1</v>
      </c>
      <c r="L71">
        <v>1</v>
      </c>
      <c r="P71" s="5">
        <v>39845</v>
      </c>
      <c r="Q71" s="5">
        <v>40148</v>
      </c>
      <c r="R71" s="4">
        <f t="shared" si="4"/>
        <v>4</v>
      </c>
      <c r="S71" t="str">
        <f t="shared" si="5"/>
        <v>Q1-2009</v>
      </c>
      <c r="T71" t="str">
        <f t="shared" si="6"/>
        <v>Q4-2009</v>
      </c>
      <c r="U71" t="s">
        <v>100</v>
      </c>
    </row>
    <row r="72" spans="1:23">
      <c r="A72" t="s">
        <v>745</v>
      </c>
      <c r="B72" t="s">
        <v>917</v>
      </c>
      <c r="C72" t="s">
        <v>744</v>
      </c>
      <c r="E72">
        <v>2017</v>
      </c>
      <c r="F72" s="1" t="s">
        <v>746</v>
      </c>
      <c r="H72">
        <v>1</v>
      </c>
      <c r="P72" s="5">
        <v>42370</v>
      </c>
      <c r="Q72" s="5">
        <v>42736</v>
      </c>
      <c r="R72" s="4">
        <f t="shared" si="4"/>
        <v>5</v>
      </c>
      <c r="S72" t="str">
        <f t="shared" si="5"/>
        <v>Q1-2016</v>
      </c>
      <c r="T72" t="str">
        <f t="shared" si="6"/>
        <v>Q1-2017</v>
      </c>
      <c r="U72" t="s">
        <v>836</v>
      </c>
    </row>
    <row r="73" spans="1:23">
      <c r="A73" t="s">
        <v>763</v>
      </c>
      <c r="E73">
        <v>2009</v>
      </c>
      <c r="F73" s="1" t="s">
        <v>105</v>
      </c>
      <c r="H73">
        <v>1</v>
      </c>
      <c r="L73">
        <v>1</v>
      </c>
      <c r="P73" s="5">
        <v>39722</v>
      </c>
      <c r="Q73" s="5">
        <v>39814</v>
      </c>
      <c r="R73" s="4">
        <f t="shared" si="4"/>
        <v>2</v>
      </c>
      <c r="S73" t="str">
        <f t="shared" si="5"/>
        <v>Q4-2008</v>
      </c>
      <c r="T73" t="str">
        <f t="shared" si="6"/>
        <v>Q1-2009</v>
      </c>
      <c r="U73" t="s">
        <v>328</v>
      </c>
      <c r="V73" t="s">
        <v>647</v>
      </c>
    </row>
    <row r="74" spans="1:23">
      <c r="A74" t="s">
        <v>1099</v>
      </c>
      <c r="B74" t="s">
        <v>1100</v>
      </c>
      <c r="C74" t="s">
        <v>1101</v>
      </c>
      <c r="D74">
        <v>1</v>
      </c>
      <c r="E74">
        <v>2009</v>
      </c>
      <c r="F74" s="1" t="s">
        <v>105</v>
      </c>
      <c r="J74">
        <v>1</v>
      </c>
      <c r="P74" s="5">
        <v>39814</v>
      </c>
      <c r="Q74" s="5">
        <v>39814</v>
      </c>
      <c r="R74" s="4">
        <f t="shared" si="4"/>
        <v>1</v>
      </c>
      <c r="S74" t="str">
        <f t="shared" si="5"/>
        <v>Q1-2009</v>
      </c>
      <c r="T74" t="str">
        <f t="shared" si="6"/>
        <v>Q1-2009</v>
      </c>
      <c r="U74" t="s">
        <v>1102</v>
      </c>
      <c r="V74"/>
    </row>
    <row r="75" spans="1:23">
      <c r="A75" t="s">
        <v>535</v>
      </c>
      <c r="E75">
        <v>2010</v>
      </c>
      <c r="F75" s="1" t="s">
        <v>105</v>
      </c>
      <c r="H75">
        <v>1</v>
      </c>
      <c r="P75" s="5">
        <v>40238</v>
      </c>
      <c r="Q75" s="5">
        <v>40422</v>
      </c>
      <c r="R75" s="4">
        <f t="shared" si="4"/>
        <v>3</v>
      </c>
      <c r="S75" t="str">
        <f t="shared" si="5"/>
        <v>Q1-2010</v>
      </c>
      <c r="T75" t="str">
        <f t="shared" si="6"/>
        <v>Q3-2010</v>
      </c>
      <c r="U75" t="s">
        <v>536</v>
      </c>
    </row>
    <row r="76" spans="1:23">
      <c r="A76" t="s">
        <v>108</v>
      </c>
      <c r="E76">
        <v>2008</v>
      </c>
      <c r="F76" s="1" t="s">
        <v>40</v>
      </c>
      <c r="J76">
        <v>1</v>
      </c>
      <c r="P76" s="5">
        <v>39722</v>
      </c>
      <c r="Q76" s="5">
        <v>39904</v>
      </c>
      <c r="R76" s="4">
        <f t="shared" si="4"/>
        <v>3</v>
      </c>
      <c r="S76" t="str">
        <f t="shared" si="5"/>
        <v>Q4-2008</v>
      </c>
      <c r="T76" t="str">
        <f t="shared" si="6"/>
        <v>Q2-2009</v>
      </c>
      <c r="U76" t="s">
        <v>111</v>
      </c>
    </row>
    <row r="77" spans="1:23">
      <c r="A77" t="s">
        <v>108</v>
      </c>
      <c r="E77">
        <v>2009</v>
      </c>
      <c r="F77" s="1" t="s">
        <v>40</v>
      </c>
      <c r="N77">
        <v>1</v>
      </c>
      <c r="P77" s="5">
        <v>39934</v>
      </c>
      <c r="Q77" s="5">
        <v>39995</v>
      </c>
      <c r="R77" s="4">
        <f t="shared" si="4"/>
        <v>1</v>
      </c>
      <c r="S77" t="str">
        <f t="shared" si="5"/>
        <v>Q2-2009</v>
      </c>
      <c r="T77" t="str">
        <f t="shared" si="6"/>
        <v>Q3-2009</v>
      </c>
      <c r="U77" t="s">
        <v>155</v>
      </c>
    </row>
    <row r="78" spans="1:23">
      <c r="A78" t="s">
        <v>112</v>
      </c>
      <c r="E78">
        <v>2008</v>
      </c>
      <c r="F78" s="1" t="s">
        <v>40</v>
      </c>
      <c r="J78">
        <v>1</v>
      </c>
      <c r="P78" s="5">
        <v>39722</v>
      </c>
      <c r="Q78" s="5">
        <v>39904</v>
      </c>
      <c r="R78" s="4">
        <f t="shared" si="4"/>
        <v>3</v>
      </c>
      <c r="S78" t="str">
        <f t="shared" si="5"/>
        <v>Q4-2008</v>
      </c>
      <c r="T78" t="str">
        <f t="shared" si="6"/>
        <v>Q2-2009</v>
      </c>
      <c r="U78" t="s">
        <v>119</v>
      </c>
    </row>
    <row r="79" spans="1:23">
      <c r="A79" t="s">
        <v>37</v>
      </c>
      <c r="B79" t="s">
        <v>609</v>
      </c>
      <c r="C79" t="s">
        <v>764</v>
      </c>
      <c r="D79">
        <v>1</v>
      </c>
      <c r="E79">
        <v>2008</v>
      </c>
      <c r="F79" s="1" t="s">
        <v>40</v>
      </c>
      <c r="J79">
        <v>1</v>
      </c>
      <c r="P79" s="5">
        <v>39722</v>
      </c>
      <c r="Q79" s="5">
        <v>39904</v>
      </c>
      <c r="R79" s="4">
        <f t="shared" si="4"/>
        <v>3</v>
      </c>
      <c r="S79" t="str">
        <f t="shared" si="5"/>
        <v>Q4-2008</v>
      </c>
      <c r="T79" t="str">
        <f t="shared" si="6"/>
        <v>Q2-2009</v>
      </c>
      <c r="U79" t="s">
        <v>111</v>
      </c>
    </row>
    <row r="80" spans="1:23">
      <c r="A80" t="s">
        <v>113</v>
      </c>
      <c r="E80">
        <v>2008</v>
      </c>
      <c r="F80" s="1" t="s">
        <v>40</v>
      </c>
      <c r="J80">
        <v>1</v>
      </c>
      <c r="P80" s="5">
        <v>39722</v>
      </c>
      <c r="Q80" s="5">
        <v>39904</v>
      </c>
      <c r="R80" s="4">
        <f t="shared" si="4"/>
        <v>3</v>
      </c>
      <c r="S80" t="str">
        <f t="shared" si="5"/>
        <v>Q4-2008</v>
      </c>
      <c r="T80" t="str">
        <f t="shared" si="6"/>
        <v>Q2-2009</v>
      </c>
      <c r="U80" t="s">
        <v>119</v>
      </c>
    </row>
    <row r="81" spans="1:21">
      <c r="A81" t="s">
        <v>113</v>
      </c>
      <c r="E81">
        <v>2013</v>
      </c>
      <c r="F81" s="1" t="s">
        <v>40</v>
      </c>
      <c r="H81">
        <v>1</v>
      </c>
      <c r="L81">
        <v>1</v>
      </c>
      <c r="P81" s="5">
        <v>41275</v>
      </c>
      <c r="Q81" s="5">
        <v>41579</v>
      </c>
      <c r="R81" s="4">
        <f t="shared" si="4"/>
        <v>4</v>
      </c>
      <c r="S81" t="str">
        <f t="shared" si="5"/>
        <v>Q1-2013</v>
      </c>
      <c r="T81" t="str">
        <f t="shared" si="6"/>
        <v>Q4-2013</v>
      </c>
      <c r="U81" t="s">
        <v>326</v>
      </c>
    </row>
    <row r="82" spans="1:21">
      <c r="A82" t="s">
        <v>109</v>
      </c>
      <c r="E82">
        <v>2008</v>
      </c>
      <c r="F82" s="1" t="s">
        <v>40</v>
      </c>
      <c r="J82">
        <v>1</v>
      </c>
      <c r="P82" s="5">
        <v>39722</v>
      </c>
      <c r="Q82" s="5">
        <v>39904</v>
      </c>
      <c r="R82" s="4">
        <f t="shared" si="4"/>
        <v>3</v>
      </c>
      <c r="S82" t="str">
        <f t="shared" si="5"/>
        <v>Q4-2008</v>
      </c>
      <c r="T82" t="str">
        <f t="shared" si="6"/>
        <v>Q2-2009</v>
      </c>
      <c r="U82" t="s">
        <v>111</v>
      </c>
    </row>
    <row r="83" spans="1:21">
      <c r="A83" t="s">
        <v>109</v>
      </c>
      <c r="E83">
        <v>2009</v>
      </c>
      <c r="F83" s="1" t="s">
        <v>40</v>
      </c>
      <c r="N83">
        <v>1</v>
      </c>
      <c r="P83" s="5">
        <v>39934</v>
      </c>
      <c r="Q83" s="5">
        <v>39995</v>
      </c>
      <c r="R83" s="4">
        <f t="shared" si="4"/>
        <v>1</v>
      </c>
      <c r="S83" t="str">
        <f t="shared" si="5"/>
        <v>Q2-2009</v>
      </c>
      <c r="T83" t="str">
        <f t="shared" si="6"/>
        <v>Q3-2009</v>
      </c>
      <c r="U83" t="s">
        <v>155</v>
      </c>
    </row>
    <row r="84" spans="1:21">
      <c r="A84" t="s">
        <v>39</v>
      </c>
      <c r="B84" t="s">
        <v>610</v>
      </c>
      <c r="C84" t="s">
        <v>765</v>
      </c>
      <c r="D84">
        <v>1</v>
      </c>
      <c r="E84">
        <v>2008</v>
      </c>
      <c r="F84" s="1" t="s">
        <v>40</v>
      </c>
      <c r="J84">
        <v>1</v>
      </c>
      <c r="P84" s="5">
        <v>39722</v>
      </c>
      <c r="Q84" s="5">
        <v>39904</v>
      </c>
      <c r="R84" s="4">
        <f t="shared" si="4"/>
        <v>3</v>
      </c>
      <c r="S84" t="str">
        <f t="shared" si="5"/>
        <v>Q4-2008</v>
      </c>
      <c r="T84" t="str">
        <f t="shared" si="6"/>
        <v>Q2-2009</v>
      </c>
      <c r="U84" t="s">
        <v>111</v>
      </c>
    </row>
    <row r="85" spans="1:21">
      <c r="A85" t="s">
        <v>36</v>
      </c>
      <c r="E85">
        <v>2008</v>
      </c>
      <c r="F85" s="1" t="s">
        <v>40</v>
      </c>
      <c r="J85">
        <v>1</v>
      </c>
      <c r="P85" s="5">
        <v>39722</v>
      </c>
      <c r="Q85" s="5">
        <v>39904</v>
      </c>
      <c r="R85" s="4">
        <f t="shared" si="4"/>
        <v>3</v>
      </c>
      <c r="S85" t="str">
        <f t="shared" si="5"/>
        <v>Q4-2008</v>
      </c>
      <c r="T85" t="str">
        <f t="shared" si="6"/>
        <v>Q2-2009</v>
      </c>
      <c r="U85" t="s">
        <v>111</v>
      </c>
    </row>
    <row r="86" spans="1:21">
      <c r="A86" t="s">
        <v>114</v>
      </c>
      <c r="E86">
        <v>2008</v>
      </c>
      <c r="F86" s="1" t="s">
        <v>40</v>
      </c>
      <c r="J86">
        <v>1</v>
      </c>
      <c r="P86" s="5">
        <v>39722</v>
      </c>
      <c r="Q86" s="5">
        <v>39904</v>
      </c>
      <c r="R86" s="4">
        <f t="shared" si="4"/>
        <v>3</v>
      </c>
      <c r="S86" t="str">
        <f t="shared" si="5"/>
        <v>Q4-2008</v>
      </c>
      <c r="T86" t="str">
        <f t="shared" si="6"/>
        <v>Q2-2009</v>
      </c>
      <c r="U86" t="s">
        <v>119</v>
      </c>
    </row>
    <row r="87" spans="1:21">
      <c r="A87" t="s">
        <v>115</v>
      </c>
      <c r="E87">
        <v>2008</v>
      </c>
      <c r="F87" s="1" t="s">
        <v>40</v>
      </c>
      <c r="J87">
        <v>1</v>
      </c>
      <c r="P87" s="5">
        <v>39722</v>
      </c>
      <c r="Q87" s="5">
        <v>39904</v>
      </c>
      <c r="R87" s="4">
        <f t="shared" si="4"/>
        <v>3</v>
      </c>
      <c r="S87" t="str">
        <f t="shared" si="5"/>
        <v>Q4-2008</v>
      </c>
      <c r="T87" t="str">
        <f t="shared" si="6"/>
        <v>Q2-2009</v>
      </c>
      <c r="U87" t="s">
        <v>119</v>
      </c>
    </row>
    <row r="88" spans="1:21">
      <c r="A88" t="s">
        <v>116</v>
      </c>
      <c r="E88">
        <v>2008</v>
      </c>
      <c r="F88" s="1" t="s">
        <v>40</v>
      </c>
      <c r="J88">
        <v>1</v>
      </c>
      <c r="P88" s="5">
        <v>39722</v>
      </c>
      <c r="Q88" s="5">
        <v>39904</v>
      </c>
      <c r="R88" s="4">
        <f t="shared" si="4"/>
        <v>3</v>
      </c>
      <c r="S88" t="str">
        <f t="shared" si="5"/>
        <v>Q4-2008</v>
      </c>
      <c r="T88" t="str">
        <f t="shared" si="6"/>
        <v>Q2-2009</v>
      </c>
      <c r="U88" t="s">
        <v>119</v>
      </c>
    </row>
    <row r="89" spans="1:21">
      <c r="A89" t="s">
        <v>607</v>
      </c>
      <c r="B89" t="s">
        <v>608</v>
      </c>
      <c r="C89" t="s">
        <v>766</v>
      </c>
      <c r="D89">
        <v>1</v>
      </c>
      <c r="E89">
        <v>2009</v>
      </c>
      <c r="F89" s="1" t="s">
        <v>40</v>
      </c>
      <c r="J89">
        <v>1</v>
      </c>
      <c r="P89" s="5">
        <v>39995</v>
      </c>
      <c r="Q89" s="5">
        <v>39995</v>
      </c>
      <c r="R89" s="4">
        <f t="shared" si="4"/>
        <v>1</v>
      </c>
      <c r="S89" t="str">
        <f t="shared" si="5"/>
        <v>Q3-2009</v>
      </c>
      <c r="T89" t="str">
        <f t="shared" si="6"/>
        <v>Q3-2009</v>
      </c>
      <c r="U89" t="s">
        <v>644</v>
      </c>
    </row>
    <row r="90" spans="1:21">
      <c r="A90" t="s">
        <v>117</v>
      </c>
      <c r="E90">
        <v>2008</v>
      </c>
      <c r="F90" s="1" t="s">
        <v>40</v>
      </c>
      <c r="J90">
        <v>1</v>
      </c>
      <c r="P90" s="5">
        <v>39722</v>
      </c>
      <c r="Q90" s="5">
        <v>39904</v>
      </c>
      <c r="R90" s="4">
        <f t="shared" si="4"/>
        <v>3</v>
      </c>
      <c r="S90" t="str">
        <f t="shared" si="5"/>
        <v>Q4-2008</v>
      </c>
      <c r="T90" t="str">
        <f t="shared" si="6"/>
        <v>Q2-2009</v>
      </c>
      <c r="U90" t="s">
        <v>119</v>
      </c>
    </row>
    <row r="91" spans="1:21">
      <c r="A91" t="s">
        <v>38</v>
      </c>
      <c r="B91" t="s">
        <v>611</v>
      </c>
      <c r="C91" t="s">
        <v>767</v>
      </c>
      <c r="D91">
        <v>1</v>
      </c>
      <c r="E91">
        <v>2008</v>
      </c>
      <c r="F91" s="1" t="s">
        <v>40</v>
      </c>
      <c r="J91">
        <v>1</v>
      </c>
      <c r="P91" s="5">
        <v>39722</v>
      </c>
      <c r="Q91" s="5">
        <v>39904</v>
      </c>
      <c r="R91" s="4">
        <f t="shared" si="4"/>
        <v>3</v>
      </c>
      <c r="S91" t="str">
        <f t="shared" si="5"/>
        <v>Q4-2008</v>
      </c>
      <c r="T91" t="str">
        <f t="shared" si="6"/>
        <v>Q2-2009</v>
      </c>
      <c r="U91" t="s">
        <v>327</v>
      </c>
    </row>
    <row r="92" spans="1:21">
      <c r="A92" t="s">
        <v>118</v>
      </c>
      <c r="E92">
        <v>2008</v>
      </c>
      <c r="F92" s="1" t="s">
        <v>40</v>
      </c>
      <c r="J92">
        <v>1</v>
      </c>
      <c r="P92" s="5">
        <v>39722</v>
      </c>
      <c r="Q92" s="5">
        <v>39904</v>
      </c>
      <c r="R92" s="4">
        <f t="shared" si="4"/>
        <v>3</v>
      </c>
      <c r="S92" t="str">
        <f t="shared" si="5"/>
        <v>Q4-2008</v>
      </c>
      <c r="T92" t="str">
        <f t="shared" si="6"/>
        <v>Q2-2009</v>
      </c>
      <c r="U92" t="s">
        <v>119</v>
      </c>
    </row>
    <row r="93" spans="1:21">
      <c r="A93" t="s">
        <v>120</v>
      </c>
      <c r="B93" t="s">
        <v>612</v>
      </c>
      <c r="C93" t="s">
        <v>768</v>
      </c>
      <c r="D93">
        <v>1</v>
      </c>
      <c r="E93">
        <v>2008</v>
      </c>
      <c r="F93" s="1" t="s">
        <v>121</v>
      </c>
      <c r="J93">
        <v>1</v>
      </c>
      <c r="P93" s="5">
        <v>39722</v>
      </c>
      <c r="Q93" s="5">
        <v>39873</v>
      </c>
      <c r="R93" s="4">
        <f t="shared" si="4"/>
        <v>2</v>
      </c>
      <c r="S93" t="str">
        <f t="shared" si="5"/>
        <v>Q4-2008</v>
      </c>
      <c r="T93" t="str">
        <f t="shared" si="6"/>
        <v>Q1-2009</v>
      </c>
      <c r="U93" t="s">
        <v>129</v>
      </c>
    </row>
    <row r="94" spans="1:21">
      <c r="A94" t="s">
        <v>135</v>
      </c>
      <c r="E94">
        <v>2001</v>
      </c>
      <c r="F94" s="1" t="s">
        <v>121</v>
      </c>
      <c r="J94">
        <v>1</v>
      </c>
      <c r="L94">
        <v>1</v>
      </c>
      <c r="P94" s="5">
        <v>37073</v>
      </c>
      <c r="Q94" s="5">
        <v>37226</v>
      </c>
      <c r="R94" s="4">
        <f t="shared" si="4"/>
        <v>2</v>
      </c>
      <c r="S94" t="str">
        <f t="shared" si="5"/>
        <v>Q3-2001</v>
      </c>
      <c r="T94" t="str">
        <f t="shared" si="6"/>
        <v>Q4-2001</v>
      </c>
      <c r="U94" t="s">
        <v>505</v>
      </c>
    </row>
    <row r="95" spans="1:21">
      <c r="A95" t="s">
        <v>656</v>
      </c>
      <c r="B95" t="s">
        <v>918</v>
      </c>
      <c r="C95" t="s">
        <v>690</v>
      </c>
      <c r="D95" s="7"/>
      <c r="E95">
        <v>2008</v>
      </c>
      <c r="F95" s="1" t="s">
        <v>121</v>
      </c>
      <c r="J95">
        <v>1</v>
      </c>
      <c r="L95">
        <v>1</v>
      </c>
      <c r="P95" s="5">
        <v>39722</v>
      </c>
      <c r="Q95" s="5">
        <v>39814</v>
      </c>
      <c r="R95" s="4">
        <f t="shared" si="4"/>
        <v>2</v>
      </c>
      <c r="S95" t="str">
        <f t="shared" si="5"/>
        <v>Q4-2008</v>
      </c>
      <c r="T95" t="str">
        <f t="shared" si="6"/>
        <v>Q1-2009</v>
      </c>
      <c r="U95" t="s">
        <v>329</v>
      </c>
    </row>
    <row r="96" spans="1:21">
      <c r="A96" t="s">
        <v>122</v>
      </c>
      <c r="B96" t="s">
        <v>613</v>
      </c>
      <c r="C96" t="s">
        <v>769</v>
      </c>
      <c r="D96">
        <v>1</v>
      </c>
      <c r="E96">
        <v>2008</v>
      </c>
      <c r="F96" s="1" t="s">
        <v>121</v>
      </c>
      <c r="J96">
        <v>1</v>
      </c>
      <c r="K96">
        <v>1</v>
      </c>
      <c r="P96" s="5">
        <v>39722</v>
      </c>
      <c r="Q96" s="5">
        <v>39934</v>
      </c>
      <c r="R96" s="4">
        <f t="shared" ref="R96:R112" si="7">FLOOR(((YEAR(Q96)*12+MONTH(Q96))-(YEAR(P96)*12+MONTH(P96)))/3,1)+1</f>
        <v>3</v>
      </c>
      <c r="S96" t="str">
        <f t="shared" si="5"/>
        <v>Q4-2008</v>
      </c>
      <c r="T96" t="str">
        <f t="shared" si="6"/>
        <v>Q2-2009</v>
      </c>
      <c r="U96" t="s">
        <v>330</v>
      </c>
    </row>
    <row r="97" spans="1:23">
      <c r="A97" t="s">
        <v>342</v>
      </c>
      <c r="B97" t="s">
        <v>919</v>
      </c>
      <c r="C97" t="s">
        <v>691</v>
      </c>
      <c r="D97" s="8"/>
      <c r="E97">
        <v>2008</v>
      </c>
      <c r="F97" s="1" t="s">
        <v>121</v>
      </c>
      <c r="L97">
        <v>1</v>
      </c>
      <c r="N97">
        <v>1</v>
      </c>
      <c r="P97" s="5">
        <v>39722</v>
      </c>
      <c r="Q97" s="5">
        <v>39995</v>
      </c>
      <c r="R97" s="4">
        <f t="shared" si="7"/>
        <v>4</v>
      </c>
      <c r="S97" t="str">
        <f t="shared" si="5"/>
        <v>Q4-2008</v>
      </c>
      <c r="T97" t="str">
        <f t="shared" si="6"/>
        <v>Q3-2009</v>
      </c>
      <c r="U97" t="s">
        <v>837</v>
      </c>
    </row>
    <row r="98" spans="1:23">
      <c r="A98" t="s">
        <v>1086</v>
      </c>
      <c r="B98" t="s">
        <v>1087</v>
      </c>
      <c r="D98">
        <v>1</v>
      </c>
      <c r="E98">
        <v>2008</v>
      </c>
      <c r="F98" s="1" t="s">
        <v>121</v>
      </c>
      <c r="N98">
        <v>1</v>
      </c>
      <c r="P98" s="5">
        <v>39691</v>
      </c>
      <c r="Q98" s="5">
        <v>39944</v>
      </c>
      <c r="R98" s="4">
        <f t="shared" si="7"/>
        <v>4</v>
      </c>
      <c r="S98" t="str">
        <f t="shared" si="5"/>
        <v>Q3-2008</v>
      </c>
      <c r="T98" t="str">
        <f t="shared" si="6"/>
        <v>Q2-2009</v>
      </c>
      <c r="U98" t="s">
        <v>1092</v>
      </c>
    </row>
    <row r="99" spans="1:23">
      <c r="A99" t="s">
        <v>889</v>
      </c>
      <c r="B99" t="s">
        <v>920</v>
      </c>
      <c r="C99" t="s">
        <v>692</v>
      </c>
      <c r="D99" s="7"/>
      <c r="E99">
        <v>2008</v>
      </c>
      <c r="F99" s="1" t="s">
        <v>121</v>
      </c>
      <c r="L99">
        <v>1</v>
      </c>
      <c r="P99" s="5">
        <v>39722</v>
      </c>
      <c r="Q99" s="5">
        <v>40148</v>
      </c>
      <c r="R99" s="4">
        <f t="shared" si="7"/>
        <v>5</v>
      </c>
      <c r="S99" t="str">
        <f t="shared" si="5"/>
        <v>Q4-2008</v>
      </c>
      <c r="T99" t="str">
        <f t="shared" si="6"/>
        <v>Q4-2009</v>
      </c>
      <c r="U99" t="s">
        <v>170</v>
      </c>
      <c r="W99" t="s">
        <v>341</v>
      </c>
    </row>
    <row r="100" spans="1:23">
      <c r="A100" t="s">
        <v>1022</v>
      </c>
      <c r="D100" s="7"/>
      <c r="E100">
        <v>2009</v>
      </c>
      <c r="F100" s="1" t="s">
        <v>121</v>
      </c>
      <c r="I100">
        <v>1</v>
      </c>
      <c r="P100" s="5">
        <v>39448</v>
      </c>
      <c r="Q100" s="5">
        <v>39783</v>
      </c>
      <c r="R100" s="4">
        <f t="shared" si="7"/>
        <v>4</v>
      </c>
      <c r="S100" t="str">
        <f t="shared" si="5"/>
        <v>Q1-2008</v>
      </c>
      <c r="T100" t="str">
        <f t="shared" si="6"/>
        <v>Q4-2008</v>
      </c>
      <c r="U100" t="s">
        <v>1023</v>
      </c>
    </row>
    <row r="101" spans="1:23">
      <c r="A101" t="s">
        <v>123</v>
      </c>
      <c r="E101">
        <v>2008</v>
      </c>
      <c r="F101" s="1" t="s">
        <v>121</v>
      </c>
      <c r="J101">
        <v>1</v>
      </c>
      <c r="P101" s="5">
        <v>39722</v>
      </c>
      <c r="Q101" s="5">
        <v>39934</v>
      </c>
      <c r="R101" s="4">
        <f t="shared" si="7"/>
        <v>3</v>
      </c>
      <c r="S101" t="str">
        <f t="shared" si="5"/>
        <v>Q4-2008</v>
      </c>
      <c r="T101" t="str">
        <f t="shared" si="6"/>
        <v>Q2-2009</v>
      </c>
      <c r="U101" t="s">
        <v>331</v>
      </c>
    </row>
    <row r="102" spans="1:23">
      <c r="A102" t="s">
        <v>332</v>
      </c>
      <c r="B102" t="s">
        <v>921</v>
      </c>
      <c r="C102" t="s">
        <v>693</v>
      </c>
      <c r="D102">
        <v>1</v>
      </c>
      <c r="E102">
        <v>2008</v>
      </c>
      <c r="F102" s="1" t="s">
        <v>121</v>
      </c>
      <c r="J102">
        <v>1</v>
      </c>
      <c r="K102">
        <v>1</v>
      </c>
      <c r="P102" s="5">
        <v>39722</v>
      </c>
      <c r="Q102" s="5">
        <v>40148</v>
      </c>
      <c r="R102" s="4">
        <f t="shared" si="7"/>
        <v>5</v>
      </c>
      <c r="S102" t="str">
        <f t="shared" si="5"/>
        <v>Q4-2008</v>
      </c>
      <c r="T102" t="str">
        <f t="shared" si="6"/>
        <v>Q4-2009</v>
      </c>
      <c r="U102" t="s">
        <v>333</v>
      </c>
    </row>
    <row r="103" spans="1:23">
      <c r="A103" t="s">
        <v>332</v>
      </c>
      <c r="B103" t="s">
        <v>921</v>
      </c>
      <c r="C103" t="s">
        <v>693</v>
      </c>
      <c r="D103">
        <v>1</v>
      </c>
      <c r="E103">
        <v>2010</v>
      </c>
      <c r="F103" s="1" t="s">
        <v>121</v>
      </c>
      <c r="J103">
        <v>1</v>
      </c>
      <c r="L103">
        <v>1</v>
      </c>
      <c r="P103" s="5">
        <v>40422</v>
      </c>
      <c r="Q103" s="5">
        <v>40695</v>
      </c>
      <c r="R103" s="4">
        <f t="shared" si="7"/>
        <v>4</v>
      </c>
      <c r="S103" t="str">
        <f t="shared" si="5"/>
        <v>Q3-2010</v>
      </c>
      <c r="T103" t="str">
        <f t="shared" si="6"/>
        <v>Q2-2011</v>
      </c>
      <c r="U103" t="s">
        <v>343</v>
      </c>
    </row>
    <row r="104" spans="1:23">
      <c r="A104" t="s">
        <v>334</v>
      </c>
      <c r="B104" t="s">
        <v>922</v>
      </c>
      <c r="C104" t="s">
        <v>694</v>
      </c>
      <c r="D104">
        <v>1</v>
      </c>
      <c r="E104">
        <v>2007</v>
      </c>
      <c r="F104" s="1" t="s">
        <v>121</v>
      </c>
      <c r="L104">
        <v>1</v>
      </c>
      <c r="N104">
        <v>1</v>
      </c>
      <c r="P104" s="5">
        <v>39264</v>
      </c>
      <c r="Q104" s="5">
        <v>39661</v>
      </c>
      <c r="R104" s="4">
        <f t="shared" si="7"/>
        <v>5</v>
      </c>
      <c r="S104" t="str">
        <f t="shared" si="5"/>
        <v>Q3-2007</v>
      </c>
      <c r="T104" t="str">
        <f t="shared" si="6"/>
        <v>Q3-2008</v>
      </c>
      <c r="U104" t="s">
        <v>838</v>
      </c>
    </row>
    <row r="105" spans="1:23">
      <c r="A105" t="s">
        <v>335</v>
      </c>
      <c r="B105" t="s">
        <v>923</v>
      </c>
      <c r="C105" t="s">
        <v>695</v>
      </c>
      <c r="D105" s="8"/>
      <c r="E105">
        <v>2008</v>
      </c>
      <c r="F105" s="1" t="s">
        <v>121</v>
      </c>
      <c r="J105">
        <v>1</v>
      </c>
      <c r="L105">
        <v>1</v>
      </c>
      <c r="P105" s="5">
        <v>39753</v>
      </c>
      <c r="Q105" s="5">
        <v>39965</v>
      </c>
      <c r="R105" s="4">
        <f t="shared" si="7"/>
        <v>3</v>
      </c>
      <c r="S105" t="str">
        <f t="shared" si="5"/>
        <v>Q4-2008</v>
      </c>
      <c r="T105" t="str">
        <f t="shared" si="6"/>
        <v>Q2-2009</v>
      </c>
      <c r="U105" t="s">
        <v>839</v>
      </c>
    </row>
    <row r="106" spans="1:23">
      <c r="A106" t="s">
        <v>336</v>
      </c>
      <c r="E106">
        <v>2008</v>
      </c>
      <c r="F106" s="1" t="s">
        <v>121</v>
      </c>
      <c r="J106">
        <v>1</v>
      </c>
      <c r="L106">
        <v>1</v>
      </c>
      <c r="P106" s="5">
        <v>39722</v>
      </c>
      <c r="Q106" s="5">
        <v>40148</v>
      </c>
      <c r="R106" s="4">
        <f t="shared" si="7"/>
        <v>5</v>
      </c>
      <c r="S106" t="str">
        <f t="shared" si="5"/>
        <v>Q4-2008</v>
      </c>
      <c r="T106" t="str">
        <f t="shared" si="6"/>
        <v>Q4-2009</v>
      </c>
      <c r="U106" t="s">
        <v>337</v>
      </c>
    </row>
    <row r="107" spans="1:23">
      <c r="A107" t="s">
        <v>1037</v>
      </c>
      <c r="B107" t="s">
        <v>924</v>
      </c>
      <c r="C107" t="s">
        <v>696</v>
      </c>
      <c r="D107" s="7"/>
      <c r="E107">
        <v>2007</v>
      </c>
      <c r="F107" s="1" t="s">
        <v>121</v>
      </c>
      <c r="I107">
        <v>1</v>
      </c>
      <c r="N107">
        <v>1</v>
      </c>
      <c r="P107" s="5">
        <v>39295</v>
      </c>
      <c r="Q107" s="5">
        <v>39600</v>
      </c>
      <c r="R107" s="4">
        <f t="shared" si="7"/>
        <v>4</v>
      </c>
      <c r="S107" t="str">
        <f t="shared" si="5"/>
        <v>Q3-2007</v>
      </c>
      <c r="T107" t="str">
        <f t="shared" si="6"/>
        <v>Q2-2008</v>
      </c>
      <c r="U107" t="s">
        <v>338</v>
      </c>
    </row>
    <row r="108" spans="1:23">
      <c r="A108" t="s">
        <v>125</v>
      </c>
      <c r="E108">
        <v>2008</v>
      </c>
      <c r="F108" s="1" t="s">
        <v>121</v>
      </c>
      <c r="L108">
        <v>1</v>
      </c>
      <c r="P108" s="5">
        <v>39722</v>
      </c>
      <c r="Q108" s="5">
        <v>39845</v>
      </c>
      <c r="R108" s="4">
        <f t="shared" si="7"/>
        <v>2</v>
      </c>
      <c r="S108" t="str">
        <f t="shared" si="5"/>
        <v>Q4-2008</v>
      </c>
      <c r="T108" t="str">
        <f t="shared" si="6"/>
        <v>Q1-2009</v>
      </c>
      <c r="U108" t="s">
        <v>124</v>
      </c>
      <c r="V108" t="s">
        <v>882</v>
      </c>
    </row>
    <row r="109" spans="1:23">
      <c r="A109" t="s">
        <v>339</v>
      </c>
      <c r="B109" t="s">
        <v>925</v>
      </c>
      <c r="C109" t="s">
        <v>697</v>
      </c>
      <c r="D109" s="7"/>
      <c r="E109">
        <v>2008</v>
      </c>
      <c r="F109" s="1" t="s">
        <v>121</v>
      </c>
      <c r="J109">
        <v>1</v>
      </c>
      <c r="L109">
        <v>1</v>
      </c>
      <c r="P109" s="5">
        <v>39448</v>
      </c>
      <c r="Q109" s="5">
        <v>39508</v>
      </c>
      <c r="R109" s="4">
        <f t="shared" si="7"/>
        <v>1</v>
      </c>
      <c r="S109" t="str">
        <f t="shared" si="5"/>
        <v>Q1-2008</v>
      </c>
      <c r="T109" t="str">
        <f t="shared" si="6"/>
        <v>Q1-2008</v>
      </c>
      <c r="U109" t="s">
        <v>859</v>
      </c>
    </row>
    <row r="110" spans="1:23">
      <c r="A110" t="s">
        <v>339</v>
      </c>
      <c r="B110" t="s">
        <v>925</v>
      </c>
      <c r="C110" t="s">
        <v>697</v>
      </c>
      <c r="D110" s="7"/>
      <c r="E110">
        <v>2009</v>
      </c>
      <c r="F110" s="1" t="s">
        <v>121</v>
      </c>
      <c r="J110">
        <v>1</v>
      </c>
      <c r="L110">
        <v>1</v>
      </c>
      <c r="P110" s="5">
        <v>40057</v>
      </c>
      <c r="Q110" s="5">
        <v>40269</v>
      </c>
      <c r="R110" s="4">
        <f t="shared" si="7"/>
        <v>3</v>
      </c>
      <c r="S110" t="str">
        <f t="shared" si="5"/>
        <v>Q3-2009</v>
      </c>
      <c r="T110" t="str">
        <f t="shared" si="6"/>
        <v>Q2-2010</v>
      </c>
      <c r="U110" t="s">
        <v>860</v>
      </c>
    </row>
    <row r="111" spans="1:23">
      <c r="A111" t="s">
        <v>339</v>
      </c>
      <c r="B111" t="s">
        <v>925</v>
      </c>
      <c r="C111" t="s">
        <v>697</v>
      </c>
      <c r="D111" s="7"/>
      <c r="E111">
        <v>2012</v>
      </c>
      <c r="F111" s="1" t="s">
        <v>121</v>
      </c>
      <c r="H111">
        <v>1</v>
      </c>
      <c r="P111" s="5">
        <v>40664</v>
      </c>
      <c r="Q111" s="5">
        <v>41091</v>
      </c>
      <c r="R111" s="4">
        <f t="shared" si="7"/>
        <v>5</v>
      </c>
      <c r="S111" t="str">
        <f t="shared" si="5"/>
        <v>Q2-2011</v>
      </c>
      <c r="T111" t="str">
        <f t="shared" si="6"/>
        <v>Q3-2012</v>
      </c>
      <c r="U111" t="s">
        <v>840</v>
      </c>
    </row>
    <row r="112" spans="1:23">
      <c r="A112" t="s">
        <v>139</v>
      </c>
      <c r="B112" t="s">
        <v>926</v>
      </c>
      <c r="C112" t="s">
        <v>698</v>
      </c>
      <c r="D112">
        <v>1</v>
      </c>
      <c r="E112">
        <v>2008</v>
      </c>
      <c r="F112" s="1" t="s">
        <v>145</v>
      </c>
      <c r="J112">
        <v>1</v>
      </c>
      <c r="P112" s="5">
        <v>39753</v>
      </c>
      <c r="Q112" s="5">
        <v>39934</v>
      </c>
      <c r="R112" s="4">
        <f t="shared" si="7"/>
        <v>3</v>
      </c>
      <c r="S112" t="str">
        <f t="shared" si="5"/>
        <v>Q4-2008</v>
      </c>
      <c r="T112" t="str">
        <f t="shared" si="6"/>
        <v>Q2-2009</v>
      </c>
      <c r="U112" t="s">
        <v>841</v>
      </c>
    </row>
    <row r="113" spans="1:22">
      <c r="A113" t="s">
        <v>139</v>
      </c>
      <c r="B113" t="s">
        <v>926</v>
      </c>
      <c r="C113" t="s">
        <v>698</v>
      </c>
      <c r="D113">
        <v>1</v>
      </c>
      <c r="E113">
        <v>2010</v>
      </c>
      <c r="F113" s="1" t="s">
        <v>145</v>
      </c>
      <c r="J113">
        <v>1</v>
      </c>
      <c r="L113">
        <v>1</v>
      </c>
      <c r="P113" s="5">
        <v>40330</v>
      </c>
      <c r="Q113" s="5">
        <v>40634</v>
      </c>
      <c r="R113" s="4">
        <v>5</v>
      </c>
      <c r="S113" t="str">
        <f t="shared" si="5"/>
        <v>Q2-2010</v>
      </c>
      <c r="T113" t="str">
        <f t="shared" si="6"/>
        <v>Q2-2011</v>
      </c>
      <c r="U113" t="s">
        <v>842</v>
      </c>
    </row>
    <row r="114" spans="1:22">
      <c r="A114" t="s">
        <v>139</v>
      </c>
      <c r="B114" t="s">
        <v>926</v>
      </c>
      <c r="C114" t="s">
        <v>698</v>
      </c>
      <c r="D114">
        <v>1</v>
      </c>
      <c r="E114">
        <v>2012</v>
      </c>
      <c r="F114" s="1" t="s">
        <v>145</v>
      </c>
      <c r="H114">
        <v>1</v>
      </c>
      <c r="I114">
        <v>1</v>
      </c>
      <c r="N114">
        <v>1</v>
      </c>
      <c r="P114" s="5">
        <v>41091</v>
      </c>
      <c r="Q114" s="5">
        <v>41091</v>
      </c>
      <c r="R114" s="4">
        <f t="shared" ref="R114:R148" si="8">FLOOR(((YEAR(Q114)*12+MONTH(Q114))-(YEAR(P114)*12+MONTH(P114)))/3,1)+1</f>
        <v>1</v>
      </c>
      <c r="S114" t="str">
        <f t="shared" si="5"/>
        <v>Q3-2012</v>
      </c>
      <c r="T114" t="str">
        <f t="shared" si="6"/>
        <v>Q3-2012</v>
      </c>
      <c r="U114" t="s">
        <v>843</v>
      </c>
    </row>
    <row r="115" spans="1:22">
      <c r="A115" t="s">
        <v>156</v>
      </c>
      <c r="B115" t="s">
        <v>770</v>
      </c>
      <c r="C115" t="s">
        <v>771</v>
      </c>
      <c r="D115">
        <v>1</v>
      </c>
      <c r="E115">
        <v>2008</v>
      </c>
      <c r="F115" s="1" t="s">
        <v>145</v>
      </c>
      <c r="J115">
        <v>1</v>
      </c>
      <c r="P115" s="5">
        <v>39753</v>
      </c>
      <c r="Q115" s="5">
        <v>39934</v>
      </c>
      <c r="R115" s="4">
        <f t="shared" si="8"/>
        <v>3</v>
      </c>
      <c r="S115" t="str">
        <f t="shared" si="5"/>
        <v>Q4-2008</v>
      </c>
      <c r="T115" t="str">
        <f t="shared" si="6"/>
        <v>Q2-2009</v>
      </c>
      <c r="U115" t="s">
        <v>841</v>
      </c>
    </row>
    <row r="116" spans="1:22">
      <c r="A116" t="s">
        <v>156</v>
      </c>
      <c r="B116" t="s">
        <v>770</v>
      </c>
      <c r="C116" t="s">
        <v>771</v>
      </c>
      <c r="D116">
        <v>1</v>
      </c>
      <c r="E116">
        <v>2012</v>
      </c>
      <c r="F116" s="1" t="s">
        <v>145</v>
      </c>
      <c r="J116">
        <v>1</v>
      </c>
      <c r="P116" s="5">
        <v>41030</v>
      </c>
      <c r="Q116" s="5">
        <v>41244</v>
      </c>
      <c r="R116" s="4">
        <f t="shared" si="8"/>
        <v>3</v>
      </c>
      <c r="S116" t="str">
        <f t="shared" si="5"/>
        <v>Q2-2012</v>
      </c>
      <c r="T116" t="str">
        <f t="shared" si="6"/>
        <v>Q4-2012</v>
      </c>
      <c r="U116" t="s">
        <v>844</v>
      </c>
    </row>
    <row r="117" spans="1:22">
      <c r="A117" t="s">
        <v>156</v>
      </c>
      <c r="B117" t="s">
        <v>770</v>
      </c>
      <c r="C117" t="s">
        <v>771</v>
      </c>
      <c r="D117">
        <v>1</v>
      </c>
      <c r="E117">
        <v>2013</v>
      </c>
      <c r="F117" s="1" t="s">
        <v>145</v>
      </c>
      <c r="J117">
        <v>1</v>
      </c>
      <c r="P117" s="5">
        <v>41395</v>
      </c>
      <c r="Q117" s="5">
        <v>41609</v>
      </c>
      <c r="R117" s="4">
        <f t="shared" si="8"/>
        <v>3</v>
      </c>
      <c r="S117" t="str">
        <f t="shared" si="5"/>
        <v>Q2-2013</v>
      </c>
      <c r="T117" t="str">
        <f t="shared" si="6"/>
        <v>Q4-2013</v>
      </c>
      <c r="U117" t="s">
        <v>845</v>
      </c>
    </row>
    <row r="118" spans="1:22">
      <c r="A118" t="s">
        <v>156</v>
      </c>
      <c r="B118" t="s">
        <v>770</v>
      </c>
      <c r="C118" t="s">
        <v>771</v>
      </c>
      <c r="E118">
        <v>2015</v>
      </c>
      <c r="F118" s="1" t="s">
        <v>145</v>
      </c>
      <c r="I118">
        <v>0</v>
      </c>
      <c r="P118" s="5">
        <v>42156</v>
      </c>
      <c r="Q118" s="5">
        <v>42156</v>
      </c>
      <c r="R118" s="4">
        <f t="shared" si="8"/>
        <v>1</v>
      </c>
      <c r="S118" t="str">
        <f t="shared" si="5"/>
        <v>Q2-2015</v>
      </c>
      <c r="T118" t="str">
        <f t="shared" si="6"/>
        <v>Q2-2015</v>
      </c>
      <c r="U118" t="s">
        <v>978</v>
      </c>
    </row>
    <row r="119" spans="1:22">
      <c r="A119" t="s">
        <v>140</v>
      </c>
      <c r="B119" t="s">
        <v>772</v>
      </c>
      <c r="C119" t="s">
        <v>773</v>
      </c>
      <c r="D119">
        <v>1</v>
      </c>
      <c r="E119">
        <v>2008</v>
      </c>
      <c r="F119" s="1" t="s">
        <v>145</v>
      </c>
      <c r="J119">
        <v>1</v>
      </c>
      <c r="P119" s="5">
        <v>39722</v>
      </c>
      <c r="Q119" s="5">
        <v>39934</v>
      </c>
      <c r="R119" s="4">
        <f t="shared" si="8"/>
        <v>3</v>
      </c>
      <c r="S119" t="str">
        <f t="shared" si="5"/>
        <v>Q4-2008</v>
      </c>
      <c r="T119" t="str">
        <f t="shared" si="6"/>
        <v>Q2-2009</v>
      </c>
      <c r="U119" t="s">
        <v>146</v>
      </c>
    </row>
    <row r="120" spans="1:22">
      <c r="A120" t="s">
        <v>141</v>
      </c>
      <c r="B120" t="s">
        <v>614</v>
      </c>
      <c r="C120" t="s">
        <v>774</v>
      </c>
      <c r="D120">
        <v>1</v>
      </c>
      <c r="E120">
        <v>2008</v>
      </c>
      <c r="F120" s="1" t="s">
        <v>145</v>
      </c>
      <c r="J120">
        <v>1</v>
      </c>
      <c r="P120" s="5">
        <v>39722</v>
      </c>
      <c r="Q120" s="5">
        <v>39934</v>
      </c>
      <c r="R120" s="4">
        <f t="shared" si="8"/>
        <v>3</v>
      </c>
      <c r="S120" t="str">
        <f t="shared" si="5"/>
        <v>Q4-2008</v>
      </c>
      <c r="T120" t="str">
        <f t="shared" si="6"/>
        <v>Q2-2009</v>
      </c>
      <c r="U120" t="s">
        <v>846</v>
      </c>
    </row>
    <row r="121" spans="1:22">
      <c r="A121" t="s">
        <v>141</v>
      </c>
      <c r="B121" t="s">
        <v>614</v>
      </c>
      <c r="C121" t="s">
        <v>774</v>
      </c>
      <c r="D121">
        <v>1</v>
      </c>
      <c r="E121">
        <v>2012</v>
      </c>
      <c r="F121" s="1" t="s">
        <v>145</v>
      </c>
      <c r="J121">
        <v>1</v>
      </c>
      <c r="P121" s="5">
        <v>41030</v>
      </c>
      <c r="Q121" s="5">
        <v>41244</v>
      </c>
      <c r="R121" s="4">
        <f t="shared" si="8"/>
        <v>3</v>
      </c>
      <c r="S121" t="str">
        <f t="shared" si="5"/>
        <v>Q2-2012</v>
      </c>
      <c r="T121" t="str">
        <f t="shared" si="6"/>
        <v>Q4-2012</v>
      </c>
      <c r="U121" t="s">
        <v>1107</v>
      </c>
    </row>
    <row r="122" spans="1:22">
      <c r="A122" t="s">
        <v>141</v>
      </c>
      <c r="B122" t="s">
        <v>614</v>
      </c>
      <c r="C122" t="s">
        <v>774</v>
      </c>
      <c r="D122">
        <v>1</v>
      </c>
      <c r="E122">
        <v>2013</v>
      </c>
      <c r="F122" s="1" t="s">
        <v>145</v>
      </c>
      <c r="J122">
        <v>1</v>
      </c>
      <c r="N122">
        <v>1</v>
      </c>
      <c r="P122" s="5">
        <v>41365</v>
      </c>
      <c r="Q122" s="5">
        <v>41365</v>
      </c>
      <c r="R122" s="4">
        <f t="shared" si="8"/>
        <v>1</v>
      </c>
      <c r="S122" t="str">
        <f t="shared" si="5"/>
        <v>Q2-2013</v>
      </c>
      <c r="T122" t="str">
        <f t="shared" si="6"/>
        <v>Q2-2013</v>
      </c>
      <c r="U122" t="s">
        <v>847</v>
      </c>
    </row>
    <row r="123" spans="1:22">
      <c r="A123" t="s">
        <v>141</v>
      </c>
      <c r="B123" t="s">
        <v>614</v>
      </c>
      <c r="C123" t="s">
        <v>774</v>
      </c>
      <c r="E123">
        <v>2015</v>
      </c>
      <c r="F123" s="1" t="s">
        <v>145</v>
      </c>
      <c r="I123">
        <v>0</v>
      </c>
      <c r="P123" s="5">
        <v>42156</v>
      </c>
      <c r="Q123" s="5">
        <v>42156</v>
      </c>
      <c r="R123" s="4">
        <f t="shared" si="8"/>
        <v>1</v>
      </c>
      <c r="S123" t="str">
        <f t="shared" si="5"/>
        <v>Q2-2015</v>
      </c>
      <c r="T123" t="str">
        <f t="shared" si="6"/>
        <v>Q2-2015</v>
      </c>
      <c r="U123" t="s">
        <v>978</v>
      </c>
    </row>
    <row r="124" spans="1:22">
      <c r="A124" t="s">
        <v>1084</v>
      </c>
      <c r="B124" t="s">
        <v>1085</v>
      </c>
      <c r="C124" t="s">
        <v>1091</v>
      </c>
      <c r="D124">
        <v>1</v>
      </c>
      <c r="E124">
        <v>2011</v>
      </c>
      <c r="F124" s="1" t="s">
        <v>145</v>
      </c>
      <c r="M124">
        <v>1</v>
      </c>
      <c r="N124">
        <v>1</v>
      </c>
      <c r="P124" s="5">
        <v>40756</v>
      </c>
      <c r="Q124" s="5">
        <v>41306</v>
      </c>
      <c r="R124" s="4">
        <f t="shared" si="8"/>
        <v>7</v>
      </c>
      <c r="S124" t="str">
        <f t="shared" si="5"/>
        <v>Q3-2011</v>
      </c>
      <c r="T124" t="str">
        <f t="shared" si="6"/>
        <v>Q1-2013</v>
      </c>
      <c r="U124" t="s">
        <v>1094</v>
      </c>
      <c r="V124" s="55" t="s">
        <v>1098</v>
      </c>
    </row>
    <row r="125" spans="1:22">
      <c r="A125" t="s">
        <v>151</v>
      </c>
      <c r="B125" t="s">
        <v>927</v>
      </c>
      <c r="C125" t="s">
        <v>700</v>
      </c>
      <c r="D125">
        <v>1</v>
      </c>
      <c r="E125">
        <v>2008</v>
      </c>
      <c r="F125" s="1" t="s">
        <v>145</v>
      </c>
      <c r="J125">
        <v>1</v>
      </c>
      <c r="P125" s="5">
        <v>39722</v>
      </c>
      <c r="Q125" s="5">
        <v>39934</v>
      </c>
      <c r="R125" s="4">
        <f t="shared" si="8"/>
        <v>3</v>
      </c>
      <c r="S125" t="str">
        <f t="shared" si="5"/>
        <v>Q4-2008</v>
      </c>
      <c r="T125" t="str">
        <f t="shared" si="6"/>
        <v>Q2-2009</v>
      </c>
      <c r="U125" t="s">
        <v>848</v>
      </c>
    </row>
    <row r="126" spans="1:22">
      <c r="A126" t="s">
        <v>151</v>
      </c>
      <c r="B126" t="s">
        <v>927</v>
      </c>
      <c r="C126" t="s">
        <v>700</v>
      </c>
      <c r="D126">
        <v>1</v>
      </c>
      <c r="E126">
        <v>2012</v>
      </c>
      <c r="F126" s="1" t="s">
        <v>145</v>
      </c>
      <c r="N126">
        <v>1</v>
      </c>
      <c r="P126" s="5">
        <v>40909</v>
      </c>
      <c r="Q126" s="5">
        <v>41244</v>
      </c>
      <c r="R126" s="4">
        <f t="shared" si="8"/>
        <v>4</v>
      </c>
      <c r="S126" t="str">
        <f t="shared" si="5"/>
        <v>Q1-2012</v>
      </c>
      <c r="T126" t="str">
        <f t="shared" si="6"/>
        <v>Q4-2012</v>
      </c>
      <c r="U126" t="s">
        <v>885</v>
      </c>
    </row>
    <row r="127" spans="1:22">
      <c r="A127" t="s">
        <v>1082</v>
      </c>
      <c r="B127" t="s">
        <v>1083</v>
      </c>
      <c r="C127" t="s">
        <v>1090</v>
      </c>
      <c r="D127">
        <v>1</v>
      </c>
      <c r="E127">
        <v>2009</v>
      </c>
      <c r="F127" s="1" t="s">
        <v>145</v>
      </c>
      <c r="N127">
        <v>1</v>
      </c>
      <c r="P127" s="5">
        <v>39934</v>
      </c>
      <c r="Q127" s="5">
        <v>40513</v>
      </c>
      <c r="R127" s="4">
        <f t="shared" si="8"/>
        <v>7</v>
      </c>
      <c r="S127" t="str">
        <f t="shared" si="5"/>
        <v>Q2-2009</v>
      </c>
      <c r="T127" t="str">
        <f t="shared" si="6"/>
        <v>Q4-2010</v>
      </c>
      <c r="U127" t="s">
        <v>1093</v>
      </c>
    </row>
    <row r="128" spans="1:22">
      <c r="A128" t="s">
        <v>153</v>
      </c>
      <c r="E128">
        <v>2008</v>
      </c>
      <c r="F128" s="1" t="s">
        <v>145</v>
      </c>
      <c r="J128">
        <v>1</v>
      </c>
      <c r="N128">
        <v>1</v>
      </c>
      <c r="P128" s="5">
        <v>39722</v>
      </c>
      <c r="Q128" s="5">
        <v>41426</v>
      </c>
      <c r="R128" s="4">
        <f t="shared" si="8"/>
        <v>19</v>
      </c>
      <c r="S128" t="str">
        <f t="shared" si="5"/>
        <v>Q4-2008</v>
      </c>
      <c r="T128" t="str">
        <f t="shared" si="6"/>
        <v>Q2-2013</v>
      </c>
      <c r="U128" t="s">
        <v>154</v>
      </c>
    </row>
    <row r="129" spans="1:21">
      <c r="A129" t="s">
        <v>142</v>
      </c>
      <c r="B129" t="s">
        <v>615</v>
      </c>
      <c r="C129" t="s">
        <v>775</v>
      </c>
      <c r="D129">
        <v>1</v>
      </c>
      <c r="E129">
        <v>2008</v>
      </c>
      <c r="F129" s="1" t="s">
        <v>145</v>
      </c>
      <c r="J129">
        <v>1</v>
      </c>
      <c r="P129" s="5">
        <v>39722</v>
      </c>
      <c r="Q129" s="5">
        <v>39934</v>
      </c>
      <c r="R129" s="4">
        <f t="shared" si="8"/>
        <v>3</v>
      </c>
      <c r="S129" t="str">
        <f t="shared" si="5"/>
        <v>Q4-2008</v>
      </c>
      <c r="T129" t="str">
        <f t="shared" si="6"/>
        <v>Q2-2009</v>
      </c>
      <c r="U129" t="s">
        <v>848</v>
      </c>
    </row>
    <row r="130" spans="1:21">
      <c r="A130" t="s">
        <v>142</v>
      </c>
      <c r="B130" t="s">
        <v>615</v>
      </c>
      <c r="C130" t="s">
        <v>775</v>
      </c>
      <c r="D130">
        <v>1</v>
      </c>
      <c r="E130">
        <v>2012</v>
      </c>
      <c r="F130" s="1" t="s">
        <v>145</v>
      </c>
      <c r="J130">
        <v>1</v>
      </c>
      <c r="P130" s="5">
        <v>40878</v>
      </c>
      <c r="Q130" s="5">
        <v>41244</v>
      </c>
      <c r="R130" s="4">
        <f t="shared" si="8"/>
        <v>5</v>
      </c>
      <c r="S130" t="str">
        <f t="shared" si="5"/>
        <v>Q4-2011</v>
      </c>
      <c r="T130" t="str">
        <f t="shared" si="6"/>
        <v>Q4-2012</v>
      </c>
      <c r="U130" t="s">
        <v>849</v>
      </c>
    </row>
    <row r="131" spans="1:21">
      <c r="A131" t="s">
        <v>142</v>
      </c>
      <c r="B131" t="s">
        <v>615</v>
      </c>
      <c r="C131" t="s">
        <v>775</v>
      </c>
      <c r="D131">
        <v>1</v>
      </c>
      <c r="E131">
        <v>2013</v>
      </c>
      <c r="F131" s="1" t="s">
        <v>145</v>
      </c>
      <c r="J131">
        <v>1</v>
      </c>
      <c r="P131" s="5">
        <v>41426</v>
      </c>
      <c r="Q131" s="5">
        <v>41609</v>
      </c>
      <c r="R131" s="4">
        <f t="shared" si="8"/>
        <v>3</v>
      </c>
      <c r="S131" t="str">
        <f t="shared" si="5"/>
        <v>Q2-2013</v>
      </c>
      <c r="T131" t="str">
        <f t="shared" si="6"/>
        <v>Q4-2013</v>
      </c>
      <c r="U131" t="s">
        <v>850</v>
      </c>
    </row>
    <row r="132" spans="1:21">
      <c r="A132" t="s">
        <v>142</v>
      </c>
      <c r="B132" t="s">
        <v>615</v>
      </c>
      <c r="C132" t="s">
        <v>775</v>
      </c>
      <c r="D132">
        <v>1</v>
      </c>
      <c r="E132">
        <v>2015</v>
      </c>
      <c r="F132" s="1" t="s">
        <v>145</v>
      </c>
      <c r="I132">
        <v>0</v>
      </c>
      <c r="P132" s="5">
        <v>42156</v>
      </c>
      <c r="Q132" s="5">
        <v>42156</v>
      </c>
      <c r="R132" s="4">
        <f t="shared" si="8"/>
        <v>1</v>
      </c>
      <c r="S132" t="str">
        <f t="shared" si="5"/>
        <v>Q2-2015</v>
      </c>
      <c r="T132" t="str">
        <f t="shared" si="6"/>
        <v>Q2-2015</v>
      </c>
      <c r="U132" t="s">
        <v>978</v>
      </c>
    </row>
    <row r="133" spans="1:21">
      <c r="A133" t="s">
        <v>349</v>
      </c>
      <c r="E133">
        <v>2011</v>
      </c>
      <c r="F133" s="1" t="s">
        <v>145</v>
      </c>
      <c r="H133">
        <v>1</v>
      </c>
      <c r="J133">
        <v>1</v>
      </c>
      <c r="P133" s="5">
        <v>40817</v>
      </c>
      <c r="Q133" s="5">
        <v>41579</v>
      </c>
      <c r="R133" s="4">
        <f t="shared" si="8"/>
        <v>9</v>
      </c>
      <c r="S133" t="str">
        <f t="shared" ref="S133:S196" si="9">"Q" &amp;INT((MONTH(P133)+2)/3) &amp; "-" &amp; YEAR(P133)</f>
        <v>Q4-2011</v>
      </c>
      <c r="T133" t="str">
        <f t="shared" ref="T133:T196" si="10">"Q" &amp;INT((MONTH(Q133)+2)/3) &amp; "-" &amp; YEAR(Q133)</f>
        <v>Q4-2013</v>
      </c>
      <c r="U133" t="s">
        <v>350</v>
      </c>
    </row>
    <row r="134" spans="1:21">
      <c r="A134" t="s">
        <v>352</v>
      </c>
      <c r="E134">
        <v>2013</v>
      </c>
      <c r="F134" s="1" t="s">
        <v>145</v>
      </c>
      <c r="J134">
        <v>1</v>
      </c>
      <c r="N134">
        <v>1</v>
      </c>
      <c r="P134" s="5">
        <v>41275</v>
      </c>
      <c r="Q134" s="5">
        <v>41487</v>
      </c>
      <c r="R134" s="4">
        <f t="shared" si="8"/>
        <v>3</v>
      </c>
      <c r="S134" t="str">
        <f t="shared" si="9"/>
        <v>Q1-2013</v>
      </c>
      <c r="T134" t="str">
        <f t="shared" si="10"/>
        <v>Q3-2013</v>
      </c>
      <c r="U134" t="s">
        <v>353</v>
      </c>
    </row>
    <row r="135" spans="1:21">
      <c r="A135" t="s">
        <v>143</v>
      </c>
      <c r="B135" t="s">
        <v>616</v>
      </c>
      <c r="C135" t="s">
        <v>776</v>
      </c>
      <c r="D135">
        <v>1</v>
      </c>
      <c r="E135">
        <v>2008</v>
      </c>
      <c r="F135" s="1" t="s">
        <v>145</v>
      </c>
      <c r="J135">
        <v>1</v>
      </c>
      <c r="P135" s="5">
        <v>39722</v>
      </c>
      <c r="Q135" s="5">
        <v>39934</v>
      </c>
      <c r="R135" s="4">
        <f t="shared" si="8"/>
        <v>3</v>
      </c>
      <c r="S135" t="str">
        <f t="shared" si="9"/>
        <v>Q4-2008</v>
      </c>
      <c r="T135" t="str">
        <f t="shared" si="10"/>
        <v>Q2-2009</v>
      </c>
      <c r="U135" t="s">
        <v>848</v>
      </c>
    </row>
    <row r="136" spans="1:21">
      <c r="A136" t="s">
        <v>143</v>
      </c>
      <c r="B136" t="s">
        <v>616</v>
      </c>
      <c r="C136" t="s">
        <v>776</v>
      </c>
      <c r="D136">
        <v>1</v>
      </c>
      <c r="E136">
        <v>2012</v>
      </c>
      <c r="F136" s="1" t="s">
        <v>145</v>
      </c>
      <c r="I136">
        <v>0</v>
      </c>
      <c r="J136">
        <v>1</v>
      </c>
      <c r="P136" s="5">
        <v>40878</v>
      </c>
      <c r="Q136" s="5">
        <v>41244</v>
      </c>
      <c r="R136" s="4">
        <f t="shared" si="8"/>
        <v>5</v>
      </c>
      <c r="S136" t="str">
        <f t="shared" si="9"/>
        <v>Q4-2011</v>
      </c>
      <c r="T136" t="str">
        <f t="shared" si="10"/>
        <v>Q4-2012</v>
      </c>
      <c r="U136" t="s">
        <v>1000</v>
      </c>
    </row>
    <row r="137" spans="1:21">
      <c r="A137" t="s">
        <v>143</v>
      </c>
      <c r="B137" t="s">
        <v>616</v>
      </c>
      <c r="C137" t="s">
        <v>776</v>
      </c>
      <c r="D137">
        <v>1</v>
      </c>
      <c r="E137">
        <v>2013</v>
      </c>
      <c r="F137" s="1" t="s">
        <v>145</v>
      </c>
      <c r="J137">
        <v>1</v>
      </c>
      <c r="N137">
        <v>1</v>
      </c>
      <c r="P137" s="5">
        <v>41334</v>
      </c>
      <c r="Q137" s="5">
        <v>41426</v>
      </c>
      <c r="R137" s="4">
        <f t="shared" si="8"/>
        <v>2</v>
      </c>
      <c r="S137" t="str">
        <f t="shared" si="9"/>
        <v>Q1-2013</v>
      </c>
      <c r="T137" t="str">
        <f t="shared" si="10"/>
        <v>Q2-2013</v>
      </c>
      <c r="U137" t="s">
        <v>1105</v>
      </c>
    </row>
    <row r="138" spans="1:21">
      <c r="A138" t="s">
        <v>143</v>
      </c>
      <c r="B138" t="s">
        <v>616</v>
      </c>
      <c r="C138" t="s">
        <v>776</v>
      </c>
      <c r="E138">
        <v>2015</v>
      </c>
      <c r="F138" s="1" t="s">
        <v>145</v>
      </c>
      <c r="I138">
        <v>0</v>
      </c>
      <c r="P138" s="5">
        <v>42156</v>
      </c>
      <c r="Q138" s="5">
        <v>42156</v>
      </c>
      <c r="R138" s="4">
        <f t="shared" si="8"/>
        <v>1</v>
      </c>
      <c r="S138" t="str">
        <f t="shared" si="9"/>
        <v>Q2-2015</v>
      </c>
      <c r="T138" t="str">
        <f t="shared" si="10"/>
        <v>Q2-2015</v>
      </c>
      <c r="U138" t="s">
        <v>981</v>
      </c>
    </row>
    <row r="139" spans="1:21">
      <c r="A139" t="s">
        <v>144</v>
      </c>
      <c r="B139" t="s">
        <v>928</v>
      </c>
      <c r="C139" t="s">
        <v>701</v>
      </c>
      <c r="D139" s="8"/>
      <c r="E139">
        <v>2008</v>
      </c>
      <c r="F139" s="1" t="s">
        <v>145</v>
      </c>
      <c r="J139">
        <v>1</v>
      </c>
      <c r="P139" s="5">
        <v>39722</v>
      </c>
      <c r="Q139" s="5">
        <v>39934</v>
      </c>
      <c r="R139" s="4">
        <f t="shared" si="8"/>
        <v>3</v>
      </c>
      <c r="S139" t="str">
        <f t="shared" si="9"/>
        <v>Q4-2008</v>
      </c>
      <c r="T139" t="str">
        <f t="shared" si="10"/>
        <v>Q2-2009</v>
      </c>
      <c r="U139" t="s">
        <v>848</v>
      </c>
    </row>
    <row r="140" spans="1:21">
      <c r="A140" t="s">
        <v>144</v>
      </c>
      <c r="B140" t="s">
        <v>928</v>
      </c>
      <c r="C140" t="s">
        <v>701</v>
      </c>
      <c r="D140" s="8"/>
      <c r="E140">
        <v>2011</v>
      </c>
      <c r="F140" s="1" t="s">
        <v>145</v>
      </c>
      <c r="H140">
        <v>1</v>
      </c>
      <c r="M140">
        <v>1</v>
      </c>
      <c r="P140" s="5">
        <v>40695</v>
      </c>
      <c r="Q140" s="5">
        <v>40817</v>
      </c>
      <c r="R140" s="4">
        <f t="shared" si="8"/>
        <v>2</v>
      </c>
      <c r="S140" t="str">
        <f t="shared" si="9"/>
        <v>Q2-2011</v>
      </c>
      <c r="T140" t="str">
        <f t="shared" si="10"/>
        <v>Q4-2011</v>
      </c>
      <c r="U140" t="s">
        <v>851</v>
      </c>
    </row>
    <row r="141" spans="1:21">
      <c r="A141" t="s">
        <v>148</v>
      </c>
      <c r="B141" t="s">
        <v>929</v>
      </c>
      <c r="C141" t="s">
        <v>699</v>
      </c>
      <c r="D141">
        <v>1</v>
      </c>
      <c r="E141">
        <v>2008</v>
      </c>
      <c r="F141" s="1" t="s">
        <v>145</v>
      </c>
      <c r="J141">
        <v>1</v>
      </c>
      <c r="N141">
        <v>1</v>
      </c>
      <c r="P141" s="5">
        <v>39722</v>
      </c>
      <c r="Q141" s="5">
        <v>40238</v>
      </c>
      <c r="R141" s="4">
        <f t="shared" si="8"/>
        <v>6</v>
      </c>
      <c r="S141" t="str">
        <f t="shared" si="9"/>
        <v>Q4-2008</v>
      </c>
      <c r="T141" t="str">
        <f t="shared" si="10"/>
        <v>Q1-2010</v>
      </c>
      <c r="U141" t="s">
        <v>1054</v>
      </c>
    </row>
    <row r="142" spans="1:21">
      <c r="A142" t="s">
        <v>148</v>
      </c>
      <c r="B142" t="s">
        <v>929</v>
      </c>
      <c r="C142" t="s">
        <v>699</v>
      </c>
      <c r="D142">
        <v>1</v>
      </c>
      <c r="E142">
        <v>2011</v>
      </c>
      <c r="F142" s="1" t="s">
        <v>145</v>
      </c>
      <c r="H142">
        <v>1</v>
      </c>
      <c r="I142">
        <v>0</v>
      </c>
      <c r="N142">
        <v>1</v>
      </c>
      <c r="P142" s="5">
        <v>40878</v>
      </c>
      <c r="Q142" s="5">
        <v>40878</v>
      </c>
      <c r="R142" s="4">
        <f t="shared" si="8"/>
        <v>1</v>
      </c>
      <c r="S142" t="str">
        <f t="shared" si="9"/>
        <v>Q4-2011</v>
      </c>
      <c r="T142" t="str">
        <f t="shared" si="10"/>
        <v>Q4-2011</v>
      </c>
      <c r="U142" t="s">
        <v>1053</v>
      </c>
    </row>
    <row r="143" spans="1:21">
      <c r="A143" t="s">
        <v>351</v>
      </c>
      <c r="B143" t="s">
        <v>930</v>
      </c>
      <c r="C143" t="s">
        <v>702</v>
      </c>
      <c r="E143">
        <v>2008</v>
      </c>
      <c r="F143" s="1" t="s">
        <v>145</v>
      </c>
      <c r="J143">
        <v>1</v>
      </c>
      <c r="P143" s="5">
        <v>39722</v>
      </c>
      <c r="Q143" s="5">
        <v>39934</v>
      </c>
      <c r="R143" s="4">
        <f t="shared" si="8"/>
        <v>3</v>
      </c>
      <c r="S143" t="str">
        <f t="shared" si="9"/>
        <v>Q4-2008</v>
      </c>
      <c r="T143" t="str">
        <f t="shared" si="10"/>
        <v>Q2-2009</v>
      </c>
      <c r="U143" t="s">
        <v>852</v>
      </c>
    </row>
    <row r="144" spans="1:21">
      <c r="A144" t="s">
        <v>351</v>
      </c>
      <c r="B144" t="s">
        <v>930</v>
      </c>
      <c r="C144" t="s">
        <v>702</v>
      </c>
      <c r="E144">
        <v>2011</v>
      </c>
      <c r="F144" s="1" t="s">
        <v>145</v>
      </c>
      <c r="J144">
        <v>1</v>
      </c>
      <c r="P144" s="5">
        <v>40878</v>
      </c>
      <c r="Q144" s="5">
        <v>40878</v>
      </c>
      <c r="R144" s="4">
        <f t="shared" si="8"/>
        <v>1</v>
      </c>
      <c r="S144" t="str">
        <f t="shared" si="9"/>
        <v>Q4-2011</v>
      </c>
      <c r="T144" t="str">
        <f t="shared" si="10"/>
        <v>Q4-2011</v>
      </c>
      <c r="U144" t="s">
        <v>853</v>
      </c>
    </row>
    <row r="145" spans="1:23">
      <c r="A145" t="s">
        <v>351</v>
      </c>
      <c r="B145" t="s">
        <v>930</v>
      </c>
      <c r="C145" t="s">
        <v>702</v>
      </c>
      <c r="E145">
        <v>2013</v>
      </c>
      <c r="F145" s="1" t="s">
        <v>145</v>
      </c>
      <c r="H145">
        <v>1</v>
      </c>
      <c r="J145">
        <v>1</v>
      </c>
      <c r="P145" s="5">
        <v>41275</v>
      </c>
      <c r="Q145" s="5">
        <v>41426</v>
      </c>
      <c r="R145" s="4">
        <f t="shared" si="8"/>
        <v>2</v>
      </c>
      <c r="S145" t="str">
        <f t="shared" si="9"/>
        <v>Q1-2013</v>
      </c>
      <c r="T145" t="str">
        <f t="shared" si="10"/>
        <v>Q2-2013</v>
      </c>
      <c r="U145" t="s">
        <v>854</v>
      </c>
    </row>
    <row r="146" spans="1:23">
      <c r="A146" t="s">
        <v>748</v>
      </c>
      <c r="B146" t="s">
        <v>900</v>
      </c>
      <c r="C146" t="s">
        <v>747</v>
      </c>
      <c r="E146">
        <v>2007</v>
      </c>
      <c r="F146" s="1" t="s">
        <v>167</v>
      </c>
      <c r="G146">
        <v>1</v>
      </c>
      <c r="P146" s="5">
        <v>39083</v>
      </c>
      <c r="Q146" s="5">
        <v>39203</v>
      </c>
      <c r="R146" s="4">
        <f t="shared" si="8"/>
        <v>2</v>
      </c>
      <c r="S146" t="str">
        <f t="shared" si="9"/>
        <v>Q1-2007</v>
      </c>
      <c r="T146" t="str">
        <f t="shared" si="10"/>
        <v>Q2-2007</v>
      </c>
      <c r="U146" t="s">
        <v>827</v>
      </c>
    </row>
    <row r="147" spans="1:23">
      <c r="A147" t="s">
        <v>703</v>
      </c>
      <c r="E147">
        <v>2009</v>
      </c>
      <c r="F147" s="1" t="s">
        <v>167</v>
      </c>
      <c r="L147">
        <v>1</v>
      </c>
      <c r="P147" s="5">
        <v>39783</v>
      </c>
      <c r="Q147" s="5">
        <v>39904</v>
      </c>
      <c r="R147" s="4">
        <f t="shared" si="8"/>
        <v>2</v>
      </c>
      <c r="S147" t="str">
        <f t="shared" si="9"/>
        <v>Q4-2008</v>
      </c>
      <c r="T147" t="str">
        <f t="shared" si="10"/>
        <v>Q2-2009</v>
      </c>
      <c r="U147" t="s">
        <v>170</v>
      </c>
      <c r="W147" t="s">
        <v>168</v>
      </c>
    </row>
    <row r="148" spans="1:23">
      <c r="A148" t="s">
        <v>506</v>
      </c>
      <c r="B148" t="s">
        <v>808</v>
      </c>
      <c r="E148">
        <v>2014</v>
      </c>
      <c r="F148" s="1" t="s">
        <v>167</v>
      </c>
      <c r="H148">
        <v>1</v>
      </c>
      <c r="K148">
        <v>1</v>
      </c>
      <c r="P148" s="5">
        <v>41883</v>
      </c>
      <c r="Q148" s="5">
        <v>41974</v>
      </c>
      <c r="R148" s="4">
        <f t="shared" si="8"/>
        <v>2</v>
      </c>
      <c r="S148" t="str">
        <f t="shared" si="9"/>
        <v>Q3-2014</v>
      </c>
      <c r="T148" t="str">
        <f t="shared" si="10"/>
        <v>Q4-2014</v>
      </c>
      <c r="U148" t="s">
        <v>964</v>
      </c>
    </row>
    <row r="149" spans="1:23">
      <c r="A149" t="s">
        <v>169</v>
      </c>
      <c r="B149" t="s">
        <v>618</v>
      </c>
      <c r="C149" t="s">
        <v>778</v>
      </c>
      <c r="D149">
        <v>1</v>
      </c>
      <c r="E149">
        <v>2009</v>
      </c>
      <c r="F149" s="1" t="s">
        <v>167</v>
      </c>
      <c r="L149">
        <v>1</v>
      </c>
      <c r="P149" s="5">
        <v>39783</v>
      </c>
      <c r="Q149" s="5">
        <v>39904</v>
      </c>
      <c r="R149" s="4">
        <v>3</v>
      </c>
      <c r="S149" t="str">
        <f t="shared" si="9"/>
        <v>Q4-2008</v>
      </c>
      <c r="T149" t="str">
        <f t="shared" si="10"/>
        <v>Q2-2009</v>
      </c>
      <c r="U149" t="s">
        <v>170</v>
      </c>
    </row>
    <row r="150" spans="1:23">
      <c r="A150" t="s">
        <v>655</v>
      </c>
      <c r="B150" t="s">
        <v>617</v>
      </c>
      <c r="C150" t="s">
        <v>777</v>
      </c>
      <c r="D150">
        <v>1</v>
      </c>
      <c r="E150">
        <v>2009</v>
      </c>
      <c r="F150" s="1" t="s">
        <v>167</v>
      </c>
      <c r="L150">
        <v>1</v>
      </c>
      <c r="P150" s="5">
        <v>39783</v>
      </c>
      <c r="Q150" s="5">
        <v>39904</v>
      </c>
      <c r="R150" s="4">
        <v>3</v>
      </c>
      <c r="S150" t="str">
        <f t="shared" si="9"/>
        <v>Q4-2008</v>
      </c>
      <c r="T150" t="str">
        <f t="shared" si="10"/>
        <v>Q2-2009</v>
      </c>
      <c r="U150" t="s">
        <v>170</v>
      </c>
    </row>
    <row r="151" spans="1:23">
      <c r="A151" t="s">
        <v>704</v>
      </c>
      <c r="E151">
        <v>2009</v>
      </c>
      <c r="F151" s="1" t="s">
        <v>159</v>
      </c>
      <c r="M151">
        <v>1</v>
      </c>
      <c r="P151" s="5">
        <v>39965</v>
      </c>
      <c r="Q151" s="5">
        <v>40269</v>
      </c>
      <c r="R151" s="4">
        <f>FLOOR(((YEAR(Q151)*12+MONTH(Q151))-(YEAR(P151)*12+MONTH(P151)))/3,1)+1</f>
        <v>4</v>
      </c>
      <c r="S151" t="str">
        <f t="shared" si="9"/>
        <v>Q2-2009</v>
      </c>
      <c r="T151" t="str">
        <f t="shared" si="10"/>
        <v>Q2-2010</v>
      </c>
      <c r="U151" t="s">
        <v>526</v>
      </c>
      <c r="W151" t="s">
        <v>524</v>
      </c>
    </row>
    <row r="152" spans="1:23">
      <c r="A152" t="s">
        <v>158</v>
      </c>
      <c r="B152" t="s">
        <v>931</v>
      </c>
      <c r="C152" t="s">
        <v>705</v>
      </c>
      <c r="D152">
        <v>1</v>
      </c>
      <c r="E152">
        <v>2008</v>
      </c>
      <c r="F152" s="1" t="s">
        <v>159</v>
      </c>
      <c r="I152">
        <v>1</v>
      </c>
      <c r="P152" s="5">
        <v>39692</v>
      </c>
      <c r="Q152" s="5">
        <v>39722</v>
      </c>
      <c r="R152" s="4">
        <v>2</v>
      </c>
      <c r="S152" t="str">
        <f t="shared" si="9"/>
        <v>Q3-2008</v>
      </c>
      <c r="T152" t="str">
        <f t="shared" si="10"/>
        <v>Q4-2008</v>
      </c>
      <c r="U152" t="s">
        <v>975</v>
      </c>
    </row>
    <row r="153" spans="1:23">
      <c r="A153" t="s">
        <v>104</v>
      </c>
      <c r="B153" t="s">
        <v>932</v>
      </c>
      <c r="C153" t="s">
        <v>706</v>
      </c>
      <c r="D153">
        <v>1</v>
      </c>
      <c r="E153">
        <v>2008</v>
      </c>
      <c r="F153" s="1" t="s">
        <v>159</v>
      </c>
      <c r="I153">
        <v>1</v>
      </c>
      <c r="P153" s="5">
        <v>39722</v>
      </c>
      <c r="Q153" s="5">
        <v>39722</v>
      </c>
      <c r="R153" s="4">
        <f t="shared" ref="R153:R158" si="11">FLOOR(((YEAR(Q153)*12+MONTH(Q153))-(YEAR(P153)*12+MONTH(P153)))/3,1)+1</f>
        <v>1</v>
      </c>
      <c r="S153" t="str">
        <f t="shared" si="9"/>
        <v>Q4-2008</v>
      </c>
      <c r="T153" t="str">
        <f t="shared" si="10"/>
        <v>Q4-2008</v>
      </c>
      <c r="U153" t="s">
        <v>974</v>
      </c>
      <c r="V153" t="s">
        <v>881</v>
      </c>
    </row>
    <row r="154" spans="1:23">
      <c r="A154" t="s">
        <v>165</v>
      </c>
      <c r="B154" t="s">
        <v>933</v>
      </c>
      <c r="C154" t="s">
        <v>707</v>
      </c>
      <c r="D154">
        <v>1</v>
      </c>
      <c r="E154">
        <v>2008</v>
      </c>
      <c r="F154" s="1" t="s">
        <v>159</v>
      </c>
      <c r="I154">
        <v>1</v>
      </c>
      <c r="P154" s="5">
        <v>39722</v>
      </c>
      <c r="Q154" s="5">
        <v>39722</v>
      </c>
      <c r="R154" s="4">
        <f t="shared" si="11"/>
        <v>1</v>
      </c>
      <c r="S154" t="str">
        <f t="shared" si="9"/>
        <v>Q4-2008</v>
      </c>
      <c r="T154" t="str">
        <f t="shared" si="10"/>
        <v>Q4-2008</v>
      </c>
      <c r="U154" t="s">
        <v>973</v>
      </c>
      <c r="V154" t="s">
        <v>539</v>
      </c>
    </row>
    <row r="155" spans="1:23">
      <c r="A155" t="s">
        <v>708</v>
      </c>
      <c r="B155" s="50"/>
      <c r="E155">
        <v>2009</v>
      </c>
      <c r="F155" s="1" t="s">
        <v>159</v>
      </c>
      <c r="H155">
        <v>1</v>
      </c>
      <c r="K155">
        <v>1</v>
      </c>
      <c r="P155" s="5">
        <v>39873</v>
      </c>
      <c r="Q155" s="5">
        <v>39934</v>
      </c>
      <c r="R155" s="4">
        <f t="shared" si="11"/>
        <v>1</v>
      </c>
      <c r="S155" t="str">
        <f t="shared" si="9"/>
        <v>Q1-2009</v>
      </c>
      <c r="T155" t="str">
        <f t="shared" si="10"/>
        <v>Q2-2009</v>
      </c>
      <c r="U155" t="s">
        <v>203</v>
      </c>
      <c r="W155" t="s">
        <v>512</v>
      </c>
    </row>
    <row r="156" spans="1:23">
      <c r="A156" t="s">
        <v>709</v>
      </c>
      <c r="E156">
        <v>2009</v>
      </c>
      <c r="F156" s="1" t="s">
        <v>159</v>
      </c>
      <c r="M156">
        <v>1</v>
      </c>
      <c r="P156" s="5">
        <v>39873</v>
      </c>
      <c r="Q156" s="5">
        <v>40269</v>
      </c>
      <c r="R156" s="4">
        <f t="shared" si="11"/>
        <v>5</v>
      </c>
      <c r="S156" t="str">
        <f t="shared" si="9"/>
        <v>Q1-2009</v>
      </c>
      <c r="T156" t="str">
        <f t="shared" si="10"/>
        <v>Q2-2010</v>
      </c>
      <c r="U156" t="s">
        <v>529</v>
      </c>
      <c r="V156" t="s">
        <v>527</v>
      </c>
      <c r="W156" t="s">
        <v>525</v>
      </c>
    </row>
    <row r="157" spans="1:23">
      <c r="A157" t="s">
        <v>710</v>
      </c>
      <c r="E157">
        <v>2011</v>
      </c>
      <c r="F157" s="1" t="s">
        <v>159</v>
      </c>
      <c r="N157">
        <v>1</v>
      </c>
      <c r="P157" s="5">
        <v>40603</v>
      </c>
      <c r="Q157" s="5">
        <v>41061</v>
      </c>
      <c r="R157" s="4">
        <f t="shared" si="11"/>
        <v>6</v>
      </c>
      <c r="S157" t="str">
        <f t="shared" si="9"/>
        <v>Q1-2011</v>
      </c>
      <c r="T157" t="str">
        <f t="shared" si="10"/>
        <v>Q2-2012</v>
      </c>
      <c r="U157" t="s">
        <v>531</v>
      </c>
      <c r="W157" t="s">
        <v>530</v>
      </c>
    </row>
    <row r="158" spans="1:23">
      <c r="A158" t="s">
        <v>202</v>
      </c>
      <c r="B158" t="s">
        <v>934</v>
      </c>
      <c r="C158" t="s">
        <v>711</v>
      </c>
      <c r="D158" s="8"/>
      <c r="E158">
        <v>2009</v>
      </c>
      <c r="F158" s="1" t="s">
        <v>159</v>
      </c>
      <c r="H158">
        <v>1</v>
      </c>
      <c r="K158">
        <v>1</v>
      </c>
      <c r="P158" s="5">
        <v>39873</v>
      </c>
      <c r="Q158" s="5">
        <v>39873</v>
      </c>
      <c r="R158" s="4">
        <f t="shared" si="11"/>
        <v>1</v>
      </c>
      <c r="S158" t="str">
        <f t="shared" si="9"/>
        <v>Q1-2009</v>
      </c>
      <c r="T158" t="str">
        <f t="shared" si="10"/>
        <v>Q1-2009</v>
      </c>
      <c r="U158" t="s">
        <v>203</v>
      </c>
    </row>
    <row r="159" spans="1:23">
      <c r="A159" t="s">
        <v>972</v>
      </c>
      <c r="B159" t="s">
        <v>935</v>
      </c>
      <c r="C159" t="s">
        <v>712</v>
      </c>
      <c r="D159">
        <v>1</v>
      </c>
      <c r="E159">
        <v>2009</v>
      </c>
      <c r="F159" s="1" t="s">
        <v>159</v>
      </c>
      <c r="I159">
        <v>0</v>
      </c>
      <c r="K159">
        <v>1</v>
      </c>
      <c r="P159" s="5">
        <v>39873</v>
      </c>
      <c r="Q159" s="5">
        <v>39934</v>
      </c>
      <c r="R159" s="4">
        <v>2</v>
      </c>
      <c r="S159" t="str">
        <f t="shared" si="9"/>
        <v>Q1-2009</v>
      </c>
      <c r="T159" t="str">
        <f t="shared" si="10"/>
        <v>Q2-2009</v>
      </c>
      <c r="U159" t="s">
        <v>971</v>
      </c>
    </row>
    <row r="160" spans="1:23">
      <c r="A160" t="s">
        <v>172</v>
      </c>
      <c r="E160">
        <v>2008</v>
      </c>
      <c r="F160" s="1" t="s">
        <v>157</v>
      </c>
      <c r="J160">
        <v>1</v>
      </c>
      <c r="K160">
        <v>1</v>
      </c>
      <c r="P160" s="5">
        <v>39692</v>
      </c>
      <c r="Q160" s="5">
        <v>40513</v>
      </c>
      <c r="R160" s="4">
        <f>FLOOR(((YEAR(Q160)*12+MONTH(Q160))-(YEAR(P160)*12+MONTH(P160)))/3,1)+1</f>
        <v>10</v>
      </c>
      <c r="S160" t="str">
        <f t="shared" si="9"/>
        <v>Q3-2008</v>
      </c>
      <c r="T160" t="str">
        <f t="shared" si="10"/>
        <v>Q4-2010</v>
      </c>
      <c r="U160" t="s">
        <v>183</v>
      </c>
    </row>
    <row r="161" spans="1:21">
      <c r="A161" t="s">
        <v>619</v>
      </c>
      <c r="B161" t="s">
        <v>620</v>
      </c>
      <c r="C161" t="s">
        <v>779</v>
      </c>
      <c r="E161">
        <v>2008</v>
      </c>
      <c r="F161" s="1" t="s">
        <v>157</v>
      </c>
      <c r="J161">
        <v>1</v>
      </c>
      <c r="K161">
        <v>1</v>
      </c>
      <c r="P161" s="5">
        <v>39692</v>
      </c>
      <c r="Q161" s="5">
        <v>39934</v>
      </c>
      <c r="R161" s="4">
        <v>4</v>
      </c>
      <c r="S161" t="str">
        <f t="shared" si="9"/>
        <v>Q3-2008</v>
      </c>
      <c r="T161" t="str">
        <f t="shared" si="10"/>
        <v>Q2-2009</v>
      </c>
      <c r="U161" t="s">
        <v>183</v>
      </c>
    </row>
    <row r="162" spans="1:21">
      <c r="A162" t="s">
        <v>171</v>
      </c>
      <c r="E162">
        <v>2008</v>
      </c>
      <c r="F162" s="1" t="s">
        <v>157</v>
      </c>
      <c r="J162">
        <v>1</v>
      </c>
      <c r="K162">
        <v>1</v>
      </c>
      <c r="P162" s="5">
        <v>39692</v>
      </c>
      <c r="Q162" s="5">
        <v>40513</v>
      </c>
      <c r="R162" s="4">
        <f>FLOOR(((YEAR(Q162)*12+MONTH(Q162))-(YEAR(P162)*12+MONTH(P162)))/3,1)+1</f>
        <v>10</v>
      </c>
      <c r="S162" t="str">
        <f t="shared" si="9"/>
        <v>Q3-2008</v>
      </c>
      <c r="T162" t="str">
        <f t="shared" si="10"/>
        <v>Q4-2010</v>
      </c>
      <c r="U162" t="s">
        <v>183</v>
      </c>
    </row>
    <row r="163" spans="1:21">
      <c r="A163" t="s">
        <v>173</v>
      </c>
      <c r="E163">
        <v>2008</v>
      </c>
      <c r="F163" s="1" t="s">
        <v>157</v>
      </c>
      <c r="J163">
        <v>1</v>
      </c>
      <c r="K163">
        <v>1</v>
      </c>
      <c r="P163" s="5">
        <v>39692</v>
      </c>
      <c r="Q163" s="5">
        <v>40513</v>
      </c>
      <c r="R163" s="4">
        <f>FLOOR(((YEAR(Q163)*12+MONTH(Q163))-(YEAR(P163)*12+MONTH(P163)))/3,1)+1</f>
        <v>10</v>
      </c>
      <c r="S163" t="str">
        <f t="shared" si="9"/>
        <v>Q3-2008</v>
      </c>
      <c r="T163" t="str">
        <f t="shared" si="10"/>
        <v>Q4-2010</v>
      </c>
      <c r="U163" t="s">
        <v>183</v>
      </c>
    </row>
    <row r="164" spans="1:21">
      <c r="A164" t="s">
        <v>1056</v>
      </c>
      <c r="B164" t="s">
        <v>620</v>
      </c>
      <c r="C164" t="s">
        <v>779</v>
      </c>
      <c r="D164">
        <v>1</v>
      </c>
      <c r="E164">
        <v>2008</v>
      </c>
      <c r="F164" s="1" t="s">
        <v>157</v>
      </c>
      <c r="J164">
        <v>1</v>
      </c>
      <c r="K164">
        <v>1</v>
      </c>
      <c r="P164" s="5">
        <v>39692</v>
      </c>
      <c r="Q164" s="5">
        <v>39934</v>
      </c>
      <c r="R164" s="4">
        <v>4</v>
      </c>
      <c r="S164" t="str">
        <f t="shared" si="9"/>
        <v>Q3-2008</v>
      </c>
      <c r="T164" t="str">
        <f t="shared" si="10"/>
        <v>Q2-2009</v>
      </c>
      <c r="U164" t="s">
        <v>1057</v>
      </c>
    </row>
    <row r="165" spans="1:21">
      <c r="A165" t="s">
        <v>1056</v>
      </c>
      <c r="B165" t="s">
        <v>620</v>
      </c>
      <c r="C165" t="s">
        <v>779</v>
      </c>
      <c r="D165">
        <v>1</v>
      </c>
      <c r="E165">
        <v>2011</v>
      </c>
      <c r="F165" s="1" t="s">
        <v>157</v>
      </c>
      <c r="I165">
        <v>0</v>
      </c>
      <c r="J165">
        <v>1</v>
      </c>
      <c r="N165">
        <v>1</v>
      </c>
      <c r="P165" s="5">
        <v>40513</v>
      </c>
      <c r="Q165" s="5">
        <v>40725</v>
      </c>
      <c r="R165" s="4">
        <v>4</v>
      </c>
      <c r="S165" t="str">
        <f t="shared" si="9"/>
        <v>Q4-2010</v>
      </c>
      <c r="T165" t="str">
        <f t="shared" si="10"/>
        <v>Q3-2011</v>
      </c>
      <c r="U165" t="s">
        <v>1039</v>
      </c>
    </row>
    <row r="166" spans="1:21">
      <c r="A166" t="s">
        <v>175</v>
      </c>
      <c r="E166">
        <v>2008</v>
      </c>
      <c r="F166" s="1" t="s">
        <v>157</v>
      </c>
      <c r="J166">
        <v>1</v>
      </c>
      <c r="K166">
        <v>1</v>
      </c>
      <c r="P166" s="5">
        <v>39692</v>
      </c>
      <c r="Q166" s="5">
        <v>40513</v>
      </c>
      <c r="R166" s="4">
        <f t="shared" ref="R166:R178" si="12">FLOOR(((YEAR(Q166)*12+MONTH(Q166))-(YEAR(P166)*12+MONTH(P166)))/3,1)+1</f>
        <v>10</v>
      </c>
      <c r="S166" t="str">
        <f t="shared" si="9"/>
        <v>Q3-2008</v>
      </c>
      <c r="T166" t="str">
        <f t="shared" si="10"/>
        <v>Q4-2010</v>
      </c>
      <c r="U166" t="s">
        <v>354</v>
      </c>
    </row>
    <row r="167" spans="1:21">
      <c r="A167" t="s">
        <v>174</v>
      </c>
      <c r="B167" t="s">
        <v>936</v>
      </c>
      <c r="C167" t="s">
        <v>713</v>
      </c>
      <c r="D167">
        <v>1</v>
      </c>
      <c r="E167">
        <v>2008</v>
      </c>
      <c r="F167" s="1" t="s">
        <v>157</v>
      </c>
      <c r="J167">
        <v>1</v>
      </c>
      <c r="K167">
        <v>1</v>
      </c>
      <c r="P167" s="5">
        <v>39692</v>
      </c>
      <c r="Q167" s="5">
        <v>40057</v>
      </c>
      <c r="R167" s="4">
        <f t="shared" si="12"/>
        <v>5</v>
      </c>
      <c r="S167" t="str">
        <f t="shared" si="9"/>
        <v>Q3-2008</v>
      </c>
      <c r="T167" t="str">
        <f t="shared" si="10"/>
        <v>Q3-2009</v>
      </c>
      <c r="U167" t="s">
        <v>855</v>
      </c>
    </row>
    <row r="168" spans="1:21">
      <c r="A168" t="s">
        <v>174</v>
      </c>
      <c r="B168" t="s">
        <v>936</v>
      </c>
      <c r="C168" t="s">
        <v>713</v>
      </c>
      <c r="D168">
        <v>1</v>
      </c>
      <c r="E168">
        <v>2010</v>
      </c>
      <c r="F168" s="1" t="s">
        <v>157</v>
      </c>
      <c r="H168">
        <v>1</v>
      </c>
      <c r="I168">
        <v>0</v>
      </c>
      <c r="P168" s="5">
        <v>40238</v>
      </c>
      <c r="Q168" s="5">
        <v>40513</v>
      </c>
      <c r="R168" s="4">
        <f t="shared" si="12"/>
        <v>4</v>
      </c>
      <c r="S168" t="str">
        <f t="shared" si="9"/>
        <v>Q1-2010</v>
      </c>
      <c r="T168" t="str">
        <f t="shared" si="10"/>
        <v>Q4-2010</v>
      </c>
      <c r="U168" t="s">
        <v>1005</v>
      </c>
    </row>
    <row r="169" spans="1:21">
      <c r="A169" t="s">
        <v>174</v>
      </c>
      <c r="B169" t="s">
        <v>936</v>
      </c>
      <c r="C169" t="s">
        <v>713</v>
      </c>
      <c r="D169">
        <v>1</v>
      </c>
      <c r="E169">
        <v>2011</v>
      </c>
      <c r="F169" s="1" t="s">
        <v>157</v>
      </c>
      <c r="N169">
        <v>1</v>
      </c>
      <c r="P169" s="5">
        <v>40360</v>
      </c>
      <c r="Q169" s="5">
        <v>40725</v>
      </c>
      <c r="R169" s="4">
        <f t="shared" si="12"/>
        <v>5</v>
      </c>
      <c r="S169" t="str">
        <f t="shared" si="9"/>
        <v>Q3-2010</v>
      </c>
      <c r="T169" t="str">
        <f t="shared" si="10"/>
        <v>Q3-2011</v>
      </c>
      <c r="U169" t="s">
        <v>886</v>
      </c>
    </row>
    <row r="170" spans="1:21">
      <c r="A170" t="s">
        <v>176</v>
      </c>
      <c r="B170" t="s">
        <v>621</v>
      </c>
      <c r="C170" t="s">
        <v>781</v>
      </c>
      <c r="D170">
        <v>1</v>
      </c>
      <c r="E170">
        <v>2008</v>
      </c>
      <c r="F170" s="1" t="s">
        <v>157</v>
      </c>
      <c r="J170">
        <v>1</v>
      </c>
      <c r="P170" s="5">
        <v>39692</v>
      </c>
      <c r="Q170" s="5">
        <v>39873</v>
      </c>
      <c r="R170" s="4">
        <f t="shared" si="12"/>
        <v>3</v>
      </c>
      <c r="S170" t="str">
        <f t="shared" si="9"/>
        <v>Q3-2008</v>
      </c>
      <c r="T170" t="str">
        <f t="shared" si="10"/>
        <v>Q1-2009</v>
      </c>
      <c r="U170" t="s">
        <v>856</v>
      </c>
    </row>
    <row r="171" spans="1:21">
      <c r="A171" t="s">
        <v>176</v>
      </c>
      <c r="B171" t="s">
        <v>621</v>
      </c>
      <c r="C171" t="s">
        <v>781</v>
      </c>
      <c r="D171">
        <v>1</v>
      </c>
      <c r="E171">
        <v>2010</v>
      </c>
      <c r="F171" s="1" t="s">
        <v>157</v>
      </c>
      <c r="I171">
        <v>0</v>
      </c>
      <c r="J171">
        <v>1</v>
      </c>
      <c r="P171" s="5">
        <v>40269</v>
      </c>
      <c r="Q171" s="5">
        <v>40695</v>
      </c>
      <c r="R171" s="4">
        <f t="shared" si="12"/>
        <v>5</v>
      </c>
      <c r="S171" t="str">
        <f t="shared" si="9"/>
        <v>Q2-2010</v>
      </c>
      <c r="T171" t="str">
        <f t="shared" si="10"/>
        <v>Q2-2011</v>
      </c>
      <c r="U171" t="s">
        <v>1006</v>
      </c>
    </row>
    <row r="172" spans="1:21">
      <c r="A172" t="s">
        <v>179</v>
      </c>
      <c r="E172">
        <v>2008</v>
      </c>
      <c r="F172" s="1" t="s">
        <v>157</v>
      </c>
      <c r="J172">
        <v>1</v>
      </c>
      <c r="P172" s="5">
        <v>39692</v>
      </c>
      <c r="Q172" s="5">
        <v>40725</v>
      </c>
      <c r="R172" s="4">
        <f t="shared" si="12"/>
        <v>12</v>
      </c>
      <c r="S172" t="str">
        <f t="shared" si="9"/>
        <v>Q3-2008</v>
      </c>
      <c r="T172" t="str">
        <f t="shared" si="10"/>
        <v>Q3-2011</v>
      </c>
      <c r="U172" t="s">
        <v>187</v>
      </c>
    </row>
    <row r="173" spans="1:21">
      <c r="A173" t="s">
        <v>177</v>
      </c>
      <c r="E173">
        <v>2008</v>
      </c>
      <c r="F173" s="1" t="s">
        <v>157</v>
      </c>
      <c r="J173">
        <v>1</v>
      </c>
      <c r="P173" s="5">
        <v>39692</v>
      </c>
      <c r="Q173" s="5">
        <v>40725</v>
      </c>
      <c r="R173" s="4">
        <f t="shared" si="12"/>
        <v>12</v>
      </c>
      <c r="S173" t="str">
        <f t="shared" si="9"/>
        <v>Q3-2008</v>
      </c>
      <c r="T173" t="str">
        <f t="shared" si="10"/>
        <v>Q3-2011</v>
      </c>
      <c r="U173" t="s">
        <v>187</v>
      </c>
    </row>
    <row r="174" spans="1:21">
      <c r="A174" t="s">
        <v>180</v>
      </c>
      <c r="E174">
        <v>2008</v>
      </c>
      <c r="F174" s="1" t="s">
        <v>157</v>
      </c>
      <c r="K174">
        <v>1</v>
      </c>
      <c r="P174" s="5">
        <v>39692</v>
      </c>
      <c r="Q174" s="5">
        <v>40513</v>
      </c>
      <c r="R174" s="4">
        <f t="shared" si="12"/>
        <v>10</v>
      </c>
      <c r="S174" t="str">
        <f t="shared" si="9"/>
        <v>Q3-2008</v>
      </c>
      <c r="T174" t="str">
        <f t="shared" si="10"/>
        <v>Q4-2010</v>
      </c>
      <c r="U174" t="s">
        <v>185</v>
      </c>
    </row>
    <row r="175" spans="1:21">
      <c r="A175" t="s">
        <v>358</v>
      </c>
      <c r="B175" t="s">
        <v>809</v>
      </c>
      <c r="E175">
        <v>2011</v>
      </c>
      <c r="F175" s="1" t="s">
        <v>157</v>
      </c>
      <c r="I175">
        <v>1</v>
      </c>
      <c r="N175">
        <v>1</v>
      </c>
      <c r="P175" s="5">
        <v>40664</v>
      </c>
      <c r="Q175" s="5">
        <v>40725</v>
      </c>
      <c r="R175" s="4">
        <f t="shared" si="12"/>
        <v>1</v>
      </c>
      <c r="S175" t="str">
        <f t="shared" si="9"/>
        <v>Q2-2011</v>
      </c>
      <c r="T175" t="str">
        <f t="shared" si="10"/>
        <v>Q3-2011</v>
      </c>
      <c r="U175" t="s">
        <v>1001</v>
      </c>
    </row>
    <row r="176" spans="1:21">
      <c r="A176" t="s">
        <v>358</v>
      </c>
      <c r="B176" t="s">
        <v>809</v>
      </c>
      <c r="E176">
        <v>2008</v>
      </c>
      <c r="F176" s="1" t="s">
        <v>157</v>
      </c>
      <c r="J176">
        <v>1</v>
      </c>
      <c r="K176">
        <v>1</v>
      </c>
      <c r="P176" s="5">
        <v>39692</v>
      </c>
      <c r="Q176" s="5">
        <v>40513</v>
      </c>
      <c r="R176" s="4">
        <f t="shared" si="12"/>
        <v>10</v>
      </c>
      <c r="S176" t="str">
        <f t="shared" si="9"/>
        <v>Q3-2008</v>
      </c>
      <c r="T176" t="str">
        <f t="shared" si="10"/>
        <v>Q4-2010</v>
      </c>
      <c r="U176" t="s">
        <v>359</v>
      </c>
    </row>
    <row r="177" spans="1:22">
      <c r="A177" t="s">
        <v>178</v>
      </c>
      <c r="E177">
        <v>2008</v>
      </c>
      <c r="F177" s="1" t="s">
        <v>157</v>
      </c>
      <c r="J177">
        <v>1</v>
      </c>
      <c r="P177" s="5">
        <v>39692</v>
      </c>
      <c r="Q177" s="5">
        <v>40725</v>
      </c>
      <c r="R177" s="4">
        <f t="shared" si="12"/>
        <v>12</v>
      </c>
      <c r="S177" t="str">
        <f t="shared" si="9"/>
        <v>Q3-2008</v>
      </c>
      <c r="T177" t="str">
        <f t="shared" si="10"/>
        <v>Q3-2011</v>
      </c>
      <c r="U177" t="s">
        <v>187</v>
      </c>
    </row>
    <row r="178" spans="1:22">
      <c r="A178" t="s">
        <v>355</v>
      </c>
      <c r="B178" t="s">
        <v>780</v>
      </c>
      <c r="E178">
        <v>2013</v>
      </c>
      <c r="F178" s="1" t="s">
        <v>157</v>
      </c>
      <c r="I178">
        <v>1</v>
      </c>
      <c r="P178" s="5">
        <v>41306</v>
      </c>
      <c r="Q178" s="5">
        <v>41306</v>
      </c>
      <c r="R178" s="4">
        <f t="shared" si="12"/>
        <v>1</v>
      </c>
      <c r="S178" t="str">
        <f t="shared" si="9"/>
        <v>Q1-2013</v>
      </c>
      <c r="T178" t="str">
        <f t="shared" si="10"/>
        <v>Q1-2013</v>
      </c>
      <c r="U178" t="s">
        <v>988</v>
      </c>
    </row>
    <row r="179" spans="1:22">
      <c r="A179" t="s">
        <v>360</v>
      </c>
      <c r="B179" t="s">
        <v>782</v>
      </c>
      <c r="C179" t="s">
        <v>783</v>
      </c>
      <c r="D179">
        <v>1</v>
      </c>
      <c r="E179">
        <v>2008</v>
      </c>
      <c r="F179" s="1" t="s">
        <v>157</v>
      </c>
      <c r="J179">
        <v>1</v>
      </c>
      <c r="P179" s="5">
        <v>39692</v>
      </c>
      <c r="Q179" s="5">
        <v>40725</v>
      </c>
      <c r="R179" s="4">
        <v>13</v>
      </c>
      <c r="S179" t="str">
        <f t="shared" si="9"/>
        <v>Q3-2008</v>
      </c>
      <c r="T179" t="str">
        <f t="shared" si="10"/>
        <v>Q3-2011</v>
      </c>
      <c r="U179" t="s">
        <v>1002</v>
      </c>
    </row>
    <row r="180" spans="1:22">
      <c r="A180" t="s">
        <v>360</v>
      </c>
      <c r="B180" t="s">
        <v>782</v>
      </c>
      <c r="C180" t="s">
        <v>783</v>
      </c>
      <c r="D180">
        <v>1</v>
      </c>
      <c r="E180">
        <v>2013</v>
      </c>
      <c r="F180" s="1" t="s">
        <v>157</v>
      </c>
      <c r="N180">
        <v>1</v>
      </c>
      <c r="P180" s="5">
        <v>41456</v>
      </c>
      <c r="Q180" s="5">
        <v>41456</v>
      </c>
      <c r="R180" s="4">
        <f t="shared" ref="R180:R197" si="13">FLOOR(((YEAR(Q180)*12+MONTH(Q180))-(YEAR(P180)*12+MONTH(P180)))/3,1)+1</f>
        <v>1</v>
      </c>
      <c r="S180" t="str">
        <f t="shared" si="9"/>
        <v>Q3-2013</v>
      </c>
      <c r="T180" t="str">
        <f t="shared" si="10"/>
        <v>Q3-2013</v>
      </c>
      <c r="U180" t="s">
        <v>857</v>
      </c>
    </row>
    <row r="181" spans="1:22">
      <c r="A181" t="s">
        <v>182</v>
      </c>
      <c r="E181">
        <v>2008</v>
      </c>
      <c r="F181" s="1" t="s">
        <v>157</v>
      </c>
      <c r="J181">
        <v>1</v>
      </c>
      <c r="N181">
        <v>1</v>
      </c>
      <c r="P181" s="5">
        <v>39692</v>
      </c>
      <c r="Q181" s="5">
        <v>40575</v>
      </c>
      <c r="R181" s="4">
        <f t="shared" si="13"/>
        <v>10</v>
      </c>
      <c r="S181" t="str">
        <f t="shared" si="9"/>
        <v>Q3-2008</v>
      </c>
      <c r="T181" t="str">
        <f t="shared" si="10"/>
        <v>Q1-2011</v>
      </c>
      <c r="U181" t="s">
        <v>361</v>
      </c>
    </row>
    <row r="182" spans="1:22">
      <c r="A182" t="s">
        <v>356</v>
      </c>
      <c r="E182">
        <v>2008</v>
      </c>
      <c r="F182" s="1" t="s">
        <v>157</v>
      </c>
      <c r="I182">
        <v>1</v>
      </c>
      <c r="J182">
        <v>1</v>
      </c>
      <c r="K182">
        <v>1</v>
      </c>
      <c r="N182">
        <v>1</v>
      </c>
      <c r="P182" s="5">
        <v>39692</v>
      </c>
      <c r="Q182" s="5">
        <v>40575</v>
      </c>
      <c r="R182" s="4">
        <f t="shared" si="13"/>
        <v>10</v>
      </c>
      <c r="S182" t="str">
        <f t="shared" si="9"/>
        <v>Q3-2008</v>
      </c>
      <c r="T182" t="str">
        <f t="shared" si="10"/>
        <v>Q1-2011</v>
      </c>
      <c r="U182" t="s">
        <v>1003</v>
      </c>
    </row>
    <row r="183" spans="1:22">
      <c r="A183" t="s">
        <v>356</v>
      </c>
      <c r="E183">
        <v>2011</v>
      </c>
      <c r="F183" s="1" t="s">
        <v>157</v>
      </c>
      <c r="N183">
        <v>1</v>
      </c>
      <c r="P183" s="5">
        <v>40725</v>
      </c>
      <c r="Q183" s="5">
        <v>40725</v>
      </c>
      <c r="R183" s="4">
        <f t="shared" si="13"/>
        <v>1</v>
      </c>
      <c r="S183" t="str">
        <f t="shared" si="9"/>
        <v>Q3-2011</v>
      </c>
      <c r="T183" t="str">
        <f t="shared" si="10"/>
        <v>Q3-2011</v>
      </c>
      <c r="U183" t="s">
        <v>357</v>
      </c>
    </row>
    <row r="184" spans="1:22">
      <c r="A184" t="s">
        <v>181</v>
      </c>
      <c r="E184">
        <v>2008</v>
      </c>
      <c r="F184" s="1" t="s">
        <v>157</v>
      </c>
      <c r="J184">
        <v>1</v>
      </c>
      <c r="P184" s="5">
        <v>39692</v>
      </c>
      <c r="Q184" s="5">
        <v>40725</v>
      </c>
      <c r="R184" s="4">
        <f t="shared" si="13"/>
        <v>12</v>
      </c>
      <c r="S184" t="str">
        <f t="shared" si="9"/>
        <v>Q3-2008</v>
      </c>
      <c r="T184" t="str">
        <f t="shared" si="10"/>
        <v>Q3-2011</v>
      </c>
      <c r="U184" t="s">
        <v>186</v>
      </c>
    </row>
    <row r="185" spans="1:22" ht="17">
      <c r="A185" s="42" t="s">
        <v>213</v>
      </c>
      <c r="B185" t="s">
        <v>622</v>
      </c>
      <c r="C185" t="s">
        <v>784</v>
      </c>
      <c r="D185">
        <v>1</v>
      </c>
      <c r="E185">
        <v>2019</v>
      </c>
      <c r="F185" s="1" t="s">
        <v>200</v>
      </c>
      <c r="I185">
        <v>0</v>
      </c>
      <c r="M185">
        <v>1</v>
      </c>
      <c r="P185" s="5">
        <v>43405</v>
      </c>
      <c r="Q185" s="5">
        <v>43466</v>
      </c>
      <c r="R185" s="4">
        <v>2</v>
      </c>
      <c r="S185" t="str">
        <f t="shared" si="9"/>
        <v>Q4-2018</v>
      </c>
      <c r="T185" t="str">
        <f t="shared" si="10"/>
        <v>Q1-2019</v>
      </c>
      <c r="U185" t="s">
        <v>977</v>
      </c>
      <c r="V185" t="s">
        <v>502</v>
      </c>
    </row>
    <row r="186" spans="1:22">
      <c r="A186" t="s">
        <v>510</v>
      </c>
      <c r="E186">
        <v>2010</v>
      </c>
      <c r="F186" s="1" t="s">
        <v>200</v>
      </c>
      <c r="H186">
        <v>1</v>
      </c>
      <c r="P186" s="5">
        <v>40422</v>
      </c>
      <c r="Q186" s="5">
        <v>41153</v>
      </c>
      <c r="R186" s="4">
        <f t="shared" si="13"/>
        <v>9</v>
      </c>
      <c r="S186" t="str">
        <f t="shared" si="9"/>
        <v>Q3-2010</v>
      </c>
      <c r="T186" t="str">
        <f t="shared" si="10"/>
        <v>Q3-2012</v>
      </c>
      <c r="U186" t="s">
        <v>511</v>
      </c>
    </row>
    <row r="187" spans="1:22">
      <c r="A187" t="s">
        <v>196</v>
      </c>
      <c r="E187">
        <v>2010</v>
      </c>
      <c r="F187" s="1" t="s">
        <v>200</v>
      </c>
      <c r="H187">
        <v>1</v>
      </c>
      <c r="P187" s="5">
        <v>40299</v>
      </c>
      <c r="Q187" s="5">
        <v>40969</v>
      </c>
      <c r="R187" s="4">
        <f t="shared" si="13"/>
        <v>8</v>
      </c>
      <c r="S187" t="str">
        <f t="shared" si="9"/>
        <v>Q2-2010</v>
      </c>
      <c r="T187" t="str">
        <f t="shared" si="10"/>
        <v>Q1-2012</v>
      </c>
      <c r="U187" t="s">
        <v>206</v>
      </c>
    </row>
    <row r="188" spans="1:22">
      <c r="A188" t="s">
        <v>194</v>
      </c>
      <c r="E188">
        <v>2009</v>
      </c>
      <c r="F188" s="1" t="s">
        <v>200</v>
      </c>
      <c r="H188">
        <v>1</v>
      </c>
      <c r="P188" s="5">
        <v>40118</v>
      </c>
      <c r="Q188" s="5">
        <v>41183</v>
      </c>
      <c r="R188" s="4">
        <f t="shared" si="13"/>
        <v>12</v>
      </c>
      <c r="S188" t="str">
        <f t="shared" si="9"/>
        <v>Q4-2009</v>
      </c>
      <c r="T188" t="str">
        <f t="shared" si="10"/>
        <v>Q4-2012</v>
      </c>
      <c r="U188" t="s">
        <v>206</v>
      </c>
    </row>
    <row r="189" spans="1:22">
      <c r="A189" t="s">
        <v>197</v>
      </c>
      <c r="E189">
        <v>2011</v>
      </c>
      <c r="F189" s="1" t="s">
        <v>200</v>
      </c>
      <c r="H189">
        <v>1</v>
      </c>
      <c r="P189" s="5">
        <v>40817</v>
      </c>
      <c r="Q189" s="5">
        <v>41334</v>
      </c>
      <c r="R189" s="4">
        <f t="shared" si="13"/>
        <v>6</v>
      </c>
      <c r="S189" t="str">
        <f t="shared" si="9"/>
        <v>Q4-2011</v>
      </c>
      <c r="T189" t="str">
        <f t="shared" si="10"/>
        <v>Q1-2013</v>
      </c>
      <c r="U189" t="s">
        <v>206</v>
      </c>
    </row>
    <row r="190" spans="1:22">
      <c r="A190" t="s">
        <v>520</v>
      </c>
      <c r="E190">
        <v>2011</v>
      </c>
      <c r="F190" s="1" t="s">
        <v>200</v>
      </c>
      <c r="H190">
        <v>1</v>
      </c>
      <c r="P190" s="5">
        <v>40787</v>
      </c>
      <c r="Q190" s="5">
        <v>41214</v>
      </c>
      <c r="R190" s="4">
        <f t="shared" si="13"/>
        <v>5</v>
      </c>
      <c r="S190" t="str">
        <f t="shared" si="9"/>
        <v>Q3-2011</v>
      </c>
      <c r="T190" t="str">
        <f t="shared" si="10"/>
        <v>Q4-2012</v>
      </c>
      <c r="U190" t="s">
        <v>521</v>
      </c>
    </row>
    <row r="191" spans="1:22">
      <c r="A191" t="s">
        <v>190</v>
      </c>
      <c r="E191">
        <v>2009</v>
      </c>
      <c r="F191" s="1" t="s">
        <v>200</v>
      </c>
      <c r="H191">
        <v>1</v>
      </c>
      <c r="P191" s="5">
        <v>40118</v>
      </c>
      <c r="Q191" s="5">
        <v>40664</v>
      </c>
      <c r="R191" s="4">
        <f t="shared" si="13"/>
        <v>7</v>
      </c>
      <c r="S191" t="str">
        <f t="shared" si="9"/>
        <v>Q4-2009</v>
      </c>
      <c r="T191" t="str">
        <f t="shared" si="10"/>
        <v>Q2-2011</v>
      </c>
      <c r="U191" t="s">
        <v>206</v>
      </c>
    </row>
    <row r="192" spans="1:22">
      <c r="A192" t="s">
        <v>199</v>
      </c>
      <c r="E192">
        <v>2010</v>
      </c>
      <c r="F192" s="1" t="s">
        <v>200</v>
      </c>
      <c r="H192">
        <v>1</v>
      </c>
      <c r="P192" s="5">
        <v>40483</v>
      </c>
      <c r="Q192" s="5">
        <v>41153</v>
      </c>
      <c r="R192" s="4">
        <f t="shared" si="13"/>
        <v>8</v>
      </c>
      <c r="S192" t="str">
        <f t="shared" si="9"/>
        <v>Q4-2010</v>
      </c>
      <c r="T192" t="str">
        <f t="shared" si="10"/>
        <v>Q3-2012</v>
      </c>
      <c r="U192" t="s">
        <v>206</v>
      </c>
    </row>
    <row r="193" spans="1:21">
      <c r="A193" t="s">
        <v>195</v>
      </c>
      <c r="E193">
        <v>2010</v>
      </c>
      <c r="F193" s="1" t="s">
        <v>200</v>
      </c>
      <c r="H193">
        <v>1</v>
      </c>
      <c r="P193" s="5">
        <v>40238</v>
      </c>
      <c r="Q193" s="5">
        <v>41183</v>
      </c>
      <c r="R193" s="4">
        <f t="shared" si="13"/>
        <v>11</v>
      </c>
      <c r="S193" t="str">
        <f t="shared" si="9"/>
        <v>Q1-2010</v>
      </c>
      <c r="T193" t="str">
        <f t="shared" si="10"/>
        <v>Q4-2012</v>
      </c>
      <c r="U193" t="s">
        <v>206</v>
      </c>
    </row>
    <row r="194" spans="1:21">
      <c r="A194" t="s">
        <v>522</v>
      </c>
      <c r="E194">
        <v>2011</v>
      </c>
      <c r="F194" s="1" t="s">
        <v>200</v>
      </c>
      <c r="H194">
        <v>1</v>
      </c>
      <c r="P194" s="5">
        <v>41030</v>
      </c>
      <c r="Q194" s="5">
        <v>41609</v>
      </c>
      <c r="R194" s="4">
        <f t="shared" si="13"/>
        <v>7</v>
      </c>
      <c r="S194" t="str">
        <f t="shared" si="9"/>
        <v>Q2-2012</v>
      </c>
      <c r="T194" t="str">
        <f t="shared" si="10"/>
        <v>Q4-2013</v>
      </c>
      <c r="U194" t="s">
        <v>523</v>
      </c>
    </row>
    <row r="195" spans="1:21">
      <c r="A195" t="s">
        <v>192</v>
      </c>
      <c r="E195">
        <v>2009</v>
      </c>
      <c r="F195" s="1" t="s">
        <v>200</v>
      </c>
      <c r="H195">
        <v>1</v>
      </c>
      <c r="P195" s="5">
        <v>39995</v>
      </c>
      <c r="Q195" s="5">
        <v>40664</v>
      </c>
      <c r="R195" s="4">
        <f t="shared" si="13"/>
        <v>8</v>
      </c>
      <c r="S195" t="str">
        <f t="shared" si="9"/>
        <v>Q3-2009</v>
      </c>
      <c r="T195" t="str">
        <f t="shared" si="10"/>
        <v>Q2-2011</v>
      </c>
      <c r="U195" t="s">
        <v>206</v>
      </c>
    </row>
    <row r="196" spans="1:21">
      <c r="A196" t="s">
        <v>1055</v>
      </c>
      <c r="B196" t="s">
        <v>625</v>
      </c>
      <c r="C196" t="s">
        <v>787</v>
      </c>
      <c r="D196">
        <v>1</v>
      </c>
      <c r="E196">
        <v>2009</v>
      </c>
      <c r="F196" s="1" t="s">
        <v>200</v>
      </c>
      <c r="J196">
        <v>1</v>
      </c>
      <c r="P196" s="5">
        <v>39722</v>
      </c>
      <c r="Q196" s="5">
        <v>40148</v>
      </c>
      <c r="R196" s="4">
        <f t="shared" si="13"/>
        <v>5</v>
      </c>
      <c r="S196" t="str">
        <f t="shared" si="9"/>
        <v>Q4-2008</v>
      </c>
      <c r="T196" t="str">
        <f t="shared" si="10"/>
        <v>Q4-2009</v>
      </c>
      <c r="U196" t="s">
        <v>862</v>
      </c>
    </row>
    <row r="197" spans="1:21">
      <c r="A197" t="s">
        <v>1055</v>
      </c>
      <c r="B197" t="s">
        <v>625</v>
      </c>
      <c r="C197" t="s">
        <v>787</v>
      </c>
      <c r="D197">
        <v>1</v>
      </c>
      <c r="E197">
        <v>2011</v>
      </c>
      <c r="F197" s="1" t="s">
        <v>200</v>
      </c>
      <c r="L197">
        <v>1</v>
      </c>
      <c r="P197" s="5">
        <v>40878</v>
      </c>
      <c r="Q197" s="5">
        <v>40969</v>
      </c>
      <c r="R197" s="4">
        <f t="shared" si="13"/>
        <v>2</v>
      </c>
      <c r="S197" t="str">
        <f t="shared" ref="S197:S260" si="14">"Q" &amp;INT((MONTH(P197)+2)/3) &amp; "-" &amp; YEAR(P197)</f>
        <v>Q4-2011</v>
      </c>
      <c r="T197" t="str">
        <f t="shared" ref="T197:T260" si="15">"Q" &amp;INT((MONTH(Q197)+2)/3) &amp; "-" &amp; YEAR(Q197)</f>
        <v>Q1-2012</v>
      </c>
      <c r="U197" t="s">
        <v>858</v>
      </c>
    </row>
    <row r="198" spans="1:21">
      <c r="A198" t="s">
        <v>1055</v>
      </c>
      <c r="B198" t="s">
        <v>625</v>
      </c>
      <c r="C198" t="s">
        <v>787</v>
      </c>
      <c r="D198">
        <v>1</v>
      </c>
      <c r="E198">
        <v>2012</v>
      </c>
      <c r="F198" s="1" t="s">
        <v>200</v>
      </c>
      <c r="J198">
        <v>1</v>
      </c>
      <c r="P198" s="5">
        <v>41244</v>
      </c>
      <c r="Q198" s="5">
        <v>41306</v>
      </c>
      <c r="R198" s="4">
        <v>2</v>
      </c>
      <c r="S198" t="str">
        <f t="shared" si="14"/>
        <v>Q4-2012</v>
      </c>
      <c r="T198" t="str">
        <f t="shared" si="15"/>
        <v>Q1-2013</v>
      </c>
      <c r="U198" t="s">
        <v>861</v>
      </c>
    </row>
    <row r="199" spans="1:21">
      <c r="A199" t="s">
        <v>1055</v>
      </c>
      <c r="B199" t="s">
        <v>625</v>
      </c>
      <c r="C199" t="s">
        <v>787</v>
      </c>
      <c r="D199">
        <v>1</v>
      </c>
      <c r="E199">
        <v>2016</v>
      </c>
      <c r="F199" s="1" t="s">
        <v>200</v>
      </c>
      <c r="J199">
        <v>1</v>
      </c>
      <c r="P199" s="5">
        <v>42705</v>
      </c>
      <c r="Q199" s="5">
        <v>42917</v>
      </c>
      <c r="R199" s="4">
        <v>4</v>
      </c>
      <c r="S199" t="str">
        <f t="shared" si="14"/>
        <v>Q4-2016</v>
      </c>
      <c r="T199" t="str">
        <f t="shared" si="15"/>
        <v>Q3-2017</v>
      </c>
      <c r="U199" t="s">
        <v>208</v>
      </c>
    </row>
    <row r="200" spans="1:21">
      <c r="A200" t="s">
        <v>198</v>
      </c>
      <c r="B200" t="s">
        <v>623</v>
      </c>
      <c r="D200" s="7"/>
      <c r="E200">
        <v>2011</v>
      </c>
      <c r="F200" s="1" t="s">
        <v>200</v>
      </c>
      <c r="H200">
        <v>1</v>
      </c>
      <c r="P200" s="5">
        <v>40848</v>
      </c>
      <c r="Q200" s="5">
        <v>41091</v>
      </c>
      <c r="R200" s="4">
        <f t="shared" ref="R200:R219" si="16">FLOOR(((YEAR(Q200)*12+MONTH(Q200))-(YEAR(P200)*12+MONTH(P200)))/3,1)+1</f>
        <v>3</v>
      </c>
      <c r="S200" t="str">
        <f t="shared" si="14"/>
        <v>Q4-2011</v>
      </c>
      <c r="T200" t="str">
        <f t="shared" si="15"/>
        <v>Q3-2012</v>
      </c>
      <c r="U200" t="s">
        <v>206</v>
      </c>
    </row>
    <row r="201" spans="1:21" ht="16" customHeight="1">
      <c r="A201" t="s">
        <v>1058</v>
      </c>
      <c r="B201" t="s">
        <v>624</v>
      </c>
      <c r="C201" t="s">
        <v>786</v>
      </c>
      <c r="D201">
        <v>1</v>
      </c>
      <c r="E201">
        <v>2009</v>
      </c>
      <c r="F201" s="1" t="s">
        <v>200</v>
      </c>
      <c r="J201">
        <v>1</v>
      </c>
      <c r="L201">
        <v>1</v>
      </c>
      <c r="P201" s="5">
        <v>39722</v>
      </c>
      <c r="Q201" s="5">
        <v>40148</v>
      </c>
      <c r="R201" s="4">
        <f t="shared" si="16"/>
        <v>5</v>
      </c>
      <c r="S201" t="str">
        <f t="shared" si="14"/>
        <v>Q4-2008</v>
      </c>
      <c r="T201" t="str">
        <f t="shared" si="15"/>
        <v>Q4-2009</v>
      </c>
      <c r="U201" t="s">
        <v>170</v>
      </c>
    </row>
    <row r="202" spans="1:21">
      <c r="A202" t="s">
        <v>1080</v>
      </c>
      <c r="B202" t="s">
        <v>1081</v>
      </c>
      <c r="D202">
        <v>1</v>
      </c>
      <c r="E202">
        <v>2006</v>
      </c>
      <c r="F202" s="1" t="s">
        <v>200</v>
      </c>
      <c r="N202">
        <v>1</v>
      </c>
      <c r="P202" s="5">
        <v>38718</v>
      </c>
      <c r="Q202" s="5">
        <v>39173</v>
      </c>
      <c r="R202" s="4">
        <f t="shared" si="16"/>
        <v>6</v>
      </c>
      <c r="S202" t="str">
        <f t="shared" si="14"/>
        <v>Q1-2006</v>
      </c>
      <c r="T202" t="str">
        <f t="shared" si="15"/>
        <v>Q2-2007</v>
      </c>
      <c r="U202" t="s">
        <v>1095</v>
      </c>
    </row>
    <row r="203" spans="1:21">
      <c r="A203" t="s">
        <v>211</v>
      </c>
      <c r="E203">
        <v>2017</v>
      </c>
      <c r="F203" s="1" t="s">
        <v>200</v>
      </c>
      <c r="H203">
        <v>1</v>
      </c>
      <c r="P203" s="5">
        <v>42795</v>
      </c>
      <c r="Q203" s="5">
        <v>42917</v>
      </c>
      <c r="R203" s="4">
        <f t="shared" si="16"/>
        <v>2</v>
      </c>
      <c r="S203" t="str">
        <f t="shared" si="14"/>
        <v>Q1-2017</v>
      </c>
      <c r="T203" t="str">
        <f t="shared" si="15"/>
        <v>Q3-2017</v>
      </c>
      <c r="U203" t="s">
        <v>212</v>
      </c>
    </row>
    <row r="204" spans="1:21">
      <c r="A204" t="s">
        <v>214</v>
      </c>
      <c r="E204">
        <v>2013</v>
      </c>
      <c r="F204" s="1" t="s">
        <v>200</v>
      </c>
      <c r="H204">
        <v>1</v>
      </c>
      <c r="P204" s="5">
        <v>41579</v>
      </c>
      <c r="Q204" s="5">
        <v>42186</v>
      </c>
      <c r="R204" s="4">
        <f t="shared" si="16"/>
        <v>7</v>
      </c>
      <c r="S204" t="str">
        <f t="shared" si="14"/>
        <v>Q4-2013</v>
      </c>
      <c r="T204" t="str">
        <f t="shared" si="15"/>
        <v>Q3-2015</v>
      </c>
      <c r="U204" t="s">
        <v>206</v>
      </c>
    </row>
    <row r="205" spans="1:21">
      <c r="A205" t="s">
        <v>193</v>
      </c>
      <c r="E205">
        <v>2011</v>
      </c>
      <c r="F205" s="1" t="s">
        <v>200</v>
      </c>
      <c r="K205">
        <v>1</v>
      </c>
      <c r="O205">
        <v>1</v>
      </c>
      <c r="P205" s="5">
        <v>40603</v>
      </c>
      <c r="Q205" s="5">
        <v>40969</v>
      </c>
      <c r="R205" s="4">
        <f t="shared" si="16"/>
        <v>5</v>
      </c>
      <c r="S205" t="str">
        <f t="shared" si="14"/>
        <v>Q1-2011</v>
      </c>
      <c r="T205" t="str">
        <f t="shared" si="15"/>
        <v>Q1-2012</v>
      </c>
      <c r="U205" t="s">
        <v>207</v>
      </c>
    </row>
    <row r="206" spans="1:21">
      <c r="A206" t="s">
        <v>1059</v>
      </c>
      <c r="B206" t="s">
        <v>720</v>
      </c>
      <c r="C206" t="s">
        <v>785</v>
      </c>
      <c r="D206">
        <v>1</v>
      </c>
      <c r="E206">
        <v>2009</v>
      </c>
      <c r="F206" s="1" t="s">
        <v>200</v>
      </c>
      <c r="J206">
        <v>1</v>
      </c>
      <c r="L206">
        <v>1</v>
      </c>
      <c r="P206" s="5">
        <v>39722</v>
      </c>
      <c r="Q206" s="5">
        <v>39995</v>
      </c>
      <c r="R206" s="4">
        <f t="shared" si="16"/>
        <v>4</v>
      </c>
      <c r="S206" t="str">
        <f t="shared" si="14"/>
        <v>Q4-2008</v>
      </c>
      <c r="T206" t="str">
        <f t="shared" si="15"/>
        <v>Q3-2009</v>
      </c>
      <c r="U206" t="s">
        <v>170</v>
      </c>
    </row>
    <row r="207" spans="1:21">
      <c r="A207" t="s">
        <v>533</v>
      </c>
      <c r="E207">
        <v>2010</v>
      </c>
      <c r="F207" s="1" t="s">
        <v>200</v>
      </c>
      <c r="H207">
        <v>1</v>
      </c>
      <c r="P207" s="5">
        <v>40513</v>
      </c>
      <c r="Q207" s="5">
        <v>41244</v>
      </c>
      <c r="R207" s="4">
        <f t="shared" si="16"/>
        <v>9</v>
      </c>
      <c r="S207" t="str">
        <f t="shared" si="14"/>
        <v>Q4-2010</v>
      </c>
      <c r="T207" t="str">
        <f t="shared" si="15"/>
        <v>Q4-2012</v>
      </c>
      <c r="U207" t="s">
        <v>534</v>
      </c>
    </row>
    <row r="208" spans="1:21">
      <c r="A208" t="s">
        <v>189</v>
      </c>
      <c r="B208" t="s">
        <v>937</v>
      </c>
      <c r="C208" t="s">
        <v>714</v>
      </c>
      <c r="D208">
        <v>1</v>
      </c>
      <c r="E208">
        <v>2009</v>
      </c>
      <c r="F208" s="1" t="s">
        <v>200</v>
      </c>
      <c r="J208">
        <v>1</v>
      </c>
      <c r="N208">
        <v>1</v>
      </c>
      <c r="P208" s="5">
        <v>39722</v>
      </c>
      <c r="Q208" s="5">
        <v>40057</v>
      </c>
      <c r="R208" s="4">
        <f t="shared" si="16"/>
        <v>4</v>
      </c>
      <c r="S208" t="str">
        <f t="shared" si="14"/>
        <v>Q4-2008</v>
      </c>
      <c r="T208" t="str">
        <f t="shared" si="15"/>
        <v>Q3-2009</v>
      </c>
      <c r="U208" t="s">
        <v>1065</v>
      </c>
    </row>
    <row r="209" spans="1:23">
      <c r="A209" t="s">
        <v>1064</v>
      </c>
      <c r="E209">
        <v>2011</v>
      </c>
      <c r="F209" s="1" t="s">
        <v>200</v>
      </c>
      <c r="O209">
        <v>1</v>
      </c>
      <c r="P209" s="5">
        <v>40817</v>
      </c>
      <c r="Q209" s="5">
        <v>43132</v>
      </c>
      <c r="R209" s="4">
        <f t="shared" si="16"/>
        <v>26</v>
      </c>
      <c r="S209" t="str">
        <f t="shared" si="14"/>
        <v>Q4-2011</v>
      </c>
      <c r="T209" t="str">
        <f t="shared" si="15"/>
        <v>Q1-2018</v>
      </c>
      <c r="U209" t="s">
        <v>207</v>
      </c>
    </row>
    <row r="210" spans="1:23" s="7" customFormat="1">
      <c r="A210" t="s">
        <v>191</v>
      </c>
      <c r="B210"/>
      <c r="C210"/>
      <c r="D210"/>
      <c r="E210">
        <v>2010</v>
      </c>
      <c r="F210" s="1" t="s">
        <v>200</v>
      </c>
      <c r="G210"/>
      <c r="H210">
        <v>1</v>
      </c>
      <c r="I210"/>
      <c r="J210"/>
      <c r="K210"/>
      <c r="L210"/>
      <c r="M210"/>
      <c r="N210"/>
      <c r="O210"/>
      <c r="P210" s="5">
        <v>40299</v>
      </c>
      <c r="Q210" s="5">
        <v>40664</v>
      </c>
      <c r="R210" s="4">
        <f t="shared" si="16"/>
        <v>5</v>
      </c>
      <c r="S210" t="str">
        <f t="shared" si="14"/>
        <v>Q2-2010</v>
      </c>
      <c r="T210" t="str">
        <f t="shared" si="15"/>
        <v>Q2-2011</v>
      </c>
      <c r="U210" t="s">
        <v>205</v>
      </c>
      <c r="W210"/>
    </row>
    <row r="211" spans="1:23">
      <c r="A211" t="s">
        <v>509</v>
      </c>
      <c r="E211">
        <v>2009</v>
      </c>
      <c r="F211" s="1" t="s">
        <v>200</v>
      </c>
      <c r="H211">
        <v>1</v>
      </c>
      <c r="P211" s="5">
        <v>39934</v>
      </c>
      <c r="Q211" s="5">
        <v>41395</v>
      </c>
      <c r="R211" s="4">
        <f t="shared" si="16"/>
        <v>17</v>
      </c>
      <c r="S211" t="str">
        <f t="shared" si="14"/>
        <v>Q2-2009</v>
      </c>
      <c r="T211" t="str">
        <f t="shared" si="15"/>
        <v>Q2-2013</v>
      </c>
      <c r="U211" t="s">
        <v>206</v>
      </c>
    </row>
    <row r="212" spans="1:23">
      <c r="A212" t="s">
        <v>518</v>
      </c>
      <c r="B212" t="s">
        <v>965</v>
      </c>
      <c r="C212" s="7"/>
      <c r="E212">
        <v>2011</v>
      </c>
      <c r="F212" s="1" t="s">
        <v>200</v>
      </c>
      <c r="N212">
        <v>1</v>
      </c>
      <c r="P212" s="5">
        <v>41000</v>
      </c>
      <c r="Q212" s="5">
        <v>41883</v>
      </c>
      <c r="R212" s="4">
        <f t="shared" si="16"/>
        <v>10</v>
      </c>
      <c r="S212" t="str">
        <f t="shared" si="14"/>
        <v>Q2-2012</v>
      </c>
      <c r="T212" t="str">
        <f t="shared" si="15"/>
        <v>Q3-2014</v>
      </c>
      <c r="U212" t="s">
        <v>519</v>
      </c>
      <c r="W212" s="7"/>
    </row>
    <row r="213" spans="1:23">
      <c r="A213" t="s">
        <v>210</v>
      </c>
      <c r="E213">
        <v>2017</v>
      </c>
      <c r="F213" s="1" t="s">
        <v>200</v>
      </c>
      <c r="H213">
        <v>1</v>
      </c>
      <c r="P213" s="5">
        <v>42795</v>
      </c>
      <c r="Q213" s="5">
        <v>42979</v>
      </c>
      <c r="R213" s="4">
        <f t="shared" si="16"/>
        <v>3</v>
      </c>
      <c r="S213" t="str">
        <f t="shared" si="14"/>
        <v>Q1-2017</v>
      </c>
      <c r="T213" t="str">
        <f t="shared" si="15"/>
        <v>Q3-2017</v>
      </c>
      <c r="U213" t="s">
        <v>212</v>
      </c>
    </row>
    <row r="214" spans="1:23">
      <c r="A214" t="s">
        <v>721</v>
      </c>
      <c r="E214">
        <v>2018</v>
      </c>
      <c r="F214" s="1" t="s">
        <v>217</v>
      </c>
      <c r="H214">
        <v>1</v>
      </c>
      <c r="P214" s="5">
        <v>43132</v>
      </c>
      <c r="Q214" s="5">
        <v>43132</v>
      </c>
      <c r="R214" s="4">
        <f t="shared" si="16"/>
        <v>1</v>
      </c>
      <c r="S214" t="str">
        <f t="shared" si="14"/>
        <v>Q1-2018</v>
      </c>
      <c r="T214" t="str">
        <f t="shared" si="15"/>
        <v>Q1-2018</v>
      </c>
      <c r="U214" s="8" t="s">
        <v>222</v>
      </c>
    </row>
    <row r="215" spans="1:23">
      <c r="A215" t="s">
        <v>219</v>
      </c>
      <c r="E215">
        <v>2008</v>
      </c>
      <c r="F215" s="1" t="s">
        <v>217</v>
      </c>
      <c r="I215">
        <v>1</v>
      </c>
      <c r="J215">
        <v>1</v>
      </c>
      <c r="K215">
        <v>1</v>
      </c>
      <c r="P215" s="5">
        <v>39753</v>
      </c>
      <c r="Q215" s="5">
        <v>40391</v>
      </c>
      <c r="R215" s="4">
        <f t="shared" si="16"/>
        <v>8</v>
      </c>
      <c r="S215" t="str">
        <f t="shared" si="14"/>
        <v>Q4-2008</v>
      </c>
      <c r="T215" t="str">
        <f t="shared" si="15"/>
        <v>Q3-2010</v>
      </c>
      <c r="U215" t="s">
        <v>976</v>
      </c>
    </row>
    <row r="216" spans="1:23">
      <c r="A216" t="s">
        <v>517</v>
      </c>
      <c r="B216" t="s">
        <v>938</v>
      </c>
      <c r="C216" t="s">
        <v>715</v>
      </c>
      <c r="D216" s="8"/>
      <c r="E216">
        <v>2011</v>
      </c>
      <c r="F216" s="1" t="s">
        <v>217</v>
      </c>
      <c r="G216">
        <v>1</v>
      </c>
      <c r="H216">
        <v>1</v>
      </c>
      <c r="I216">
        <v>1</v>
      </c>
      <c r="K216">
        <v>1</v>
      </c>
      <c r="P216" s="5">
        <v>40848</v>
      </c>
      <c r="Q216" s="5">
        <v>41030</v>
      </c>
      <c r="R216" s="4">
        <f t="shared" si="16"/>
        <v>3</v>
      </c>
      <c r="S216" t="str">
        <f t="shared" si="14"/>
        <v>Q4-2011</v>
      </c>
      <c r="T216" t="str">
        <f t="shared" si="15"/>
        <v>Q2-2012</v>
      </c>
      <c r="U216" t="s">
        <v>516</v>
      </c>
    </row>
    <row r="217" spans="1:23">
      <c r="A217" t="s">
        <v>362</v>
      </c>
      <c r="E217">
        <v>2009</v>
      </c>
      <c r="F217" s="1" t="s">
        <v>217</v>
      </c>
      <c r="J217">
        <v>1</v>
      </c>
      <c r="P217" s="5">
        <v>39814</v>
      </c>
      <c r="Q217" s="5">
        <v>40238</v>
      </c>
      <c r="R217" s="4">
        <f t="shared" si="16"/>
        <v>5</v>
      </c>
      <c r="S217" t="str">
        <f t="shared" si="14"/>
        <v>Q1-2009</v>
      </c>
      <c r="T217" t="str">
        <f t="shared" si="15"/>
        <v>Q1-2010</v>
      </c>
      <c r="U217" t="s">
        <v>363</v>
      </c>
    </row>
    <row r="218" spans="1:23">
      <c r="A218" t="s">
        <v>231</v>
      </c>
      <c r="E218">
        <v>2016</v>
      </c>
      <c r="F218" s="1" t="s">
        <v>217</v>
      </c>
      <c r="H218">
        <v>1</v>
      </c>
      <c r="P218" s="5">
        <v>42339</v>
      </c>
      <c r="Q218" s="5">
        <v>42430</v>
      </c>
      <c r="R218" s="4">
        <f t="shared" si="16"/>
        <v>2</v>
      </c>
      <c r="S218" t="str">
        <f t="shared" si="14"/>
        <v>Q4-2015</v>
      </c>
      <c r="T218" t="str">
        <f t="shared" si="15"/>
        <v>Q1-2016</v>
      </c>
      <c r="U218" t="s">
        <v>232</v>
      </c>
    </row>
    <row r="219" spans="1:23">
      <c r="A219" t="s">
        <v>225</v>
      </c>
      <c r="B219" t="s">
        <v>939</v>
      </c>
      <c r="C219" t="s">
        <v>716</v>
      </c>
      <c r="D219" s="8"/>
      <c r="E219">
        <v>2012</v>
      </c>
      <c r="F219" s="1" t="s">
        <v>223</v>
      </c>
      <c r="H219">
        <v>1</v>
      </c>
      <c r="I219">
        <v>1</v>
      </c>
      <c r="P219" s="5">
        <v>40848</v>
      </c>
      <c r="Q219" s="5">
        <v>40969</v>
      </c>
      <c r="R219" s="4">
        <f t="shared" si="16"/>
        <v>2</v>
      </c>
      <c r="S219" t="str">
        <f t="shared" si="14"/>
        <v>Q4-2011</v>
      </c>
      <c r="T219" t="str">
        <f t="shared" si="15"/>
        <v>Q1-2012</v>
      </c>
      <c r="U219" t="s">
        <v>970</v>
      </c>
    </row>
    <row r="220" spans="1:23">
      <c r="A220" t="s">
        <v>718</v>
      </c>
      <c r="B220" t="s">
        <v>940</v>
      </c>
      <c r="C220" t="s">
        <v>717</v>
      </c>
      <c r="D220">
        <v>1</v>
      </c>
      <c r="E220">
        <v>2013</v>
      </c>
      <c r="F220" s="1" t="s">
        <v>223</v>
      </c>
      <c r="H220">
        <v>1</v>
      </c>
      <c r="J220">
        <v>1</v>
      </c>
      <c r="P220" s="5">
        <v>41244</v>
      </c>
      <c r="Q220" s="5">
        <v>41306</v>
      </c>
      <c r="R220" s="4">
        <v>2</v>
      </c>
      <c r="S220" t="str">
        <f t="shared" si="14"/>
        <v>Q4-2012</v>
      </c>
      <c r="T220" t="str">
        <f t="shared" si="15"/>
        <v>Q1-2013</v>
      </c>
      <c r="U220" t="s">
        <v>364</v>
      </c>
      <c r="W220" t="s">
        <v>227</v>
      </c>
    </row>
    <row r="221" spans="1:23">
      <c r="A221" t="s">
        <v>1013</v>
      </c>
      <c r="B221" t="s">
        <v>1014</v>
      </c>
      <c r="C221" t="s">
        <v>1015</v>
      </c>
      <c r="E221">
        <v>2014</v>
      </c>
      <c r="F221" s="1" t="s">
        <v>240</v>
      </c>
      <c r="I221">
        <v>1</v>
      </c>
      <c r="P221" s="5">
        <v>41640</v>
      </c>
      <c r="Q221" s="5">
        <v>41913</v>
      </c>
      <c r="R221" s="4">
        <f>FLOOR(((YEAR(Q221)*12+MONTH(Q221))-(YEAR(P221)*12+MONTH(P221)))/3,1)+1</f>
        <v>4</v>
      </c>
      <c r="S221" t="str">
        <f t="shared" si="14"/>
        <v>Q1-2014</v>
      </c>
      <c r="T221" t="str">
        <f t="shared" si="15"/>
        <v>Q4-2014</v>
      </c>
      <c r="U221" t="s">
        <v>1027</v>
      </c>
    </row>
    <row r="222" spans="1:23">
      <c r="A222" t="s">
        <v>239</v>
      </c>
      <c r="B222" t="s">
        <v>941</v>
      </c>
      <c r="C222" t="s">
        <v>719</v>
      </c>
      <c r="D222" s="7"/>
      <c r="E222">
        <v>2008</v>
      </c>
      <c r="F222" s="1" t="s">
        <v>240</v>
      </c>
      <c r="J222">
        <v>1</v>
      </c>
      <c r="K222">
        <v>1</v>
      </c>
      <c r="P222" s="5">
        <v>39692</v>
      </c>
      <c r="Q222" s="5">
        <v>39783</v>
      </c>
      <c r="R222" s="4">
        <f>FLOOR(((YEAR(Q222)*12+MONTH(Q222))-(YEAR(P222)*12+MONTH(P222)))/3,1)+1</f>
        <v>2</v>
      </c>
      <c r="S222" t="str">
        <f t="shared" si="14"/>
        <v>Q3-2008</v>
      </c>
      <c r="T222" t="str">
        <f t="shared" si="15"/>
        <v>Q4-2008</v>
      </c>
      <c r="U222" t="s">
        <v>863</v>
      </c>
    </row>
    <row r="223" spans="1:23">
      <c r="A223" t="s">
        <v>239</v>
      </c>
      <c r="B223" t="s">
        <v>941</v>
      </c>
      <c r="C223" t="s">
        <v>719</v>
      </c>
      <c r="D223" s="7"/>
      <c r="E223">
        <v>2010</v>
      </c>
      <c r="F223" s="1" t="s">
        <v>240</v>
      </c>
      <c r="N223">
        <v>1</v>
      </c>
      <c r="P223" s="5">
        <v>40452</v>
      </c>
      <c r="Q223" s="5">
        <v>40452</v>
      </c>
      <c r="R223" s="4">
        <f>FLOOR(((YEAR(Q223)*12+MONTH(Q223))-(YEAR(P223)*12+MONTH(P223)))/3,1)+1</f>
        <v>1</v>
      </c>
      <c r="S223" t="str">
        <f t="shared" si="14"/>
        <v>Q4-2010</v>
      </c>
      <c r="T223" t="str">
        <f t="shared" si="15"/>
        <v>Q4-2010</v>
      </c>
      <c r="U223" t="s">
        <v>864</v>
      </c>
    </row>
    <row r="224" spans="1:23">
      <c r="A224" t="s">
        <v>436</v>
      </c>
      <c r="B224" t="s">
        <v>626</v>
      </c>
      <c r="C224" t="s">
        <v>788</v>
      </c>
      <c r="D224">
        <v>1</v>
      </c>
      <c r="E224">
        <v>2007</v>
      </c>
      <c r="F224" s="1" t="s">
        <v>242</v>
      </c>
      <c r="J224">
        <v>1</v>
      </c>
      <c r="N224">
        <v>1</v>
      </c>
      <c r="P224" s="5">
        <v>39356</v>
      </c>
      <c r="Q224" s="5">
        <v>39356</v>
      </c>
      <c r="R224" s="4">
        <f>FLOOR(((YEAR(Q224)*12+MONTH(Q224))-(YEAR(P224)*12+MONTH(P224)))/3,1)+1</f>
        <v>1</v>
      </c>
      <c r="S224" t="str">
        <f t="shared" si="14"/>
        <v>Q4-2007</v>
      </c>
      <c r="T224" t="str">
        <f t="shared" si="15"/>
        <v>Q4-2007</v>
      </c>
      <c r="U224" t="s">
        <v>865</v>
      </c>
    </row>
    <row r="225" spans="1:22">
      <c r="A225" t="s">
        <v>436</v>
      </c>
      <c r="B225" t="s">
        <v>626</v>
      </c>
      <c r="C225" t="s">
        <v>788</v>
      </c>
      <c r="D225">
        <v>1</v>
      </c>
      <c r="E225">
        <v>2009</v>
      </c>
      <c r="F225" s="1" t="s">
        <v>242</v>
      </c>
      <c r="J225">
        <v>1</v>
      </c>
      <c r="P225" s="5">
        <v>39995</v>
      </c>
      <c r="Q225" s="5">
        <v>40179</v>
      </c>
      <c r="R225" s="4">
        <f>FLOOR(((YEAR(Q225)*12+MONTH(Q225))-(YEAR(P225)*12+MONTH(P225)))/3,1)+1</f>
        <v>3</v>
      </c>
      <c r="S225" t="str">
        <f t="shared" si="14"/>
        <v>Q3-2009</v>
      </c>
      <c r="T225" t="str">
        <f t="shared" si="15"/>
        <v>Q1-2010</v>
      </c>
      <c r="U225" t="s">
        <v>866</v>
      </c>
    </row>
    <row r="226" spans="1:22">
      <c r="A226" t="s">
        <v>436</v>
      </c>
      <c r="B226" t="s">
        <v>626</v>
      </c>
      <c r="C226" t="s">
        <v>788</v>
      </c>
      <c r="D226">
        <v>1</v>
      </c>
      <c r="E226">
        <v>2008</v>
      </c>
      <c r="F226" s="1" t="s">
        <v>242</v>
      </c>
      <c r="J226">
        <v>1</v>
      </c>
      <c r="K226">
        <v>1</v>
      </c>
      <c r="P226" s="5">
        <v>39692</v>
      </c>
      <c r="Q226" s="5">
        <v>39753</v>
      </c>
      <c r="R226" s="4">
        <v>2</v>
      </c>
      <c r="S226" t="str">
        <f t="shared" si="14"/>
        <v>Q3-2008</v>
      </c>
      <c r="T226" t="str">
        <f t="shared" si="15"/>
        <v>Q4-2008</v>
      </c>
      <c r="U226" t="s">
        <v>1060</v>
      </c>
    </row>
    <row r="227" spans="1:22">
      <c r="A227" t="s">
        <v>593</v>
      </c>
      <c r="E227">
        <v>2008</v>
      </c>
      <c r="F227" s="1" t="s">
        <v>242</v>
      </c>
      <c r="J227">
        <v>1</v>
      </c>
      <c r="P227" s="5">
        <v>39722</v>
      </c>
      <c r="Q227" s="5">
        <v>39722</v>
      </c>
      <c r="R227" s="4">
        <f t="shared" ref="R227:R258" si="17">FLOOR(((YEAR(Q227)*12+MONTH(Q227))-(YEAR(P227)*12+MONTH(P227)))/3,1)+1</f>
        <v>1</v>
      </c>
      <c r="S227" t="str">
        <f t="shared" si="14"/>
        <v>Q4-2008</v>
      </c>
      <c r="T227" t="str">
        <f t="shared" si="15"/>
        <v>Q4-2008</v>
      </c>
      <c r="U227" t="s">
        <v>234</v>
      </c>
      <c r="V227" t="s">
        <v>789</v>
      </c>
    </row>
    <row r="228" spans="1:22">
      <c r="A228" t="s">
        <v>252</v>
      </c>
      <c r="E228">
        <v>2009</v>
      </c>
      <c r="F228" s="1" t="s">
        <v>242</v>
      </c>
      <c r="G228">
        <v>1</v>
      </c>
      <c r="P228" s="5">
        <v>40087</v>
      </c>
      <c r="Q228" s="5">
        <v>40087</v>
      </c>
      <c r="R228" s="4">
        <f t="shared" si="17"/>
        <v>1</v>
      </c>
      <c r="S228" t="str">
        <f t="shared" si="14"/>
        <v>Q4-2009</v>
      </c>
      <c r="T228" t="str">
        <f t="shared" si="15"/>
        <v>Q4-2009</v>
      </c>
      <c r="U228" t="s">
        <v>253</v>
      </c>
    </row>
    <row r="229" spans="1:22">
      <c r="A229" t="s">
        <v>1021</v>
      </c>
      <c r="D229" s="7"/>
      <c r="E229">
        <v>2009</v>
      </c>
      <c r="F229" s="1" t="s">
        <v>242</v>
      </c>
      <c r="I229">
        <v>1</v>
      </c>
      <c r="P229" s="5">
        <v>39448</v>
      </c>
      <c r="Q229" s="5">
        <v>39783</v>
      </c>
      <c r="R229" s="4">
        <f t="shared" si="17"/>
        <v>4</v>
      </c>
      <c r="S229" t="str">
        <f t="shared" si="14"/>
        <v>Q1-2008</v>
      </c>
      <c r="T229" t="str">
        <f t="shared" si="15"/>
        <v>Q4-2008</v>
      </c>
      <c r="U229" t="s">
        <v>1024</v>
      </c>
    </row>
    <row r="230" spans="1:22">
      <c r="A230" t="s">
        <v>1025</v>
      </c>
      <c r="D230" s="7"/>
      <c r="E230">
        <v>2008</v>
      </c>
      <c r="F230" s="1" t="s">
        <v>242</v>
      </c>
      <c r="H230">
        <v>1</v>
      </c>
      <c r="I230">
        <v>1</v>
      </c>
      <c r="P230" s="5">
        <v>39783</v>
      </c>
      <c r="Q230" s="5">
        <v>39783</v>
      </c>
      <c r="R230" s="4">
        <f t="shared" si="17"/>
        <v>1</v>
      </c>
      <c r="S230" t="str">
        <f t="shared" si="14"/>
        <v>Q4-2008</v>
      </c>
      <c r="T230" t="str">
        <f t="shared" si="15"/>
        <v>Q4-2008</v>
      </c>
      <c r="U230" t="s">
        <v>1026</v>
      </c>
    </row>
    <row r="231" spans="1:22">
      <c r="A231" t="s">
        <v>251</v>
      </c>
      <c r="B231" t="s">
        <v>627</v>
      </c>
      <c r="C231" t="s">
        <v>790</v>
      </c>
      <c r="D231">
        <v>1</v>
      </c>
      <c r="E231">
        <v>2008</v>
      </c>
      <c r="F231" s="1" t="s">
        <v>242</v>
      </c>
      <c r="J231">
        <v>1</v>
      </c>
      <c r="P231" s="5">
        <v>39722</v>
      </c>
      <c r="Q231" s="5">
        <v>39814</v>
      </c>
      <c r="R231" s="4">
        <f t="shared" si="17"/>
        <v>2</v>
      </c>
      <c r="S231" t="str">
        <f t="shared" si="14"/>
        <v>Q4-2008</v>
      </c>
      <c r="T231" t="str">
        <f t="shared" si="15"/>
        <v>Q1-2009</v>
      </c>
      <c r="U231" t="s">
        <v>867</v>
      </c>
    </row>
    <row r="232" spans="1:22">
      <c r="A232" t="s">
        <v>243</v>
      </c>
      <c r="E232">
        <v>2008</v>
      </c>
      <c r="F232" s="1" t="s">
        <v>242</v>
      </c>
      <c r="L232">
        <v>1</v>
      </c>
      <c r="P232" s="5">
        <v>39722</v>
      </c>
      <c r="Q232" s="5">
        <v>39904</v>
      </c>
      <c r="R232" s="4">
        <f t="shared" si="17"/>
        <v>3</v>
      </c>
      <c r="S232" t="str">
        <f t="shared" si="14"/>
        <v>Q4-2008</v>
      </c>
      <c r="T232" t="str">
        <f t="shared" si="15"/>
        <v>Q2-2009</v>
      </c>
      <c r="U232" t="s">
        <v>244</v>
      </c>
    </row>
    <row r="233" spans="1:22">
      <c r="A233" t="s">
        <v>245</v>
      </c>
      <c r="B233" t="s">
        <v>650</v>
      </c>
      <c r="C233" t="s">
        <v>791</v>
      </c>
      <c r="D233">
        <v>1</v>
      </c>
      <c r="E233">
        <v>2008</v>
      </c>
      <c r="F233" s="1" t="s">
        <v>242</v>
      </c>
      <c r="L233">
        <v>1</v>
      </c>
      <c r="P233" s="5">
        <v>39722</v>
      </c>
      <c r="Q233" s="5">
        <v>39753</v>
      </c>
      <c r="R233" s="4">
        <f t="shared" si="17"/>
        <v>1</v>
      </c>
      <c r="S233" t="str">
        <f t="shared" si="14"/>
        <v>Q4-2008</v>
      </c>
      <c r="T233" t="str">
        <f t="shared" si="15"/>
        <v>Q4-2008</v>
      </c>
      <c r="U233" t="s">
        <v>170</v>
      </c>
    </row>
    <row r="234" spans="1:22">
      <c r="A234" t="s">
        <v>246</v>
      </c>
      <c r="B234" t="s">
        <v>942</v>
      </c>
      <c r="C234" t="s">
        <v>722</v>
      </c>
      <c r="D234">
        <v>1</v>
      </c>
      <c r="E234">
        <v>2009</v>
      </c>
      <c r="F234" s="1" t="s">
        <v>242</v>
      </c>
      <c r="J234">
        <v>1</v>
      </c>
      <c r="P234" s="5">
        <v>39722</v>
      </c>
      <c r="Q234" s="5">
        <v>39783</v>
      </c>
      <c r="R234" s="4">
        <f t="shared" si="17"/>
        <v>1</v>
      </c>
      <c r="S234" t="str">
        <f t="shared" si="14"/>
        <v>Q4-2008</v>
      </c>
      <c r="T234" t="str">
        <f t="shared" si="15"/>
        <v>Q4-2008</v>
      </c>
      <c r="U234" t="s">
        <v>997</v>
      </c>
      <c r="V234" t="s">
        <v>346</v>
      </c>
    </row>
    <row r="235" spans="1:22">
      <c r="A235" t="s">
        <v>246</v>
      </c>
      <c r="B235" t="s">
        <v>942</v>
      </c>
      <c r="C235" t="s">
        <v>722</v>
      </c>
      <c r="D235">
        <v>1</v>
      </c>
      <c r="E235">
        <v>2013</v>
      </c>
      <c r="F235" s="1" t="s">
        <v>242</v>
      </c>
      <c r="I235">
        <v>1</v>
      </c>
      <c r="J235">
        <v>1</v>
      </c>
      <c r="P235" s="5">
        <v>41275</v>
      </c>
      <c r="Q235" s="5">
        <v>41518</v>
      </c>
      <c r="R235" s="4">
        <f t="shared" si="17"/>
        <v>3</v>
      </c>
      <c r="S235" t="str">
        <f t="shared" si="14"/>
        <v>Q1-2013</v>
      </c>
      <c r="T235" t="str">
        <f t="shared" si="15"/>
        <v>Q3-2013</v>
      </c>
      <c r="U235" t="s">
        <v>998</v>
      </c>
      <c r="V235" t="s">
        <v>346</v>
      </c>
    </row>
    <row r="236" spans="1:22">
      <c r="A236" t="s">
        <v>264</v>
      </c>
      <c r="E236">
        <v>2008</v>
      </c>
      <c r="F236" s="1" t="s">
        <v>163</v>
      </c>
      <c r="L236">
        <v>1</v>
      </c>
      <c r="P236" s="5">
        <v>39722</v>
      </c>
      <c r="Q236" s="5">
        <v>39904</v>
      </c>
      <c r="R236" s="4">
        <f t="shared" si="17"/>
        <v>3</v>
      </c>
      <c r="S236" t="str">
        <f t="shared" si="14"/>
        <v>Q4-2008</v>
      </c>
      <c r="T236" t="str">
        <f t="shared" si="15"/>
        <v>Q2-2009</v>
      </c>
      <c r="U236" t="s">
        <v>279</v>
      </c>
    </row>
    <row r="237" spans="1:22">
      <c r="A237" t="s">
        <v>264</v>
      </c>
      <c r="E237">
        <v>2014</v>
      </c>
      <c r="F237" s="1" t="s">
        <v>163</v>
      </c>
      <c r="N237">
        <v>1</v>
      </c>
      <c r="P237" s="5">
        <v>41974</v>
      </c>
      <c r="Q237" s="5">
        <v>42156</v>
      </c>
      <c r="R237" s="4">
        <f t="shared" si="17"/>
        <v>3</v>
      </c>
      <c r="S237" t="str">
        <f t="shared" si="14"/>
        <v>Q4-2014</v>
      </c>
      <c r="T237" t="str">
        <f t="shared" si="15"/>
        <v>Q2-2015</v>
      </c>
      <c r="U237" t="s">
        <v>280</v>
      </c>
    </row>
    <row r="238" spans="1:22">
      <c r="A238" t="s">
        <v>164</v>
      </c>
      <c r="B238" t="s">
        <v>943</v>
      </c>
      <c r="C238" t="s">
        <v>723</v>
      </c>
      <c r="D238">
        <v>1</v>
      </c>
      <c r="E238">
        <v>2008</v>
      </c>
      <c r="F238" s="1" t="s">
        <v>163</v>
      </c>
      <c r="L238">
        <v>1</v>
      </c>
      <c r="P238" s="5">
        <v>39722</v>
      </c>
      <c r="Q238" s="5">
        <v>39904</v>
      </c>
      <c r="R238" s="4">
        <f t="shared" si="17"/>
        <v>3</v>
      </c>
      <c r="S238" t="str">
        <f t="shared" si="14"/>
        <v>Q4-2008</v>
      </c>
      <c r="T238" t="str">
        <f t="shared" si="15"/>
        <v>Q2-2009</v>
      </c>
      <c r="U238" t="s">
        <v>170</v>
      </c>
    </row>
    <row r="239" spans="1:22">
      <c r="A239" t="s">
        <v>164</v>
      </c>
      <c r="B239" t="s">
        <v>943</v>
      </c>
      <c r="C239" t="s">
        <v>723</v>
      </c>
      <c r="D239">
        <v>1</v>
      </c>
      <c r="E239">
        <v>2014</v>
      </c>
      <c r="F239" s="1" t="s">
        <v>163</v>
      </c>
      <c r="H239">
        <v>1</v>
      </c>
      <c r="I239">
        <v>1</v>
      </c>
      <c r="J239">
        <v>1</v>
      </c>
      <c r="K239">
        <v>1</v>
      </c>
      <c r="P239" s="5">
        <v>41852</v>
      </c>
      <c r="Q239" s="5">
        <v>41852</v>
      </c>
      <c r="R239" s="4">
        <f t="shared" si="17"/>
        <v>1</v>
      </c>
      <c r="S239" t="str">
        <f t="shared" si="14"/>
        <v>Q3-2014</v>
      </c>
      <c r="T239" t="str">
        <f t="shared" si="15"/>
        <v>Q3-2014</v>
      </c>
      <c r="U239" t="s">
        <v>982</v>
      </c>
    </row>
    <row r="240" spans="1:22">
      <c r="A240" t="s">
        <v>275</v>
      </c>
      <c r="E240">
        <v>2009</v>
      </c>
      <c r="F240" s="1" t="s">
        <v>163</v>
      </c>
      <c r="L240">
        <v>1</v>
      </c>
      <c r="P240" s="5">
        <v>39722</v>
      </c>
      <c r="Q240" s="5">
        <v>39904</v>
      </c>
      <c r="R240" s="4">
        <f t="shared" si="17"/>
        <v>3</v>
      </c>
      <c r="S240" t="str">
        <f t="shared" si="14"/>
        <v>Q4-2008</v>
      </c>
      <c r="T240" t="str">
        <f t="shared" si="15"/>
        <v>Q2-2009</v>
      </c>
      <c r="U240" t="s">
        <v>170</v>
      </c>
    </row>
    <row r="241" spans="1:21">
      <c r="A241" t="s">
        <v>276</v>
      </c>
      <c r="B241" t="s">
        <v>944</v>
      </c>
      <c r="C241" t="s">
        <v>724</v>
      </c>
      <c r="D241">
        <v>1</v>
      </c>
      <c r="E241">
        <v>2008</v>
      </c>
      <c r="F241" s="1" t="s">
        <v>163</v>
      </c>
      <c r="L241">
        <v>1</v>
      </c>
      <c r="P241" s="5">
        <v>39722</v>
      </c>
      <c r="Q241" s="5">
        <v>39904</v>
      </c>
      <c r="R241" s="4">
        <f t="shared" si="17"/>
        <v>3</v>
      </c>
      <c r="S241" t="str">
        <f t="shared" si="14"/>
        <v>Q4-2008</v>
      </c>
      <c r="T241" t="str">
        <f t="shared" si="15"/>
        <v>Q2-2009</v>
      </c>
      <c r="U241" t="s">
        <v>170</v>
      </c>
    </row>
    <row r="242" spans="1:21">
      <c r="A242" t="s">
        <v>276</v>
      </c>
      <c r="B242" t="s">
        <v>944</v>
      </c>
      <c r="C242" t="s">
        <v>724</v>
      </c>
      <c r="D242">
        <v>1</v>
      </c>
      <c r="E242">
        <v>2011</v>
      </c>
      <c r="F242" s="1" t="s">
        <v>163</v>
      </c>
      <c r="J242">
        <v>1</v>
      </c>
      <c r="P242" s="5">
        <v>40634</v>
      </c>
      <c r="Q242" s="5">
        <v>41275</v>
      </c>
      <c r="R242" s="4">
        <f t="shared" si="17"/>
        <v>8</v>
      </c>
      <c r="S242" t="str">
        <f t="shared" si="14"/>
        <v>Q2-2011</v>
      </c>
      <c r="T242" t="str">
        <f t="shared" si="15"/>
        <v>Q1-2013</v>
      </c>
      <c r="U242" t="s">
        <v>868</v>
      </c>
    </row>
    <row r="243" spans="1:21">
      <c r="A243" t="s">
        <v>276</v>
      </c>
      <c r="B243" t="s">
        <v>944</v>
      </c>
      <c r="C243" t="s">
        <v>724</v>
      </c>
      <c r="D243">
        <v>1</v>
      </c>
      <c r="E243">
        <v>2015</v>
      </c>
      <c r="F243" s="1" t="s">
        <v>163</v>
      </c>
      <c r="H243">
        <v>1</v>
      </c>
      <c r="I243">
        <v>0</v>
      </c>
      <c r="N243">
        <v>1</v>
      </c>
      <c r="P243" s="5">
        <v>42339</v>
      </c>
      <c r="Q243" s="5">
        <v>42339</v>
      </c>
      <c r="R243" s="4">
        <f t="shared" si="17"/>
        <v>1</v>
      </c>
      <c r="S243" t="str">
        <f t="shared" si="14"/>
        <v>Q4-2015</v>
      </c>
      <c r="T243" t="str">
        <f t="shared" si="15"/>
        <v>Q4-2015</v>
      </c>
      <c r="U243" t="s">
        <v>979</v>
      </c>
    </row>
    <row r="244" spans="1:21">
      <c r="A244" t="s">
        <v>628</v>
      </c>
      <c r="E244">
        <v>2009</v>
      </c>
      <c r="F244" s="1" t="s">
        <v>163</v>
      </c>
      <c r="L244">
        <v>1</v>
      </c>
      <c r="P244" s="5">
        <v>39722</v>
      </c>
      <c r="Q244" s="5">
        <v>39904</v>
      </c>
      <c r="R244" s="4">
        <f t="shared" si="17"/>
        <v>3</v>
      </c>
      <c r="S244" t="str">
        <f t="shared" si="14"/>
        <v>Q4-2008</v>
      </c>
      <c r="T244" t="str">
        <f t="shared" si="15"/>
        <v>Q2-2009</v>
      </c>
      <c r="U244" t="s">
        <v>170</v>
      </c>
    </row>
    <row r="245" spans="1:21">
      <c r="A245" t="s">
        <v>272</v>
      </c>
      <c r="B245" t="s">
        <v>945</v>
      </c>
      <c r="C245" t="s">
        <v>725</v>
      </c>
      <c r="D245">
        <v>1</v>
      </c>
      <c r="E245">
        <v>2011</v>
      </c>
      <c r="F245" s="1" t="s">
        <v>163</v>
      </c>
      <c r="J245">
        <v>1</v>
      </c>
      <c r="P245" s="5">
        <v>40878</v>
      </c>
      <c r="Q245" s="5">
        <v>41061</v>
      </c>
      <c r="R245" s="4">
        <f t="shared" si="17"/>
        <v>3</v>
      </c>
      <c r="S245" t="str">
        <f t="shared" si="14"/>
        <v>Q4-2011</v>
      </c>
      <c r="T245" t="str">
        <f t="shared" si="15"/>
        <v>Q2-2012</v>
      </c>
      <c r="U245" t="s">
        <v>869</v>
      </c>
    </row>
    <row r="246" spans="1:21">
      <c r="A246" t="s">
        <v>265</v>
      </c>
      <c r="E246">
        <v>2008</v>
      </c>
      <c r="F246" s="1" t="s">
        <v>163</v>
      </c>
      <c r="J246">
        <v>1</v>
      </c>
      <c r="K246">
        <v>1</v>
      </c>
      <c r="P246" s="5">
        <v>39722</v>
      </c>
      <c r="Q246" s="5">
        <v>40969</v>
      </c>
      <c r="R246" s="4">
        <f t="shared" si="17"/>
        <v>14</v>
      </c>
      <c r="S246" t="str">
        <f t="shared" si="14"/>
        <v>Q4-2008</v>
      </c>
      <c r="T246" t="str">
        <f t="shared" si="15"/>
        <v>Q1-2012</v>
      </c>
      <c r="U246" t="s">
        <v>266</v>
      </c>
    </row>
    <row r="247" spans="1:21">
      <c r="A247" t="s">
        <v>513</v>
      </c>
      <c r="B247" t="s">
        <v>966</v>
      </c>
      <c r="D247" s="7"/>
      <c r="E247">
        <v>2008</v>
      </c>
      <c r="F247" s="1" t="s">
        <v>163</v>
      </c>
      <c r="L247">
        <v>1</v>
      </c>
      <c r="P247" s="5">
        <v>39722</v>
      </c>
      <c r="Q247" s="5">
        <v>39783</v>
      </c>
      <c r="R247" s="4">
        <f t="shared" si="17"/>
        <v>1</v>
      </c>
      <c r="S247" t="str">
        <f t="shared" si="14"/>
        <v>Q4-2008</v>
      </c>
      <c r="T247" t="str">
        <f t="shared" si="15"/>
        <v>Q4-2008</v>
      </c>
      <c r="U247" t="s">
        <v>170</v>
      </c>
    </row>
    <row r="248" spans="1:21">
      <c r="A248" t="s">
        <v>513</v>
      </c>
      <c r="B248" t="s">
        <v>966</v>
      </c>
      <c r="D248" s="7"/>
      <c r="E248">
        <v>2010</v>
      </c>
      <c r="F248" s="1" t="s">
        <v>163</v>
      </c>
      <c r="H248">
        <v>1</v>
      </c>
      <c r="P248" s="5">
        <v>40269</v>
      </c>
      <c r="Q248" s="5">
        <v>40360</v>
      </c>
      <c r="R248" s="4">
        <f t="shared" si="17"/>
        <v>2</v>
      </c>
      <c r="S248" t="str">
        <f t="shared" si="14"/>
        <v>Q2-2010</v>
      </c>
      <c r="T248" t="str">
        <f t="shared" si="15"/>
        <v>Q3-2010</v>
      </c>
      <c r="U248" t="s">
        <v>967</v>
      </c>
    </row>
    <row r="249" spans="1:21">
      <c r="A249" t="s">
        <v>368</v>
      </c>
      <c r="E249">
        <v>2008</v>
      </c>
      <c r="F249" s="1" t="s">
        <v>163</v>
      </c>
      <c r="L249">
        <v>1</v>
      </c>
      <c r="P249" s="5">
        <v>39722</v>
      </c>
      <c r="Q249" s="5">
        <v>39783</v>
      </c>
      <c r="R249" s="4">
        <f t="shared" si="17"/>
        <v>1</v>
      </c>
      <c r="S249" t="str">
        <f t="shared" si="14"/>
        <v>Q4-2008</v>
      </c>
      <c r="T249" t="str">
        <f t="shared" si="15"/>
        <v>Q4-2008</v>
      </c>
      <c r="U249" t="s">
        <v>170</v>
      </c>
    </row>
    <row r="250" spans="1:21">
      <c r="A250" t="s">
        <v>630</v>
      </c>
      <c r="E250">
        <v>2009</v>
      </c>
      <c r="F250" s="1" t="s">
        <v>163</v>
      </c>
      <c r="L250">
        <v>1</v>
      </c>
      <c r="P250" s="5">
        <v>39722</v>
      </c>
      <c r="Q250" s="5">
        <v>39904</v>
      </c>
      <c r="R250" s="4">
        <f t="shared" si="17"/>
        <v>3</v>
      </c>
      <c r="S250" t="str">
        <f t="shared" si="14"/>
        <v>Q4-2008</v>
      </c>
      <c r="T250" t="str">
        <f t="shared" si="15"/>
        <v>Q2-2009</v>
      </c>
      <c r="U250" t="s">
        <v>279</v>
      </c>
    </row>
    <row r="251" spans="1:21">
      <c r="A251" t="s">
        <v>369</v>
      </c>
      <c r="E251">
        <v>2008</v>
      </c>
      <c r="F251" s="1" t="s">
        <v>163</v>
      </c>
      <c r="L251">
        <v>1</v>
      </c>
      <c r="P251" s="5">
        <v>39722</v>
      </c>
      <c r="Q251" s="5">
        <v>39783</v>
      </c>
      <c r="R251" s="4">
        <f t="shared" si="17"/>
        <v>1</v>
      </c>
      <c r="S251" t="str">
        <f t="shared" si="14"/>
        <v>Q4-2008</v>
      </c>
      <c r="T251" t="str">
        <f t="shared" si="15"/>
        <v>Q4-2008</v>
      </c>
      <c r="U251" t="s">
        <v>170</v>
      </c>
    </row>
    <row r="252" spans="1:21">
      <c r="A252" t="s">
        <v>263</v>
      </c>
      <c r="E252">
        <v>2008</v>
      </c>
      <c r="F252" s="1" t="s">
        <v>163</v>
      </c>
      <c r="J252">
        <v>1</v>
      </c>
      <c r="P252" s="5">
        <v>39722</v>
      </c>
      <c r="Q252" s="5">
        <v>41456</v>
      </c>
      <c r="R252" s="4">
        <f t="shared" si="17"/>
        <v>20</v>
      </c>
      <c r="S252" t="str">
        <f t="shared" si="14"/>
        <v>Q4-2008</v>
      </c>
      <c r="T252" t="str">
        <f t="shared" si="15"/>
        <v>Q3-2013</v>
      </c>
      <c r="U252" t="s">
        <v>370</v>
      </c>
    </row>
    <row r="253" spans="1:21">
      <c r="A253" t="s">
        <v>262</v>
      </c>
      <c r="B253" t="s">
        <v>629</v>
      </c>
      <c r="C253" t="s">
        <v>792</v>
      </c>
      <c r="D253">
        <v>1</v>
      </c>
      <c r="E253">
        <v>2011</v>
      </c>
      <c r="F253" s="1" t="s">
        <v>163</v>
      </c>
      <c r="J253">
        <v>1</v>
      </c>
      <c r="P253" s="5">
        <v>40878</v>
      </c>
      <c r="Q253" s="5">
        <v>41061</v>
      </c>
      <c r="R253" s="4">
        <f t="shared" si="17"/>
        <v>3</v>
      </c>
      <c r="S253" t="str">
        <f t="shared" si="14"/>
        <v>Q4-2011</v>
      </c>
      <c r="T253" t="str">
        <f t="shared" si="15"/>
        <v>Q2-2012</v>
      </c>
      <c r="U253" t="s">
        <v>869</v>
      </c>
    </row>
    <row r="254" spans="1:21">
      <c r="A254" t="s">
        <v>162</v>
      </c>
      <c r="E254">
        <v>2015</v>
      </c>
      <c r="F254" s="1" t="s">
        <v>163</v>
      </c>
      <c r="I254">
        <v>1</v>
      </c>
      <c r="P254" s="5">
        <v>42339</v>
      </c>
      <c r="Q254" s="5">
        <v>43009</v>
      </c>
      <c r="R254" s="4">
        <f t="shared" si="17"/>
        <v>8</v>
      </c>
      <c r="S254" t="str">
        <f t="shared" si="14"/>
        <v>Q4-2015</v>
      </c>
      <c r="T254" t="str">
        <f t="shared" si="15"/>
        <v>Q4-2017</v>
      </c>
      <c r="U254" t="s">
        <v>980</v>
      </c>
    </row>
    <row r="255" spans="1:21">
      <c r="A255" t="s">
        <v>559</v>
      </c>
      <c r="E255">
        <v>2001</v>
      </c>
      <c r="F255" s="1" t="s">
        <v>541</v>
      </c>
      <c r="H255">
        <v>1</v>
      </c>
      <c r="P255" s="5">
        <v>36951</v>
      </c>
      <c r="Q255" s="5">
        <v>36951</v>
      </c>
      <c r="R255" s="4">
        <f t="shared" si="17"/>
        <v>1</v>
      </c>
      <c r="S255" t="str">
        <f t="shared" si="14"/>
        <v>Q1-2001</v>
      </c>
      <c r="T255" t="str">
        <f t="shared" si="15"/>
        <v>Q1-2001</v>
      </c>
      <c r="U255" t="s">
        <v>560</v>
      </c>
    </row>
    <row r="256" spans="1:21">
      <c r="A256" t="s">
        <v>540</v>
      </c>
      <c r="E256">
        <v>2002</v>
      </c>
      <c r="F256" s="1" t="s">
        <v>541</v>
      </c>
      <c r="H256">
        <v>1</v>
      </c>
      <c r="P256" s="5">
        <v>37316</v>
      </c>
      <c r="Q256" s="5">
        <v>37316</v>
      </c>
      <c r="R256" s="4">
        <f t="shared" si="17"/>
        <v>1</v>
      </c>
      <c r="S256" t="str">
        <f t="shared" si="14"/>
        <v>Q1-2002</v>
      </c>
      <c r="T256" t="str">
        <f t="shared" si="15"/>
        <v>Q1-2002</v>
      </c>
      <c r="U256" t="s">
        <v>543</v>
      </c>
    </row>
    <row r="257" spans="1:21">
      <c r="A257" t="s">
        <v>542</v>
      </c>
      <c r="E257">
        <v>2000</v>
      </c>
      <c r="F257" s="1" t="s">
        <v>541</v>
      </c>
      <c r="G257">
        <v>1</v>
      </c>
      <c r="P257" s="5">
        <v>36708</v>
      </c>
      <c r="Q257" s="5">
        <v>36708</v>
      </c>
      <c r="R257" s="4">
        <f t="shared" si="17"/>
        <v>1</v>
      </c>
      <c r="S257" t="str">
        <f t="shared" si="14"/>
        <v>Q3-2000</v>
      </c>
      <c r="T257" t="str">
        <f t="shared" si="15"/>
        <v>Q3-2000</v>
      </c>
      <c r="U257" t="s">
        <v>554</v>
      </c>
    </row>
    <row r="258" spans="1:21">
      <c r="A258" t="s">
        <v>544</v>
      </c>
      <c r="E258">
        <v>2002</v>
      </c>
      <c r="F258" s="1" t="s">
        <v>541</v>
      </c>
      <c r="G258">
        <v>1</v>
      </c>
      <c r="P258" s="5">
        <v>37316</v>
      </c>
      <c r="Q258" s="5">
        <v>37316</v>
      </c>
      <c r="R258" s="4">
        <f t="shared" si="17"/>
        <v>1</v>
      </c>
      <c r="S258" t="str">
        <f t="shared" si="14"/>
        <v>Q1-2002</v>
      </c>
      <c r="T258" t="str">
        <f t="shared" si="15"/>
        <v>Q1-2002</v>
      </c>
      <c r="U258" t="s">
        <v>553</v>
      </c>
    </row>
    <row r="259" spans="1:21">
      <c r="A259" t="s">
        <v>546</v>
      </c>
      <c r="B259" t="s">
        <v>968</v>
      </c>
      <c r="C259" t="s">
        <v>726</v>
      </c>
      <c r="D259" s="7"/>
      <c r="E259">
        <v>2000</v>
      </c>
      <c r="F259" s="1" t="s">
        <v>541</v>
      </c>
      <c r="H259">
        <v>1</v>
      </c>
      <c r="P259" s="5">
        <v>36770</v>
      </c>
      <c r="Q259" s="5">
        <v>37316</v>
      </c>
      <c r="R259" s="4">
        <f t="shared" ref="R259:R284" si="18">FLOOR(((YEAR(Q259)*12+MONTH(Q259))-(YEAR(P259)*12+MONTH(P259)))/3,1)+1</f>
        <v>7</v>
      </c>
      <c r="S259" t="str">
        <f t="shared" si="14"/>
        <v>Q3-2000</v>
      </c>
      <c r="T259" t="str">
        <f t="shared" si="15"/>
        <v>Q1-2002</v>
      </c>
      <c r="U259" t="s">
        <v>547</v>
      </c>
    </row>
    <row r="260" spans="1:21">
      <c r="A260" t="s">
        <v>552</v>
      </c>
      <c r="E260">
        <v>2002</v>
      </c>
      <c r="F260" s="1" t="s">
        <v>541</v>
      </c>
      <c r="G260">
        <v>1</v>
      </c>
      <c r="P260" s="5">
        <v>36557</v>
      </c>
      <c r="Q260" s="5">
        <v>36557</v>
      </c>
      <c r="R260" s="4">
        <f t="shared" si="18"/>
        <v>1</v>
      </c>
      <c r="S260" t="str">
        <f t="shared" si="14"/>
        <v>Q1-2000</v>
      </c>
      <c r="T260" t="str">
        <f t="shared" si="15"/>
        <v>Q1-2000</v>
      </c>
      <c r="U260" t="s">
        <v>551</v>
      </c>
    </row>
    <row r="261" spans="1:21">
      <c r="A261" t="s">
        <v>550</v>
      </c>
      <c r="E261">
        <v>2000</v>
      </c>
      <c r="F261" s="1" t="s">
        <v>541</v>
      </c>
      <c r="G261">
        <v>1</v>
      </c>
      <c r="H261">
        <v>1</v>
      </c>
      <c r="P261" s="5">
        <v>36678</v>
      </c>
      <c r="Q261" s="5">
        <v>37681</v>
      </c>
      <c r="R261" s="4">
        <f t="shared" si="18"/>
        <v>12</v>
      </c>
      <c r="S261" t="str">
        <f t="shared" ref="S261:S324" si="19">"Q" &amp;INT((MONTH(P261)+2)/3) &amp; "-" &amp; YEAR(P261)</f>
        <v>Q2-2000</v>
      </c>
      <c r="T261" t="str">
        <f t="shared" ref="T261:T324" si="20">"Q" &amp;INT((MONTH(Q261)+2)/3) &amp; "-" &amp; YEAR(Q261)</f>
        <v>Q1-2003</v>
      </c>
      <c r="U261" t="s">
        <v>551</v>
      </c>
    </row>
    <row r="262" spans="1:21">
      <c r="A262" t="s">
        <v>548</v>
      </c>
      <c r="E262">
        <v>2000</v>
      </c>
      <c r="F262" s="1" t="s">
        <v>541</v>
      </c>
      <c r="G262">
        <v>1</v>
      </c>
      <c r="P262" s="5">
        <v>36526</v>
      </c>
      <c r="Q262" s="5">
        <v>36831</v>
      </c>
      <c r="R262" s="4">
        <f t="shared" si="18"/>
        <v>4</v>
      </c>
      <c r="S262" t="str">
        <f t="shared" si="19"/>
        <v>Q1-2000</v>
      </c>
      <c r="T262" t="str">
        <f t="shared" si="20"/>
        <v>Q4-2000</v>
      </c>
      <c r="U262" t="s">
        <v>555</v>
      </c>
    </row>
    <row r="263" spans="1:21">
      <c r="A263" t="s">
        <v>549</v>
      </c>
      <c r="E263">
        <v>2006</v>
      </c>
      <c r="F263" s="1" t="s">
        <v>541</v>
      </c>
      <c r="H263">
        <v>1</v>
      </c>
      <c r="P263" s="5">
        <v>38930</v>
      </c>
      <c r="Q263" s="5">
        <v>38930</v>
      </c>
      <c r="R263" s="4">
        <f t="shared" si="18"/>
        <v>1</v>
      </c>
      <c r="S263" t="str">
        <f t="shared" si="19"/>
        <v>Q3-2006</v>
      </c>
      <c r="T263" t="str">
        <f t="shared" si="20"/>
        <v>Q3-2006</v>
      </c>
      <c r="U263" t="s">
        <v>558</v>
      </c>
    </row>
    <row r="264" spans="1:21">
      <c r="A264" t="s">
        <v>287</v>
      </c>
      <c r="B264" t="s">
        <v>946</v>
      </c>
      <c r="C264" t="s">
        <v>728</v>
      </c>
      <c r="E264">
        <v>2013</v>
      </c>
      <c r="F264" s="1" t="s">
        <v>283</v>
      </c>
      <c r="J264">
        <v>1</v>
      </c>
      <c r="K264">
        <v>1</v>
      </c>
      <c r="P264" s="5">
        <v>41306</v>
      </c>
      <c r="Q264" s="5">
        <v>41609</v>
      </c>
      <c r="R264" s="4">
        <f t="shared" si="18"/>
        <v>4</v>
      </c>
      <c r="S264" t="str">
        <f t="shared" si="19"/>
        <v>Q1-2013</v>
      </c>
      <c r="T264" t="str">
        <f t="shared" si="20"/>
        <v>Q4-2013</v>
      </c>
      <c r="U264" t="s">
        <v>871</v>
      </c>
    </row>
    <row r="265" spans="1:21">
      <c r="A265" t="s">
        <v>287</v>
      </c>
      <c r="B265" t="s">
        <v>946</v>
      </c>
      <c r="C265" t="s">
        <v>728</v>
      </c>
      <c r="E265">
        <v>2014</v>
      </c>
      <c r="F265" s="1" t="s">
        <v>283</v>
      </c>
      <c r="H265">
        <v>1</v>
      </c>
      <c r="J265">
        <v>1</v>
      </c>
      <c r="N265">
        <v>1</v>
      </c>
      <c r="P265" s="5">
        <v>41913</v>
      </c>
      <c r="Q265" s="5">
        <v>41913</v>
      </c>
      <c r="R265" s="4">
        <f t="shared" si="18"/>
        <v>1</v>
      </c>
      <c r="S265" t="str">
        <f t="shared" si="19"/>
        <v>Q4-2014</v>
      </c>
      <c r="T265" t="str">
        <f t="shared" si="20"/>
        <v>Q4-2014</v>
      </c>
      <c r="U265" t="s">
        <v>870</v>
      </c>
    </row>
    <row r="266" spans="1:21">
      <c r="A266" t="s">
        <v>302</v>
      </c>
      <c r="E266">
        <v>2014</v>
      </c>
      <c r="F266" s="1" t="s">
        <v>283</v>
      </c>
      <c r="J266">
        <v>1</v>
      </c>
      <c r="N266">
        <v>1</v>
      </c>
      <c r="P266" s="5">
        <v>41974</v>
      </c>
      <c r="Q266" s="5">
        <v>42339</v>
      </c>
      <c r="R266" s="4">
        <f t="shared" si="18"/>
        <v>5</v>
      </c>
      <c r="S266" t="str">
        <f t="shared" si="19"/>
        <v>Q4-2014</v>
      </c>
      <c r="T266" t="str">
        <f t="shared" si="20"/>
        <v>Q4-2015</v>
      </c>
      <c r="U266" t="s">
        <v>304</v>
      </c>
    </row>
    <row r="267" spans="1:21">
      <c r="A267" t="s">
        <v>285</v>
      </c>
      <c r="E267">
        <v>2013</v>
      </c>
      <c r="F267" s="1" t="s">
        <v>283</v>
      </c>
      <c r="H267">
        <v>1</v>
      </c>
      <c r="J267">
        <v>1</v>
      </c>
      <c r="K267">
        <v>1</v>
      </c>
      <c r="P267" s="5">
        <v>41518</v>
      </c>
      <c r="Q267" s="5">
        <v>42401</v>
      </c>
      <c r="R267" s="4">
        <f t="shared" si="18"/>
        <v>10</v>
      </c>
      <c r="S267" t="str">
        <f t="shared" si="19"/>
        <v>Q3-2013</v>
      </c>
      <c r="T267" t="str">
        <f t="shared" si="20"/>
        <v>Q1-2016</v>
      </c>
      <c r="U267" t="s">
        <v>297</v>
      </c>
    </row>
    <row r="268" spans="1:21">
      <c r="A268" t="s">
        <v>284</v>
      </c>
      <c r="B268" t="s">
        <v>947</v>
      </c>
      <c r="C268" t="s">
        <v>727</v>
      </c>
      <c r="D268">
        <v>1</v>
      </c>
      <c r="E268">
        <v>2011</v>
      </c>
      <c r="F268" s="1" t="s">
        <v>283</v>
      </c>
      <c r="J268">
        <v>1</v>
      </c>
      <c r="P268" s="5">
        <v>40878</v>
      </c>
      <c r="Q268" s="5">
        <v>41609</v>
      </c>
      <c r="R268" s="4">
        <f t="shared" si="18"/>
        <v>9</v>
      </c>
      <c r="S268" t="str">
        <f t="shared" si="19"/>
        <v>Q4-2011</v>
      </c>
      <c r="T268" t="str">
        <f t="shared" si="20"/>
        <v>Q4-2013</v>
      </c>
      <c r="U268" t="s">
        <v>371</v>
      </c>
    </row>
    <row r="269" spans="1:21">
      <c r="A269" t="s">
        <v>282</v>
      </c>
      <c r="B269" t="s">
        <v>631</v>
      </c>
      <c r="C269" t="s">
        <v>793</v>
      </c>
      <c r="D269">
        <v>1</v>
      </c>
      <c r="E269">
        <v>2008</v>
      </c>
      <c r="F269" s="1" t="s">
        <v>283</v>
      </c>
      <c r="J269">
        <v>1</v>
      </c>
      <c r="P269" s="5">
        <v>39783</v>
      </c>
      <c r="Q269" s="5">
        <v>40603</v>
      </c>
      <c r="R269" s="4">
        <f t="shared" si="18"/>
        <v>10</v>
      </c>
      <c r="S269" t="str">
        <f t="shared" si="19"/>
        <v>Q4-2008</v>
      </c>
      <c r="T269" t="str">
        <f t="shared" si="20"/>
        <v>Q1-2011</v>
      </c>
      <c r="U269" t="s">
        <v>872</v>
      </c>
    </row>
    <row r="270" spans="1:21">
      <c r="A270" t="s">
        <v>282</v>
      </c>
      <c r="B270" t="s">
        <v>631</v>
      </c>
      <c r="C270" t="s">
        <v>793</v>
      </c>
      <c r="D270">
        <v>1</v>
      </c>
      <c r="E270">
        <v>2011</v>
      </c>
      <c r="F270" s="1" t="s">
        <v>283</v>
      </c>
      <c r="H270">
        <v>1</v>
      </c>
      <c r="I270">
        <v>0</v>
      </c>
      <c r="J270">
        <v>1</v>
      </c>
      <c r="K270">
        <v>1</v>
      </c>
      <c r="P270" s="5">
        <v>41061</v>
      </c>
      <c r="Q270" s="5">
        <v>41609</v>
      </c>
      <c r="R270" s="4">
        <f t="shared" si="18"/>
        <v>7</v>
      </c>
      <c r="S270" t="str">
        <f t="shared" si="19"/>
        <v>Q2-2012</v>
      </c>
      <c r="T270" t="str">
        <f t="shared" si="20"/>
        <v>Q4-2013</v>
      </c>
      <c r="U270" t="s">
        <v>996</v>
      </c>
    </row>
    <row r="271" spans="1:21">
      <c r="A271" t="s">
        <v>282</v>
      </c>
      <c r="B271" t="s">
        <v>631</v>
      </c>
      <c r="C271" t="s">
        <v>793</v>
      </c>
      <c r="D271">
        <v>1</v>
      </c>
      <c r="E271">
        <v>2018</v>
      </c>
      <c r="F271" s="1" t="s">
        <v>283</v>
      </c>
      <c r="J271">
        <v>1</v>
      </c>
      <c r="P271" s="5">
        <v>43160</v>
      </c>
      <c r="Q271" s="5">
        <v>43617</v>
      </c>
      <c r="R271" s="4">
        <f t="shared" si="18"/>
        <v>6</v>
      </c>
      <c r="S271" t="str">
        <f t="shared" si="19"/>
        <v>Q1-2018</v>
      </c>
      <c r="T271" t="str">
        <f t="shared" si="20"/>
        <v>Q2-2019</v>
      </c>
      <c r="U271" t="s">
        <v>288</v>
      </c>
    </row>
    <row r="272" spans="1:21">
      <c r="A272" t="s">
        <v>286</v>
      </c>
      <c r="B272" t="s">
        <v>948</v>
      </c>
      <c r="C272" t="s">
        <v>729</v>
      </c>
      <c r="E272">
        <v>2013</v>
      </c>
      <c r="F272" s="1" t="s">
        <v>283</v>
      </c>
      <c r="H272">
        <v>1</v>
      </c>
      <c r="J272">
        <v>1</v>
      </c>
      <c r="K272">
        <v>1</v>
      </c>
      <c r="P272" s="5">
        <v>41487</v>
      </c>
      <c r="Q272" s="5">
        <v>41609</v>
      </c>
      <c r="R272" s="4">
        <f t="shared" si="18"/>
        <v>2</v>
      </c>
      <c r="S272" t="str">
        <f t="shared" si="19"/>
        <v>Q3-2013</v>
      </c>
      <c r="T272" t="str">
        <f t="shared" si="20"/>
        <v>Q4-2013</v>
      </c>
      <c r="U272" t="s">
        <v>873</v>
      </c>
    </row>
    <row r="273" spans="1:21">
      <c r="A273" t="s">
        <v>1076</v>
      </c>
      <c r="B273" t="s">
        <v>1077</v>
      </c>
      <c r="C273" t="s">
        <v>1088</v>
      </c>
      <c r="D273">
        <v>1</v>
      </c>
      <c r="E273">
        <v>2011</v>
      </c>
      <c r="F273" s="1" t="s">
        <v>161</v>
      </c>
      <c r="N273">
        <v>1</v>
      </c>
      <c r="P273" s="5">
        <v>40575</v>
      </c>
      <c r="Q273" s="5">
        <v>41124</v>
      </c>
      <c r="R273" s="4">
        <f t="shared" si="18"/>
        <v>7</v>
      </c>
      <c r="S273" t="str">
        <f t="shared" si="19"/>
        <v>Q1-2011</v>
      </c>
      <c r="T273" t="str">
        <f t="shared" si="20"/>
        <v>Q3-2012</v>
      </c>
      <c r="U273" t="s">
        <v>1097</v>
      </c>
    </row>
    <row r="274" spans="1:21">
      <c r="A274" t="s">
        <v>372</v>
      </c>
      <c r="E274">
        <v>2010</v>
      </c>
      <c r="F274" s="1" t="s">
        <v>161</v>
      </c>
      <c r="J274">
        <v>1</v>
      </c>
      <c r="L274">
        <v>1</v>
      </c>
      <c r="N274">
        <v>1</v>
      </c>
      <c r="P274" s="5">
        <v>40513</v>
      </c>
      <c r="Q274" s="5">
        <v>41913</v>
      </c>
      <c r="R274" s="4">
        <f t="shared" si="18"/>
        <v>16</v>
      </c>
      <c r="S274" t="str">
        <f t="shared" si="19"/>
        <v>Q4-2010</v>
      </c>
      <c r="T274" t="str">
        <f t="shared" si="20"/>
        <v>Q4-2014</v>
      </c>
      <c r="U274" t="s">
        <v>1033</v>
      </c>
    </row>
    <row r="275" spans="1:21">
      <c r="A275" t="s">
        <v>373</v>
      </c>
      <c r="E275">
        <v>2010</v>
      </c>
      <c r="F275" s="1" t="s">
        <v>161</v>
      </c>
      <c r="J275">
        <v>1</v>
      </c>
      <c r="K275">
        <v>1</v>
      </c>
      <c r="N275">
        <v>1</v>
      </c>
      <c r="P275" s="5">
        <v>40513</v>
      </c>
      <c r="Q275" s="5">
        <v>41244</v>
      </c>
      <c r="R275" s="4">
        <f t="shared" si="18"/>
        <v>9</v>
      </c>
      <c r="S275" t="str">
        <f t="shared" si="19"/>
        <v>Q4-2010</v>
      </c>
      <c r="T275" t="str">
        <f t="shared" si="20"/>
        <v>Q4-2012</v>
      </c>
      <c r="U275" t="s">
        <v>375</v>
      </c>
    </row>
    <row r="276" spans="1:21">
      <c r="A276" t="s">
        <v>374</v>
      </c>
      <c r="E276">
        <v>2010</v>
      </c>
      <c r="F276" s="1" t="s">
        <v>161</v>
      </c>
      <c r="I276">
        <v>1</v>
      </c>
      <c r="J276">
        <v>1</v>
      </c>
      <c r="K276">
        <v>1</v>
      </c>
      <c r="L276">
        <v>1</v>
      </c>
      <c r="N276">
        <v>1</v>
      </c>
      <c r="P276" s="5">
        <v>40238</v>
      </c>
      <c r="Q276" s="5">
        <v>41640</v>
      </c>
      <c r="R276" s="4">
        <f t="shared" si="18"/>
        <v>16</v>
      </c>
      <c r="S276" t="str">
        <f t="shared" si="19"/>
        <v>Q1-2010</v>
      </c>
      <c r="T276" t="str">
        <f t="shared" si="20"/>
        <v>Q1-2014</v>
      </c>
      <c r="U276" t="s">
        <v>985</v>
      </c>
    </row>
    <row r="277" spans="1:21">
      <c r="A277" t="s">
        <v>310</v>
      </c>
      <c r="B277" t="s">
        <v>949</v>
      </c>
      <c r="C277" t="s">
        <v>730</v>
      </c>
      <c r="D277">
        <v>1</v>
      </c>
      <c r="E277">
        <v>2011</v>
      </c>
      <c r="F277" s="1" t="s">
        <v>161</v>
      </c>
      <c r="J277">
        <v>1</v>
      </c>
      <c r="K277">
        <v>1</v>
      </c>
      <c r="L277">
        <v>1</v>
      </c>
      <c r="N277">
        <v>1</v>
      </c>
      <c r="P277" s="5">
        <v>40544</v>
      </c>
      <c r="Q277" s="5">
        <v>41306</v>
      </c>
      <c r="R277" s="4">
        <f t="shared" si="18"/>
        <v>9</v>
      </c>
      <c r="S277" t="str">
        <f t="shared" si="19"/>
        <v>Q1-2011</v>
      </c>
      <c r="T277" t="str">
        <f t="shared" si="20"/>
        <v>Q1-2013</v>
      </c>
      <c r="U277" t="s">
        <v>887</v>
      </c>
    </row>
    <row r="278" spans="1:21">
      <c r="A278" t="s">
        <v>1028</v>
      </c>
      <c r="E278">
        <v>2013</v>
      </c>
      <c r="F278" s="1" t="s">
        <v>161</v>
      </c>
      <c r="H278">
        <v>1</v>
      </c>
      <c r="P278" s="5">
        <v>41275</v>
      </c>
      <c r="Q278" s="5">
        <v>41609</v>
      </c>
      <c r="R278" s="4">
        <f t="shared" si="18"/>
        <v>4</v>
      </c>
      <c r="S278" t="str">
        <f t="shared" si="19"/>
        <v>Q1-2013</v>
      </c>
      <c r="T278" t="str">
        <f t="shared" si="20"/>
        <v>Q4-2013</v>
      </c>
      <c r="U278" t="s">
        <v>1031</v>
      </c>
    </row>
    <row r="279" spans="1:21">
      <c r="A279" t="s">
        <v>308</v>
      </c>
      <c r="E279">
        <v>2011</v>
      </c>
      <c r="F279" s="1" t="s">
        <v>161</v>
      </c>
      <c r="J279">
        <v>1</v>
      </c>
      <c r="N279">
        <v>1</v>
      </c>
      <c r="P279" s="5">
        <v>40848</v>
      </c>
      <c r="Q279" s="5">
        <v>41579</v>
      </c>
      <c r="R279" s="4">
        <f t="shared" si="18"/>
        <v>9</v>
      </c>
      <c r="S279" t="str">
        <f t="shared" si="19"/>
        <v>Q4-2011</v>
      </c>
      <c r="T279" t="str">
        <f t="shared" si="20"/>
        <v>Q4-2013</v>
      </c>
      <c r="U279" t="s">
        <v>376</v>
      </c>
    </row>
    <row r="280" spans="1:21">
      <c r="A280" t="s">
        <v>383</v>
      </c>
      <c r="B280" t="s">
        <v>810</v>
      </c>
      <c r="E280">
        <v>2010</v>
      </c>
      <c r="F280" s="1" t="s">
        <v>161</v>
      </c>
      <c r="J280">
        <v>1</v>
      </c>
      <c r="K280">
        <v>1</v>
      </c>
      <c r="L280">
        <v>1</v>
      </c>
      <c r="P280" s="5">
        <v>40330</v>
      </c>
      <c r="Q280" s="5">
        <v>41334</v>
      </c>
      <c r="R280" s="4">
        <f t="shared" si="18"/>
        <v>12</v>
      </c>
      <c r="S280" t="str">
        <f t="shared" si="19"/>
        <v>Q2-2010</v>
      </c>
      <c r="T280" t="str">
        <f t="shared" si="20"/>
        <v>Q1-2013</v>
      </c>
      <c r="U280" t="s">
        <v>377</v>
      </c>
    </row>
    <row r="281" spans="1:21">
      <c r="A281" t="s">
        <v>1078</v>
      </c>
      <c r="B281" t="s">
        <v>1079</v>
      </c>
      <c r="C281" t="s">
        <v>1089</v>
      </c>
      <c r="D281">
        <v>1</v>
      </c>
      <c r="E281">
        <v>2011</v>
      </c>
      <c r="F281" s="1" t="s">
        <v>161</v>
      </c>
      <c r="N281">
        <v>1</v>
      </c>
      <c r="P281" s="5">
        <v>40817</v>
      </c>
      <c r="Q281" s="5">
        <v>41214</v>
      </c>
      <c r="R281" s="4">
        <f t="shared" si="18"/>
        <v>5</v>
      </c>
      <c r="S281" t="str">
        <f t="shared" si="19"/>
        <v>Q4-2011</v>
      </c>
      <c r="T281" t="str">
        <f t="shared" si="20"/>
        <v>Q4-2012</v>
      </c>
      <c r="U281" t="s">
        <v>1096</v>
      </c>
    </row>
    <row r="282" spans="1:21">
      <c r="A282" t="s">
        <v>160</v>
      </c>
      <c r="B282" t="s">
        <v>950</v>
      </c>
      <c r="C282" t="s">
        <v>731</v>
      </c>
      <c r="D282">
        <v>1</v>
      </c>
      <c r="E282">
        <v>2017</v>
      </c>
      <c r="F282" s="1" t="s">
        <v>161</v>
      </c>
      <c r="I282">
        <v>1</v>
      </c>
      <c r="N282">
        <v>1</v>
      </c>
      <c r="P282" s="5">
        <v>42887</v>
      </c>
      <c r="Q282" s="5">
        <v>43344</v>
      </c>
      <c r="R282" s="4">
        <f t="shared" si="18"/>
        <v>6</v>
      </c>
      <c r="S282" t="str">
        <f t="shared" si="19"/>
        <v>Q2-2017</v>
      </c>
      <c r="T282" t="str">
        <f t="shared" si="20"/>
        <v>Q3-2018</v>
      </c>
      <c r="U282" t="s">
        <v>392</v>
      </c>
    </row>
    <row r="283" spans="1:21">
      <c r="A283" t="s">
        <v>418</v>
      </c>
      <c r="B283" t="s">
        <v>632</v>
      </c>
      <c r="C283" t="s">
        <v>794</v>
      </c>
      <c r="D283">
        <v>1</v>
      </c>
      <c r="E283">
        <v>2011</v>
      </c>
      <c r="F283" s="1" t="s">
        <v>161</v>
      </c>
      <c r="J283">
        <v>1</v>
      </c>
      <c r="P283" s="5">
        <v>40878</v>
      </c>
      <c r="Q283" s="5">
        <v>40878</v>
      </c>
      <c r="R283" s="4">
        <f t="shared" si="18"/>
        <v>1</v>
      </c>
      <c r="S283" t="str">
        <f t="shared" si="19"/>
        <v>Q4-2011</v>
      </c>
      <c r="T283" t="str">
        <f t="shared" si="20"/>
        <v>Q4-2011</v>
      </c>
      <c r="U283" t="s">
        <v>419</v>
      </c>
    </row>
    <row r="284" spans="1:21">
      <c r="A284" t="s">
        <v>378</v>
      </c>
      <c r="B284" t="s">
        <v>633</v>
      </c>
      <c r="C284" t="s">
        <v>795</v>
      </c>
      <c r="D284">
        <v>1</v>
      </c>
      <c r="E284">
        <v>2010</v>
      </c>
      <c r="F284" s="1" t="s">
        <v>161</v>
      </c>
      <c r="J284">
        <v>1</v>
      </c>
      <c r="P284" s="5">
        <v>40330</v>
      </c>
      <c r="Q284" s="5">
        <v>40330</v>
      </c>
      <c r="R284" s="4">
        <f t="shared" si="18"/>
        <v>1</v>
      </c>
      <c r="S284" t="str">
        <f t="shared" si="19"/>
        <v>Q2-2010</v>
      </c>
      <c r="T284" t="str">
        <f t="shared" si="20"/>
        <v>Q2-2010</v>
      </c>
      <c r="U284" t="s">
        <v>874</v>
      </c>
    </row>
    <row r="285" spans="1:21">
      <c r="A285" t="s">
        <v>378</v>
      </c>
      <c r="B285" t="s">
        <v>633</v>
      </c>
      <c r="C285" t="s">
        <v>795</v>
      </c>
      <c r="D285">
        <v>1</v>
      </c>
      <c r="E285">
        <v>2012</v>
      </c>
      <c r="F285" s="1" t="s">
        <v>161</v>
      </c>
      <c r="J285">
        <v>1</v>
      </c>
      <c r="K285">
        <v>1</v>
      </c>
      <c r="P285" s="5">
        <v>41030</v>
      </c>
      <c r="Q285" s="5">
        <v>41275</v>
      </c>
      <c r="R285" s="4">
        <v>4</v>
      </c>
      <c r="S285" t="str">
        <f t="shared" si="19"/>
        <v>Q2-2012</v>
      </c>
      <c r="T285" t="str">
        <f t="shared" si="20"/>
        <v>Q1-2013</v>
      </c>
      <c r="U285" t="s">
        <v>875</v>
      </c>
    </row>
    <row r="286" spans="1:21">
      <c r="A286" t="s">
        <v>415</v>
      </c>
      <c r="B286" t="s">
        <v>634</v>
      </c>
      <c r="C286" t="s">
        <v>796</v>
      </c>
      <c r="D286">
        <v>1</v>
      </c>
      <c r="E286">
        <v>2010</v>
      </c>
      <c r="F286" s="1" t="s">
        <v>161</v>
      </c>
      <c r="J286">
        <v>1</v>
      </c>
      <c r="P286" s="5">
        <v>40269</v>
      </c>
      <c r="Q286" s="5">
        <v>40269</v>
      </c>
      <c r="R286" s="4">
        <f t="shared" ref="R286:R310" si="21">FLOOR(((YEAR(Q286)*12+MONTH(Q286))-(YEAR(P286)*12+MONTH(P286)))/3,1)+1</f>
        <v>1</v>
      </c>
      <c r="S286" t="str">
        <f t="shared" si="19"/>
        <v>Q2-2010</v>
      </c>
      <c r="T286" t="str">
        <f t="shared" si="20"/>
        <v>Q2-2010</v>
      </c>
      <c r="U286" t="s">
        <v>416</v>
      </c>
    </row>
    <row r="287" spans="1:21">
      <c r="A287" t="s">
        <v>415</v>
      </c>
      <c r="B287" t="s">
        <v>634</v>
      </c>
      <c r="C287" t="s">
        <v>796</v>
      </c>
      <c r="D287">
        <v>1</v>
      </c>
      <c r="E287">
        <v>2011</v>
      </c>
      <c r="F287" s="1" t="s">
        <v>161</v>
      </c>
      <c r="J287">
        <v>1</v>
      </c>
      <c r="P287" s="5">
        <v>40575</v>
      </c>
      <c r="Q287" s="5">
        <v>40575</v>
      </c>
      <c r="R287" s="4">
        <f t="shared" si="21"/>
        <v>1</v>
      </c>
      <c r="S287" t="str">
        <f t="shared" si="19"/>
        <v>Q1-2011</v>
      </c>
      <c r="T287" t="str">
        <f t="shared" si="20"/>
        <v>Q1-2011</v>
      </c>
      <c r="U287" t="s">
        <v>1066</v>
      </c>
    </row>
    <row r="288" spans="1:21">
      <c r="A288" t="s">
        <v>306</v>
      </c>
      <c r="E288">
        <v>2009</v>
      </c>
      <c r="F288" s="1" t="s">
        <v>161</v>
      </c>
      <c r="J288">
        <v>1</v>
      </c>
      <c r="L288">
        <v>1</v>
      </c>
      <c r="N288">
        <v>1</v>
      </c>
      <c r="P288" s="5">
        <v>39722</v>
      </c>
      <c r="Q288" s="5">
        <v>40452</v>
      </c>
      <c r="R288" s="4">
        <f t="shared" si="21"/>
        <v>9</v>
      </c>
      <c r="S288" t="str">
        <f t="shared" si="19"/>
        <v>Q4-2008</v>
      </c>
      <c r="T288" t="str">
        <f t="shared" si="20"/>
        <v>Q4-2010</v>
      </c>
      <c r="U288" t="s">
        <v>379</v>
      </c>
    </row>
    <row r="289" spans="1:21">
      <c r="A289" t="s">
        <v>417</v>
      </c>
      <c r="B289" t="s">
        <v>653</v>
      </c>
      <c r="C289" t="s">
        <v>797</v>
      </c>
      <c r="E289">
        <v>2011</v>
      </c>
      <c r="F289" s="1" t="s">
        <v>161</v>
      </c>
      <c r="K289">
        <v>1</v>
      </c>
      <c r="N289">
        <v>1</v>
      </c>
      <c r="P289" s="5">
        <v>40544</v>
      </c>
      <c r="Q289" s="5">
        <v>41061</v>
      </c>
      <c r="R289" s="4">
        <f t="shared" si="21"/>
        <v>6</v>
      </c>
      <c r="S289" t="str">
        <f t="shared" si="19"/>
        <v>Q1-2011</v>
      </c>
      <c r="T289" t="str">
        <f t="shared" si="20"/>
        <v>Q2-2012</v>
      </c>
      <c r="U289" t="s">
        <v>888</v>
      </c>
    </row>
    <row r="290" spans="1:21">
      <c r="A290" t="s">
        <v>410</v>
      </c>
      <c r="E290">
        <v>2013</v>
      </c>
      <c r="F290" s="1" t="s">
        <v>161</v>
      </c>
      <c r="N290">
        <v>1</v>
      </c>
      <c r="P290" s="5">
        <v>41609</v>
      </c>
      <c r="Q290" s="5">
        <v>41730</v>
      </c>
      <c r="R290" s="4">
        <f t="shared" si="21"/>
        <v>2</v>
      </c>
      <c r="S290" t="str">
        <f t="shared" si="19"/>
        <v>Q4-2013</v>
      </c>
      <c r="T290" t="str">
        <f t="shared" si="20"/>
        <v>Q2-2014</v>
      </c>
      <c r="U290" t="s">
        <v>411</v>
      </c>
    </row>
    <row r="291" spans="1:21">
      <c r="A291" t="s">
        <v>381</v>
      </c>
      <c r="E291">
        <v>2009</v>
      </c>
      <c r="F291" s="1" t="s">
        <v>161</v>
      </c>
      <c r="J291">
        <v>1</v>
      </c>
      <c r="L291">
        <v>1</v>
      </c>
      <c r="N291">
        <v>1</v>
      </c>
      <c r="P291" s="5">
        <v>39995</v>
      </c>
      <c r="Q291" s="5">
        <v>40360</v>
      </c>
      <c r="R291" s="4">
        <f t="shared" si="21"/>
        <v>5</v>
      </c>
      <c r="S291" t="str">
        <f t="shared" si="19"/>
        <v>Q3-2009</v>
      </c>
      <c r="T291" t="str">
        <f t="shared" si="20"/>
        <v>Q3-2010</v>
      </c>
      <c r="U291" t="s">
        <v>380</v>
      </c>
    </row>
    <row r="292" spans="1:21">
      <c r="A292" t="s">
        <v>309</v>
      </c>
      <c r="E292">
        <v>2008</v>
      </c>
      <c r="F292" s="1" t="s">
        <v>161</v>
      </c>
      <c r="I292">
        <v>1</v>
      </c>
      <c r="J292">
        <v>1</v>
      </c>
      <c r="L292">
        <v>1</v>
      </c>
      <c r="N292">
        <v>1</v>
      </c>
      <c r="P292" s="5">
        <v>39722</v>
      </c>
      <c r="Q292" s="5">
        <v>41821</v>
      </c>
      <c r="R292" s="4">
        <f t="shared" si="21"/>
        <v>24</v>
      </c>
      <c r="S292" t="str">
        <f t="shared" si="19"/>
        <v>Q4-2008</v>
      </c>
      <c r="T292" t="str">
        <f t="shared" si="20"/>
        <v>Q3-2014</v>
      </c>
      <c r="U292" t="s">
        <v>987</v>
      </c>
    </row>
    <row r="293" spans="1:21">
      <c r="A293" t="s">
        <v>1032</v>
      </c>
      <c r="E293">
        <v>2012</v>
      </c>
      <c r="F293" s="1" t="s">
        <v>161</v>
      </c>
      <c r="H293">
        <v>1</v>
      </c>
      <c r="P293" s="5">
        <v>40909</v>
      </c>
      <c r="Q293" s="5">
        <v>41244</v>
      </c>
      <c r="R293" s="4">
        <f t="shared" si="21"/>
        <v>4</v>
      </c>
      <c r="S293" t="str">
        <f t="shared" si="19"/>
        <v>Q1-2012</v>
      </c>
      <c r="T293" t="str">
        <f t="shared" si="20"/>
        <v>Q4-2012</v>
      </c>
      <c r="U293" t="s">
        <v>1031</v>
      </c>
    </row>
    <row r="294" spans="1:21">
      <c r="A294" t="s">
        <v>307</v>
      </c>
      <c r="B294" t="s">
        <v>635</v>
      </c>
      <c r="C294" t="s">
        <v>798</v>
      </c>
      <c r="D294">
        <v>1</v>
      </c>
      <c r="E294">
        <v>2012</v>
      </c>
      <c r="F294" s="1" t="s">
        <v>161</v>
      </c>
      <c r="I294">
        <v>0</v>
      </c>
      <c r="J294">
        <v>1</v>
      </c>
      <c r="L294">
        <v>1</v>
      </c>
      <c r="N294">
        <v>1</v>
      </c>
      <c r="P294" s="5">
        <v>40695</v>
      </c>
      <c r="Q294" s="5">
        <v>41214</v>
      </c>
      <c r="R294" s="4">
        <f t="shared" si="21"/>
        <v>6</v>
      </c>
      <c r="S294" t="str">
        <f t="shared" si="19"/>
        <v>Q2-2011</v>
      </c>
      <c r="T294" t="str">
        <f t="shared" si="20"/>
        <v>Q4-2012</v>
      </c>
      <c r="U294" t="s">
        <v>989</v>
      </c>
    </row>
    <row r="295" spans="1:21">
      <c r="A295" t="s">
        <v>991</v>
      </c>
      <c r="B295" t="s">
        <v>990</v>
      </c>
      <c r="C295" t="s">
        <v>995</v>
      </c>
      <c r="E295">
        <v>2010</v>
      </c>
      <c r="F295" s="1" t="s">
        <v>161</v>
      </c>
      <c r="J295">
        <v>1</v>
      </c>
      <c r="L295">
        <v>1</v>
      </c>
      <c r="P295" s="5">
        <v>40330</v>
      </c>
      <c r="Q295" s="5">
        <v>40787</v>
      </c>
      <c r="R295" s="4">
        <f t="shared" si="21"/>
        <v>6</v>
      </c>
      <c r="S295" t="str">
        <f t="shared" si="19"/>
        <v>Q2-2010</v>
      </c>
      <c r="T295" t="str">
        <f t="shared" si="20"/>
        <v>Q3-2011</v>
      </c>
      <c r="U295" t="s">
        <v>992</v>
      </c>
    </row>
    <row r="296" spans="1:21">
      <c r="A296" t="s">
        <v>991</v>
      </c>
      <c r="B296" t="s">
        <v>990</v>
      </c>
      <c r="C296" t="s">
        <v>995</v>
      </c>
      <c r="E296">
        <v>2012</v>
      </c>
      <c r="F296" s="1" t="s">
        <v>161</v>
      </c>
      <c r="I296">
        <v>1</v>
      </c>
      <c r="J296">
        <v>1</v>
      </c>
      <c r="P296" s="5">
        <v>41214</v>
      </c>
      <c r="Q296" s="5">
        <v>41334</v>
      </c>
      <c r="R296" s="4">
        <f t="shared" si="21"/>
        <v>2</v>
      </c>
      <c r="S296" t="str">
        <f t="shared" si="19"/>
        <v>Q4-2012</v>
      </c>
      <c r="T296" t="str">
        <f t="shared" si="20"/>
        <v>Q1-2013</v>
      </c>
      <c r="U296" t="s">
        <v>993</v>
      </c>
    </row>
    <row r="297" spans="1:21">
      <c r="A297" t="s">
        <v>991</v>
      </c>
      <c r="B297" t="s">
        <v>990</v>
      </c>
      <c r="C297" t="s">
        <v>995</v>
      </c>
      <c r="E297">
        <v>2014</v>
      </c>
      <c r="F297" s="1" t="s">
        <v>161</v>
      </c>
      <c r="N297">
        <v>1</v>
      </c>
      <c r="P297" s="5">
        <v>41821</v>
      </c>
      <c r="Q297" s="5">
        <v>41974</v>
      </c>
      <c r="R297" s="4">
        <f t="shared" si="21"/>
        <v>2</v>
      </c>
      <c r="S297" t="str">
        <f t="shared" si="19"/>
        <v>Q3-2014</v>
      </c>
      <c r="T297" t="str">
        <f t="shared" si="20"/>
        <v>Q4-2014</v>
      </c>
      <c r="U297" t="s">
        <v>994</v>
      </c>
    </row>
    <row r="298" spans="1:21">
      <c r="A298" t="s">
        <v>384</v>
      </c>
      <c r="E298">
        <v>2010</v>
      </c>
      <c r="F298" s="1" t="s">
        <v>161</v>
      </c>
      <c r="J298">
        <v>1</v>
      </c>
      <c r="L298">
        <v>1</v>
      </c>
      <c r="N298">
        <v>1</v>
      </c>
      <c r="P298" s="5">
        <v>40238</v>
      </c>
      <c r="Q298" s="5">
        <v>41395</v>
      </c>
      <c r="R298" s="4">
        <f t="shared" si="21"/>
        <v>13</v>
      </c>
      <c r="S298" t="str">
        <f t="shared" si="19"/>
        <v>Q1-2010</v>
      </c>
      <c r="T298" t="str">
        <f t="shared" si="20"/>
        <v>Q2-2013</v>
      </c>
      <c r="U298" t="s">
        <v>385</v>
      </c>
    </row>
    <row r="299" spans="1:21">
      <c r="A299" t="s">
        <v>1038</v>
      </c>
      <c r="B299" t="s">
        <v>951</v>
      </c>
      <c r="C299" t="s">
        <v>732</v>
      </c>
      <c r="E299">
        <v>2008</v>
      </c>
      <c r="F299" s="1" t="s">
        <v>395</v>
      </c>
      <c r="K299">
        <v>1</v>
      </c>
      <c r="N299">
        <v>1</v>
      </c>
      <c r="P299" s="5">
        <v>39722</v>
      </c>
      <c r="Q299" s="5">
        <v>39934</v>
      </c>
      <c r="R299" s="4">
        <f t="shared" si="21"/>
        <v>3</v>
      </c>
      <c r="S299" t="str">
        <f t="shared" si="19"/>
        <v>Q4-2008</v>
      </c>
      <c r="T299" t="str">
        <f t="shared" si="20"/>
        <v>Q2-2009</v>
      </c>
      <c r="U299" t="s">
        <v>422</v>
      </c>
    </row>
    <row r="300" spans="1:21">
      <c r="A300" t="s">
        <v>421</v>
      </c>
      <c r="B300" t="s">
        <v>952</v>
      </c>
      <c r="C300" t="s">
        <v>734</v>
      </c>
      <c r="E300">
        <v>2010</v>
      </c>
      <c r="F300" s="1" t="s">
        <v>395</v>
      </c>
      <c r="I300">
        <v>1</v>
      </c>
      <c r="N300">
        <v>1</v>
      </c>
      <c r="P300" s="5">
        <v>40299</v>
      </c>
      <c r="Q300" s="5">
        <v>40422</v>
      </c>
      <c r="R300" s="4">
        <f t="shared" si="21"/>
        <v>2</v>
      </c>
      <c r="S300" t="str">
        <f t="shared" si="19"/>
        <v>Q2-2010</v>
      </c>
      <c r="T300" t="str">
        <f t="shared" si="20"/>
        <v>Q3-2010</v>
      </c>
      <c r="U300" t="s">
        <v>427</v>
      </c>
    </row>
    <row r="301" spans="1:21">
      <c r="A301" t="s">
        <v>424</v>
      </c>
      <c r="B301" t="s">
        <v>953</v>
      </c>
      <c r="C301" t="s">
        <v>733</v>
      </c>
      <c r="D301">
        <v>1</v>
      </c>
      <c r="E301">
        <v>2008</v>
      </c>
      <c r="F301" s="1" t="s">
        <v>395</v>
      </c>
      <c r="L301">
        <v>1</v>
      </c>
      <c r="P301" s="5">
        <v>39722</v>
      </c>
      <c r="Q301" s="5">
        <v>39722</v>
      </c>
      <c r="R301" s="4">
        <f t="shared" si="21"/>
        <v>1</v>
      </c>
      <c r="S301" t="str">
        <f t="shared" si="19"/>
        <v>Q4-2008</v>
      </c>
      <c r="T301" t="str">
        <f t="shared" si="20"/>
        <v>Q4-2008</v>
      </c>
      <c r="U301" t="s">
        <v>170</v>
      </c>
    </row>
    <row r="302" spans="1:21" ht="19" customHeight="1">
      <c r="A302" t="s">
        <v>399</v>
      </c>
      <c r="E302">
        <v>2008</v>
      </c>
      <c r="F302" s="1" t="s">
        <v>395</v>
      </c>
      <c r="J302">
        <v>1</v>
      </c>
      <c r="K302">
        <v>1</v>
      </c>
      <c r="N302">
        <v>1</v>
      </c>
      <c r="P302" s="5">
        <v>39722</v>
      </c>
      <c r="Q302" s="5">
        <v>39934</v>
      </c>
      <c r="R302" s="4">
        <f t="shared" si="21"/>
        <v>3</v>
      </c>
      <c r="S302" t="str">
        <f t="shared" si="19"/>
        <v>Q4-2008</v>
      </c>
      <c r="T302" t="str">
        <f t="shared" si="20"/>
        <v>Q2-2009</v>
      </c>
      <c r="U302" t="s">
        <v>423</v>
      </c>
    </row>
    <row r="303" spans="1:21">
      <c r="A303" t="s">
        <v>430</v>
      </c>
      <c r="B303" t="s">
        <v>636</v>
      </c>
      <c r="C303" t="s">
        <v>799</v>
      </c>
      <c r="D303">
        <v>1</v>
      </c>
      <c r="E303">
        <v>2009</v>
      </c>
      <c r="F303" s="1" t="s">
        <v>395</v>
      </c>
      <c r="L303">
        <v>1</v>
      </c>
      <c r="P303" s="5">
        <v>39904</v>
      </c>
      <c r="Q303" s="5">
        <v>40087</v>
      </c>
      <c r="R303" s="4">
        <f t="shared" si="21"/>
        <v>3</v>
      </c>
      <c r="S303" t="str">
        <f t="shared" si="19"/>
        <v>Q2-2009</v>
      </c>
      <c r="T303" t="str">
        <f t="shared" si="20"/>
        <v>Q4-2009</v>
      </c>
      <c r="U303" t="s">
        <v>433</v>
      </c>
    </row>
    <row r="304" spans="1:21" ht="16" customHeight="1">
      <c r="A304" t="s">
        <v>432</v>
      </c>
      <c r="E304">
        <v>2009</v>
      </c>
      <c r="F304" s="1" t="s">
        <v>395</v>
      </c>
      <c r="L304">
        <v>1</v>
      </c>
      <c r="N304">
        <v>1</v>
      </c>
      <c r="P304" s="5">
        <v>39904</v>
      </c>
      <c r="Q304" s="5">
        <v>40483</v>
      </c>
      <c r="R304" s="4">
        <f t="shared" si="21"/>
        <v>7</v>
      </c>
      <c r="S304" t="str">
        <f t="shared" si="19"/>
        <v>Q2-2009</v>
      </c>
      <c r="T304" t="str">
        <f t="shared" si="20"/>
        <v>Q4-2010</v>
      </c>
      <c r="U304" t="s">
        <v>434</v>
      </c>
    </row>
    <row r="305" spans="1:22">
      <c r="A305" t="s">
        <v>431</v>
      </c>
      <c r="E305">
        <v>2009</v>
      </c>
      <c r="F305" s="1" t="s">
        <v>395</v>
      </c>
      <c r="L305">
        <v>1</v>
      </c>
      <c r="P305" s="5">
        <v>39722</v>
      </c>
      <c r="Q305" s="5">
        <v>39845</v>
      </c>
      <c r="R305" s="4">
        <f t="shared" si="21"/>
        <v>2</v>
      </c>
      <c r="S305" t="str">
        <f t="shared" si="19"/>
        <v>Q4-2008</v>
      </c>
      <c r="T305" t="str">
        <f t="shared" si="20"/>
        <v>Q1-2009</v>
      </c>
      <c r="U305" t="s">
        <v>170</v>
      </c>
    </row>
    <row r="306" spans="1:22">
      <c r="A306" t="s">
        <v>396</v>
      </c>
      <c r="B306" t="s">
        <v>637</v>
      </c>
      <c r="C306" t="s">
        <v>800</v>
      </c>
      <c r="D306">
        <v>1</v>
      </c>
      <c r="E306">
        <v>2008</v>
      </c>
      <c r="F306" s="1" t="s">
        <v>395</v>
      </c>
      <c r="L306">
        <v>1</v>
      </c>
      <c r="P306" s="5">
        <v>39722</v>
      </c>
      <c r="Q306" s="5">
        <v>39722</v>
      </c>
      <c r="R306" s="4">
        <f t="shared" si="21"/>
        <v>1</v>
      </c>
      <c r="S306" t="str">
        <f t="shared" si="19"/>
        <v>Q4-2008</v>
      </c>
      <c r="T306" t="str">
        <f t="shared" si="20"/>
        <v>Q4-2008</v>
      </c>
      <c r="U306" t="s">
        <v>170</v>
      </c>
    </row>
    <row r="307" spans="1:22">
      <c r="A307" t="s">
        <v>397</v>
      </c>
      <c r="E307">
        <v>2008</v>
      </c>
      <c r="F307" s="1" t="s">
        <v>395</v>
      </c>
      <c r="L307">
        <v>1</v>
      </c>
      <c r="P307" s="5">
        <v>39722</v>
      </c>
      <c r="Q307" s="5">
        <v>39722</v>
      </c>
      <c r="R307" s="4">
        <f t="shared" si="21"/>
        <v>1</v>
      </c>
      <c r="S307" t="str">
        <f t="shared" si="19"/>
        <v>Q4-2008</v>
      </c>
      <c r="T307" t="str">
        <f t="shared" si="20"/>
        <v>Q4-2008</v>
      </c>
      <c r="U307" t="s">
        <v>170</v>
      </c>
    </row>
    <row r="308" spans="1:22">
      <c r="A308" t="s">
        <v>398</v>
      </c>
      <c r="E308">
        <v>2008</v>
      </c>
      <c r="F308" s="1" t="s">
        <v>395</v>
      </c>
      <c r="L308">
        <v>1</v>
      </c>
      <c r="P308" s="5">
        <v>39508</v>
      </c>
      <c r="Q308" s="5">
        <v>39508</v>
      </c>
      <c r="R308" s="4">
        <f t="shared" si="21"/>
        <v>1</v>
      </c>
      <c r="S308" t="str">
        <f t="shared" si="19"/>
        <v>Q1-2008</v>
      </c>
      <c r="T308" t="str">
        <f t="shared" si="20"/>
        <v>Q1-2008</v>
      </c>
      <c r="U308" t="s">
        <v>1070</v>
      </c>
    </row>
    <row r="309" spans="1:22">
      <c r="A309" t="s">
        <v>487</v>
      </c>
      <c r="B309" t="s">
        <v>638</v>
      </c>
      <c r="C309" t="s">
        <v>801</v>
      </c>
      <c r="D309">
        <v>1</v>
      </c>
      <c r="E309">
        <v>2008</v>
      </c>
      <c r="F309" s="1" t="s">
        <v>461</v>
      </c>
      <c r="M309">
        <v>1</v>
      </c>
      <c r="P309" s="5">
        <v>39722</v>
      </c>
      <c r="Q309" s="5">
        <v>39722</v>
      </c>
      <c r="R309" s="4">
        <f t="shared" si="21"/>
        <v>1</v>
      </c>
      <c r="S309" t="str">
        <f t="shared" si="19"/>
        <v>Q4-2008</v>
      </c>
      <c r="T309" t="str">
        <f t="shared" si="20"/>
        <v>Q4-2008</v>
      </c>
      <c r="U309" t="s">
        <v>488</v>
      </c>
    </row>
    <row r="310" spans="1:22">
      <c r="A310" t="s">
        <v>483</v>
      </c>
      <c r="B310" t="s">
        <v>639</v>
      </c>
      <c r="C310" t="s">
        <v>802</v>
      </c>
      <c r="D310">
        <v>1</v>
      </c>
      <c r="E310">
        <v>2008</v>
      </c>
      <c r="F310" s="1" t="s">
        <v>461</v>
      </c>
      <c r="J310">
        <v>1</v>
      </c>
      <c r="P310" s="5">
        <v>39539</v>
      </c>
      <c r="Q310" s="5">
        <v>39722</v>
      </c>
      <c r="R310" s="4">
        <f t="shared" si="21"/>
        <v>3</v>
      </c>
      <c r="S310" t="str">
        <f t="shared" si="19"/>
        <v>Q2-2008</v>
      </c>
      <c r="T310" t="str">
        <f t="shared" si="20"/>
        <v>Q4-2008</v>
      </c>
      <c r="U310" t="s">
        <v>485</v>
      </c>
    </row>
    <row r="311" spans="1:22">
      <c r="A311" t="s">
        <v>581</v>
      </c>
      <c r="B311" t="s">
        <v>954</v>
      </c>
      <c r="C311" t="s">
        <v>735</v>
      </c>
      <c r="D311">
        <v>1</v>
      </c>
      <c r="E311">
        <v>2007</v>
      </c>
      <c r="F311" s="1" t="s">
        <v>438</v>
      </c>
      <c r="J311">
        <v>1</v>
      </c>
      <c r="P311" s="5">
        <v>39387</v>
      </c>
      <c r="Q311" s="5">
        <v>39722</v>
      </c>
      <c r="R311" s="4">
        <v>5</v>
      </c>
      <c r="S311" t="str">
        <f t="shared" si="19"/>
        <v>Q4-2007</v>
      </c>
      <c r="T311" t="str">
        <f t="shared" si="20"/>
        <v>Q4-2008</v>
      </c>
      <c r="U311" t="s">
        <v>879</v>
      </c>
    </row>
    <row r="312" spans="1:22">
      <c r="A312" t="s">
        <v>581</v>
      </c>
      <c r="B312" t="s">
        <v>954</v>
      </c>
      <c r="C312" t="s">
        <v>735</v>
      </c>
      <c r="D312">
        <v>1</v>
      </c>
      <c r="E312">
        <v>2007</v>
      </c>
      <c r="F312" s="1" t="s">
        <v>438</v>
      </c>
      <c r="N312">
        <v>1</v>
      </c>
      <c r="P312" s="5">
        <v>40299</v>
      </c>
      <c r="Q312" s="5">
        <v>40299</v>
      </c>
      <c r="R312" s="4">
        <f>FLOOR(((YEAR(Q312)*12+MONTH(Q312))-(YEAR(P312)*12+MONTH(P312)))/3,1)+1</f>
        <v>1</v>
      </c>
      <c r="S312" t="str">
        <f t="shared" si="19"/>
        <v>Q2-2010</v>
      </c>
      <c r="T312" t="str">
        <f t="shared" si="20"/>
        <v>Q2-2010</v>
      </c>
      <c r="U312" t="s">
        <v>878</v>
      </c>
    </row>
    <row r="313" spans="1:22">
      <c r="A313" t="s">
        <v>477</v>
      </c>
      <c r="B313" t="s">
        <v>955</v>
      </c>
      <c r="C313" t="s">
        <v>736</v>
      </c>
      <c r="D313">
        <v>1</v>
      </c>
      <c r="E313">
        <v>2008</v>
      </c>
      <c r="F313" s="1" t="s">
        <v>438</v>
      </c>
      <c r="L313">
        <v>1</v>
      </c>
      <c r="P313" s="5">
        <v>39722</v>
      </c>
      <c r="Q313" s="5">
        <v>39722</v>
      </c>
      <c r="R313" s="4">
        <f>FLOOR(((YEAR(Q313)*12+MONTH(Q313))-(YEAR(P313)*12+MONTH(P313)))/3,1)+1</f>
        <v>1</v>
      </c>
      <c r="S313" t="str">
        <f t="shared" si="19"/>
        <v>Q4-2008</v>
      </c>
      <c r="T313" t="str">
        <f t="shared" si="20"/>
        <v>Q4-2008</v>
      </c>
      <c r="U313" t="s">
        <v>170</v>
      </c>
      <c r="V313" t="s">
        <v>482</v>
      </c>
    </row>
    <row r="314" spans="1:22">
      <c r="A314" t="s">
        <v>469</v>
      </c>
      <c r="B314" t="s">
        <v>640</v>
      </c>
      <c r="C314" t="s">
        <v>803</v>
      </c>
      <c r="D314">
        <v>1</v>
      </c>
      <c r="E314">
        <v>2008</v>
      </c>
      <c r="F314" s="1" t="s">
        <v>438</v>
      </c>
      <c r="L314">
        <v>1</v>
      </c>
      <c r="P314" s="5">
        <v>39722</v>
      </c>
      <c r="Q314" s="5">
        <v>39722</v>
      </c>
      <c r="R314" s="4">
        <f>FLOOR(((YEAR(Q314)*12+MONTH(Q314))-(YEAR(P314)*12+MONTH(P314)))/3,1)+1</f>
        <v>1</v>
      </c>
      <c r="S314" t="str">
        <f t="shared" si="19"/>
        <v>Q4-2008</v>
      </c>
      <c r="T314" t="str">
        <f t="shared" si="20"/>
        <v>Q4-2008</v>
      </c>
      <c r="U314" t="s">
        <v>876</v>
      </c>
    </row>
    <row r="315" spans="1:22">
      <c r="A315" t="s">
        <v>569</v>
      </c>
      <c r="E315">
        <v>2008</v>
      </c>
      <c r="F315" s="1" t="s">
        <v>438</v>
      </c>
      <c r="N315">
        <v>1</v>
      </c>
      <c r="P315" s="5">
        <v>39722</v>
      </c>
      <c r="Q315" s="5">
        <v>39783</v>
      </c>
      <c r="R315" s="4">
        <f>FLOOR(((YEAR(Q315)*12+MONTH(Q315))-(YEAR(P315)*12+MONTH(P315)))/3,1)+1</f>
        <v>1</v>
      </c>
      <c r="S315" t="str">
        <f t="shared" si="19"/>
        <v>Q4-2008</v>
      </c>
      <c r="T315" t="str">
        <f t="shared" si="20"/>
        <v>Q4-2008</v>
      </c>
      <c r="U315" t="s">
        <v>570</v>
      </c>
    </row>
    <row r="316" spans="1:22">
      <c r="A316" t="s">
        <v>437</v>
      </c>
      <c r="B316" t="s">
        <v>956</v>
      </c>
      <c r="C316" t="s">
        <v>737</v>
      </c>
      <c r="D316">
        <v>1</v>
      </c>
      <c r="E316">
        <v>2008</v>
      </c>
      <c r="F316" s="1" t="s">
        <v>438</v>
      </c>
      <c r="I316">
        <v>0</v>
      </c>
      <c r="J316">
        <v>1</v>
      </c>
      <c r="K316">
        <v>1</v>
      </c>
      <c r="N316">
        <v>1</v>
      </c>
      <c r="P316" s="5">
        <v>39600</v>
      </c>
      <c r="Q316" s="5">
        <v>39873</v>
      </c>
      <c r="R316" s="4">
        <v>3</v>
      </c>
      <c r="S316" t="str">
        <f t="shared" si="19"/>
        <v>Q2-2008</v>
      </c>
      <c r="T316" t="str">
        <f t="shared" si="20"/>
        <v>Q1-2009</v>
      </c>
      <c r="U316" t="s">
        <v>1109</v>
      </c>
      <c r="V316"/>
    </row>
    <row r="317" spans="1:22">
      <c r="A317" t="s">
        <v>1062</v>
      </c>
      <c r="B317" t="s">
        <v>1016</v>
      </c>
      <c r="C317" t="s">
        <v>1017</v>
      </c>
      <c r="D317">
        <v>1</v>
      </c>
      <c r="E317">
        <v>2009</v>
      </c>
      <c r="F317" s="1" t="s">
        <v>438</v>
      </c>
      <c r="I317">
        <v>0</v>
      </c>
      <c r="N317">
        <v>1</v>
      </c>
      <c r="P317" s="5">
        <v>39873</v>
      </c>
      <c r="Q317" s="5">
        <v>40575</v>
      </c>
      <c r="R317" s="4">
        <v>9</v>
      </c>
      <c r="S317" t="str">
        <f t="shared" si="19"/>
        <v>Q1-2009</v>
      </c>
      <c r="T317" t="str">
        <f t="shared" si="20"/>
        <v>Q1-2011</v>
      </c>
      <c r="U317" t="s">
        <v>1063</v>
      </c>
    </row>
    <row r="318" spans="1:22">
      <c r="A318" t="s">
        <v>562</v>
      </c>
      <c r="E318">
        <v>2008</v>
      </c>
      <c r="F318" s="1" t="s">
        <v>438</v>
      </c>
      <c r="I318">
        <v>1</v>
      </c>
      <c r="N318">
        <v>1</v>
      </c>
      <c r="P318" s="5">
        <v>39722</v>
      </c>
      <c r="Q318" s="5">
        <v>40269</v>
      </c>
      <c r="R318" s="4">
        <f t="shared" ref="R318:R327" si="22">FLOOR(((YEAR(Q318)*12+MONTH(Q318))-(YEAR(P318)*12+MONTH(P318)))/3,1)+1</f>
        <v>7</v>
      </c>
      <c r="S318" t="str">
        <f t="shared" si="19"/>
        <v>Q4-2008</v>
      </c>
      <c r="T318" t="str">
        <f t="shared" si="20"/>
        <v>Q2-2010</v>
      </c>
      <c r="U318" t="s">
        <v>1007</v>
      </c>
      <c r="V318" t="s">
        <v>564</v>
      </c>
    </row>
    <row r="319" spans="1:22">
      <c r="A319" t="s">
        <v>572</v>
      </c>
      <c r="E319">
        <v>2008</v>
      </c>
      <c r="F319" s="1" t="s">
        <v>438</v>
      </c>
      <c r="N319">
        <v>1</v>
      </c>
      <c r="P319" s="5">
        <v>39692</v>
      </c>
      <c r="Q319" s="5">
        <v>39783</v>
      </c>
      <c r="R319" s="4">
        <f t="shared" si="22"/>
        <v>2</v>
      </c>
      <c r="S319" t="str">
        <f t="shared" si="19"/>
        <v>Q3-2008</v>
      </c>
      <c r="T319" t="str">
        <f t="shared" si="20"/>
        <v>Q4-2008</v>
      </c>
      <c r="U319" t="s">
        <v>574</v>
      </c>
    </row>
    <row r="320" spans="1:22">
      <c r="A320" t="s">
        <v>470</v>
      </c>
      <c r="E320">
        <v>2008</v>
      </c>
      <c r="F320" s="1" t="s">
        <v>438</v>
      </c>
      <c r="L320">
        <v>1</v>
      </c>
      <c r="P320" s="5">
        <v>39722</v>
      </c>
      <c r="Q320" s="5">
        <v>39783</v>
      </c>
      <c r="R320" s="4">
        <f t="shared" si="22"/>
        <v>1</v>
      </c>
      <c r="S320" t="str">
        <f t="shared" si="19"/>
        <v>Q4-2008</v>
      </c>
      <c r="T320" t="str">
        <f t="shared" si="20"/>
        <v>Q4-2008</v>
      </c>
      <c r="U320" t="s">
        <v>170</v>
      </c>
    </row>
    <row r="321" spans="1:22">
      <c r="A321" t="s">
        <v>471</v>
      </c>
      <c r="B321" t="s">
        <v>652</v>
      </c>
      <c r="C321" t="s">
        <v>811</v>
      </c>
      <c r="E321">
        <v>2008</v>
      </c>
      <c r="F321" s="1" t="s">
        <v>438</v>
      </c>
      <c r="L321">
        <v>1</v>
      </c>
      <c r="P321" s="5">
        <v>39722</v>
      </c>
      <c r="Q321" s="5">
        <v>39722</v>
      </c>
      <c r="R321" s="4">
        <f t="shared" si="22"/>
        <v>1</v>
      </c>
      <c r="S321" t="str">
        <f t="shared" si="19"/>
        <v>Q4-2008</v>
      </c>
      <c r="T321" t="str">
        <f t="shared" si="20"/>
        <v>Q4-2008</v>
      </c>
      <c r="U321" t="s">
        <v>481</v>
      </c>
    </row>
    <row r="322" spans="1:22">
      <c r="A322" t="s">
        <v>571</v>
      </c>
      <c r="E322">
        <v>2008</v>
      </c>
      <c r="F322" s="1" t="s">
        <v>438</v>
      </c>
      <c r="N322">
        <v>1</v>
      </c>
      <c r="P322" s="5">
        <v>39692</v>
      </c>
      <c r="Q322" s="5">
        <v>39783</v>
      </c>
      <c r="R322" s="4">
        <f t="shared" si="22"/>
        <v>2</v>
      </c>
      <c r="S322" t="str">
        <f t="shared" si="19"/>
        <v>Q3-2008</v>
      </c>
      <c r="T322" t="str">
        <f t="shared" si="20"/>
        <v>Q4-2008</v>
      </c>
      <c r="U322" t="s">
        <v>574</v>
      </c>
    </row>
    <row r="323" spans="1:22">
      <c r="A323" t="s">
        <v>573</v>
      </c>
      <c r="E323">
        <v>2009</v>
      </c>
      <c r="F323" s="1" t="s">
        <v>438</v>
      </c>
      <c r="I323">
        <v>1</v>
      </c>
      <c r="N323">
        <v>1</v>
      </c>
      <c r="P323" s="5">
        <v>39873</v>
      </c>
      <c r="Q323" s="5">
        <v>39873</v>
      </c>
      <c r="R323" s="4">
        <f t="shared" si="22"/>
        <v>1</v>
      </c>
      <c r="S323" t="str">
        <f t="shared" si="19"/>
        <v>Q1-2009</v>
      </c>
      <c r="T323" t="str">
        <f t="shared" si="20"/>
        <v>Q1-2009</v>
      </c>
      <c r="U323" t="s">
        <v>1008</v>
      </c>
    </row>
    <row r="324" spans="1:22">
      <c r="A324" t="s">
        <v>439</v>
      </c>
      <c r="B324" t="s">
        <v>957</v>
      </c>
      <c r="C324" t="s">
        <v>439</v>
      </c>
      <c r="D324">
        <v>1</v>
      </c>
      <c r="E324">
        <v>2008</v>
      </c>
      <c r="F324" s="1" t="s">
        <v>438</v>
      </c>
      <c r="J324">
        <v>1</v>
      </c>
      <c r="N324">
        <v>1</v>
      </c>
      <c r="P324" s="5">
        <v>39722</v>
      </c>
      <c r="Q324" s="5">
        <v>39814</v>
      </c>
      <c r="R324" s="4">
        <f t="shared" si="22"/>
        <v>2</v>
      </c>
      <c r="S324" t="str">
        <f t="shared" si="19"/>
        <v>Q4-2008</v>
      </c>
      <c r="T324" t="str">
        <f t="shared" si="20"/>
        <v>Q1-2009</v>
      </c>
      <c r="U324" t="s">
        <v>441</v>
      </c>
    </row>
    <row r="325" spans="1:22">
      <c r="A325" t="s">
        <v>472</v>
      </c>
      <c r="B325" t="s">
        <v>740</v>
      </c>
      <c r="C325" t="s">
        <v>804</v>
      </c>
      <c r="D325">
        <v>1</v>
      </c>
      <c r="E325">
        <v>2008</v>
      </c>
      <c r="F325" s="1" t="s">
        <v>438</v>
      </c>
      <c r="L325">
        <v>1</v>
      </c>
      <c r="P325" s="5">
        <v>39722</v>
      </c>
      <c r="Q325" s="5">
        <v>39722</v>
      </c>
      <c r="R325" s="4">
        <f t="shared" si="22"/>
        <v>1</v>
      </c>
      <c r="S325" t="str">
        <f t="shared" ref="S325:S343" si="23">"Q" &amp;INT((MONTH(P325)+2)/3) &amp; "-" &amp; YEAR(P325)</f>
        <v>Q4-2008</v>
      </c>
      <c r="T325" t="str">
        <f t="shared" ref="T325:T343" si="24">"Q" &amp;INT((MONTH(Q325)+2)/3) &amp; "-" &amp; YEAR(Q325)</f>
        <v>Q4-2008</v>
      </c>
      <c r="U325" t="s">
        <v>170</v>
      </c>
    </row>
    <row r="326" spans="1:22">
      <c r="A326" t="s">
        <v>537</v>
      </c>
      <c r="C326" s="40">
        <v>911944</v>
      </c>
      <c r="E326">
        <v>2008</v>
      </c>
      <c r="F326" s="1" t="s">
        <v>438</v>
      </c>
      <c r="H326">
        <v>1</v>
      </c>
      <c r="P326" s="5">
        <v>39722</v>
      </c>
      <c r="Q326" s="5">
        <v>39722</v>
      </c>
      <c r="R326" s="4">
        <f t="shared" si="22"/>
        <v>1</v>
      </c>
      <c r="S326" t="str">
        <f t="shared" si="23"/>
        <v>Q4-2008</v>
      </c>
      <c r="T326" t="str">
        <f t="shared" si="24"/>
        <v>Q4-2008</v>
      </c>
      <c r="U326" t="s">
        <v>538</v>
      </c>
    </row>
    <row r="327" spans="1:22">
      <c r="A327" t="s">
        <v>440</v>
      </c>
      <c r="B327" t="s">
        <v>641</v>
      </c>
      <c r="C327" t="s">
        <v>806</v>
      </c>
      <c r="E327">
        <v>2008</v>
      </c>
      <c r="F327" s="1" t="s">
        <v>438</v>
      </c>
      <c r="J327">
        <v>1</v>
      </c>
      <c r="K327">
        <v>1</v>
      </c>
      <c r="P327" s="5">
        <v>39722</v>
      </c>
      <c r="Q327" s="5">
        <v>39965</v>
      </c>
      <c r="R327" s="4">
        <f t="shared" si="22"/>
        <v>3</v>
      </c>
      <c r="S327" t="str">
        <f t="shared" si="23"/>
        <v>Q4-2008</v>
      </c>
      <c r="T327" t="str">
        <f t="shared" si="24"/>
        <v>Q2-2009</v>
      </c>
      <c r="U327" t="s">
        <v>442</v>
      </c>
    </row>
    <row r="328" spans="1:22">
      <c r="A328" t="s">
        <v>443</v>
      </c>
      <c r="B328" t="s">
        <v>641</v>
      </c>
      <c r="C328" t="s">
        <v>806</v>
      </c>
      <c r="D328">
        <v>1</v>
      </c>
      <c r="E328">
        <v>2013</v>
      </c>
      <c r="F328" s="1" t="s">
        <v>438</v>
      </c>
      <c r="J328">
        <v>1</v>
      </c>
      <c r="O328">
        <v>1</v>
      </c>
      <c r="P328" s="5">
        <v>40695</v>
      </c>
      <c r="Q328" s="5">
        <v>41365</v>
      </c>
      <c r="R328" s="4">
        <v>9</v>
      </c>
      <c r="S328" t="str">
        <f t="shared" si="23"/>
        <v>Q2-2011</v>
      </c>
      <c r="T328" t="str">
        <f t="shared" si="24"/>
        <v>Q2-2013</v>
      </c>
      <c r="U328" t="s">
        <v>446</v>
      </c>
    </row>
    <row r="329" spans="1:22">
      <c r="A329" t="s">
        <v>583</v>
      </c>
      <c r="B329" t="s">
        <v>958</v>
      </c>
      <c r="C329" t="s">
        <v>738</v>
      </c>
      <c r="E329">
        <v>2008</v>
      </c>
      <c r="F329" s="1" t="s">
        <v>438</v>
      </c>
      <c r="H329">
        <v>1</v>
      </c>
      <c r="P329" s="5">
        <v>39479</v>
      </c>
      <c r="Q329" s="5">
        <v>39753</v>
      </c>
      <c r="R329" s="4">
        <f>FLOOR(((YEAR(Q329)*12+MONTH(Q329))-(YEAR(P329)*12+MONTH(P329)))/3,1)+1</f>
        <v>4</v>
      </c>
      <c r="S329" t="str">
        <f t="shared" si="23"/>
        <v>Q1-2008</v>
      </c>
      <c r="T329" t="str">
        <f t="shared" si="24"/>
        <v>Q4-2008</v>
      </c>
      <c r="U329" t="s">
        <v>584</v>
      </c>
    </row>
    <row r="330" spans="1:22">
      <c r="A330" t="s">
        <v>473</v>
      </c>
      <c r="B330" t="s">
        <v>651</v>
      </c>
      <c r="C330" t="s">
        <v>812</v>
      </c>
      <c r="E330">
        <v>2008</v>
      </c>
      <c r="F330" s="1" t="s">
        <v>438</v>
      </c>
      <c r="L330">
        <v>1</v>
      </c>
      <c r="P330" s="5">
        <v>39722</v>
      </c>
      <c r="Q330" s="5">
        <v>39722</v>
      </c>
      <c r="R330" s="4">
        <f>FLOOR(((YEAR(Q330)*12+MONTH(Q330))-(YEAR(P330)*12+MONTH(P330)))/3,1)+1</f>
        <v>1</v>
      </c>
      <c r="S330" t="str">
        <f t="shared" si="23"/>
        <v>Q4-2008</v>
      </c>
      <c r="T330" t="str">
        <f t="shared" si="24"/>
        <v>Q4-2008</v>
      </c>
      <c r="U330" t="s">
        <v>481</v>
      </c>
    </row>
    <row r="331" spans="1:22">
      <c r="A331" t="s">
        <v>1061</v>
      </c>
      <c r="B331" t="s">
        <v>741</v>
      </c>
      <c r="C331" t="s">
        <v>813</v>
      </c>
      <c r="D331">
        <v>1</v>
      </c>
      <c r="E331">
        <v>2008</v>
      </c>
      <c r="F331" s="1" t="s">
        <v>438</v>
      </c>
      <c r="J331">
        <v>1</v>
      </c>
      <c r="K331">
        <v>1</v>
      </c>
      <c r="P331" s="5">
        <v>39722</v>
      </c>
      <c r="Q331" s="5">
        <v>40148</v>
      </c>
      <c r="R331" s="4">
        <f>FLOOR(((YEAR(Q331)*12+MONTH(Q331))-(YEAR(P331)*12+MONTH(P331)))/3,1)+1</f>
        <v>5</v>
      </c>
      <c r="S331" t="str">
        <f t="shared" si="23"/>
        <v>Q4-2008</v>
      </c>
      <c r="T331" t="str">
        <f t="shared" si="24"/>
        <v>Q4-2009</v>
      </c>
      <c r="U331" t="s">
        <v>448</v>
      </c>
      <c r="V331" t="s">
        <v>960</v>
      </c>
    </row>
    <row r="332" spans="1:22">
      <c r="A332" t="s">
        <v>447</v>
      </c>
      <c r="B332" t="s">
        <v>959</v>
      </c>
      <c r="C332" t="s">
        <v>739</v>
      </c>
      <c r="D332">
        <v>1</v>
      </c>
      <c r="E332">
        <v>2007</v>
      </c>
      <c r="F332" s="1" t="s">
        <v>438</v>
      </c>
      <c r="H332">
        <v>1</v>
      </c>
      <c r="J332">
        <v>1</v>
      </c>
      <c r="K332">
        <v>1</v>
      </c>
      <c r="P332" s="5">
        <v>39326</v>
      </c>
      <c r="Q332" s="5">
        <v>39479</v>
      </c>
      <c r="R332" s="4">
        <v>3</v>
      </c>
      <c r="S332" t="str">
        <f t="shared" si="23"/>
        <v>Q3-2007</v>
      </c>
      <c r="T332" t="str">
        <f t="shared" si="24"/>
        <v>Q1-2008</v>
      </c>
      <c r="U332" t="s">
        <v>877</v>
      </c>
    </row>
    <row r="333" spans="1:22">
      <c r="A333" t="s">
        <v>447</v>
      </c>
      <c r="B333" t="s">
        <v>959</v>
      </c>
      <c r="C333" t="s">
        <v>739</v>
      </c>
      <c r="D333">
        <v>1</v>
      </c>
      <c r="E333">
        <v>2010</v>
      </c>
      <c r="F333" s="1" t="s">
        <v>438</v>
      </c>
      <c r="H333">
        <v>1</v>
      </c>
      <c r="I333">
        <v>0</v>
      </c>
      <c r="P333" s="5">
        <v>40179</v>
      </c>
      <c r="Q333" s="5">
        <v>40909</v>
      </c>
      <c r="R333" s="4">
        <f t="shared" ref="R333:R343" si="25">FLOOR(((YEAR(Q333)*12+MONTH(Q333))-(YEAR(P333)*12+MONTH(P333)))/3,1)+1</f>
        <v>9</v>
      </c>
      <c r="S333" t="str">
        <f t="shared" si="23"/>
        <v>Q1-2010</v>
      </c>
      <c r="T333" t="str">
        <f t="shared" si="24"/>
        <v>Q1-2012</v>
      </c>
      <c r="U333" t="s">
        <v>1004</v>
      </c>
    </row>
    <row r="334" spans="1:22">
      <c r="A334" t="s">
        <v>576</v>
      </c>
      <c r="E334">
        <v>2011</v>
      </c>
      <c r="F334" s="1" t="s">
        <v>438</v>
      </c>
      <c r="J334">
        <v>1</v>
      </c>
      <c r="N334">
        <v>1</v>
      </c>
      <c r="P334" s="5">
        <v>40634</v>
      </c>
      <c r="Q334" s="5">
        <v>40848</v>
      </c>
      <c r="R334" s="4">
        <f t="shared" si="25"/>
        <v>3</v>
      </c>
      <c r="S334" t="str">
        <f t="shared" si="23"/>
        <v>Q2-2011</v>
      </c>
      <c r="T334" t="str">
        <f t="shared" si="24"/>
        <v>Q4-2011</v>
      </c>
      <c r="U334" t="s">
        <v>577</v>
      </c>
    </row>
    <row r="335" spans="1:22">
      <c r="A335" t="s">
        <v>1040</v>
      </c>
      <c r="B335" t="s">
        <v>642</v>
      </c>
      <c r="C335" s="40">
        <v>399937</v>
      </c>
      <c r="E335">
        <v>2008</v>
      </c>
      <c r="F335" s="1" t="s">
        <v>438</v>
      </c>
      <c r="L335">
        <v>1</v>
      </c>
      <c r="P335" s="5">
        <v>39722</v>
      </c>
      <c r="Q335" s="5">
        <v>39722</v>
      </c>
      <c r="R335" s="4">
        <f t="shared" si="25"/>
        <v>1</v>
      </c>
      <c r="S335" t="str">
        <f t="shared" si="23"/>
        <v>Q4-2008</v>
      </c>
      <c r="T335" t="str">
        <f t="shared" si="24"/>
        <v>Q4-2008</v>
      </c>
      <c r="U335" t="s">
        <v>1041</v>
      </c>
    </row>
    <row r="336" spans="1:22">
      <c r="A336" t="s">
        <v>565</v>
      </c>
      <c r="E336">
        <v>2008</v>
      </c>
      <c r="F336" s="1" t="s">
        <v>438</v>
      </c>
      <c r="N336">
        <v>1</v>
      </c>
      <c r="P336" s="5">
        <v>39508</v>
      </c>
      <c r="Q336" s="5">
        <v>39873</v>
      </c>
      <c r="R336" s="4">
        <f t="shared" si="25"/>
        <v>5</v>
      </c>
      <c r="S336" t="str">
        <f t="shared" si="23"/>
        <v>Q1-2008</v>
      </c>
      <c r="T336" t="str">
        <f t="shared" si="24"/>
        <v>Q1-2009</v>
      </c>
      <c r="U336" t="s">
        <v>568</v>
      </c>
    </row>
    <row r="337" spans="1:22">
      <c r="A337" t="s">
        <v>474</v>
      </c>
      <c r="E337">
        <v>2008</v>
      </c>
      <c r="F337" s="1" t="s">
        <v>438</v>
      </c>
      <c r="L337">
        <v>1</v>
      </c>
      <c r="P337" s="5">
        <v>39722</v>
      </c>
      <c r="Q337" s="5">
        <v>39722</v>
      </c>
      <c r="R337" s="4">
        <f t="shared" si="25"/>
        <v>1</v>
      </c>
      <c r="S337" t="str">
        <f t="shared" si="23"/>
        <v>Q4-2008</v>
      </c>
      <c r="T337" t="str">
        <f t="shared" si="24"/>
        <v>Q4-2008</v>
      </c>
      <c r="U337" t="s">
        <v>481</v>
      </c>
    </row>
    <row r="338" spans="1:22">
      <c r="A338" t="s">
        <v>475</v>
      </c>
      <c r="B338" t="s">
        <v>643</v>
      </c>
      <c r="C338" t="s">
        <v>807</v>
      </c>
      <c r="D338">
        <v>1</v>
      </c>
      <c r="E338">
        <v>2008</v>
      </c>
      <c r="F338" s="1" t="s">
        <v>438</v>
      </c>
      <c r="L338">
        <v>1</v>
      </c>
      <c r="P338" s="5">
        <v>39722</v>
      </c>
      <c r="Q338" s="5">
        <v>39722</v>
      </c>
      <c r="R338" s="4">
        <f t="shared" si="25"/>
        <v>1</v>
      </c>
      <c r="S338" t="str">
        <f t="shared" si="23"/>
        <v>Q4-2008</v>
      </c>
      <c r="T338" t="str">
        <f t="shared" si="24"/>
        <v>Q4-2008</v>
      </c>
      <c r="U338" t="s">
        <v>481</v>
      </c>
    </row>
    <row r="339" spans="1:22">
      <c r="A339" t="s">
        <v>579</v>
      </c>
      <c r="E339">
        <v>2010</v>
      </c>
      <c r="F339" s="1" t="s">
        <v>438</v>
      </c>
      <c r="N339">
        <v>1</v>
      </c>
      <c r="P339" s="5">
        <v>40238</v>
      </c>
      <c r="Q339" s="5">
        <v>40422</v>
      </c>
      <c r="R339" s="4">
        <f t="shared" si="25"/>
        <v>3</v>
      </c>
      <c r="S339" t="str">
        <f t="shared" si="23"/>
        <v>Q1-2010</v>
      </c>
      <c r="T339" t="str">
        <f t="shared" si="24"/>
        <v>Q3-2010</v>
      </c>
      <c r="U339" t="s">
        <v>580</v>
      </c>
    </row>
    <row r="340" spans="1:22">
      <c r="A340" t="s">
        <v>476</v>
      </c>
      <c r="E340">
        <v>2008</v>
      </c>
      <c r="F340" s="1" t="s">
        <v>438</v>
      </c>
      <c r="L340">
        <v>1</v>
      </c>
      <c r="P340" s="5">
        <v>39722</v>
      </c>
      <c r="Q340" s="5">
        <v>39722</v>
      </c>
      <c r="R340" s="4">
        <f t="shared" si="25"/>
        <v>1</v>
      </c>
      <c r="S340" t="str">
        <f t="shared" si="23"/>
        <v>Q4-2008</v>
      </c>
      <c r="T340" t="str">
        <f t="shared" si="24"/>
        <v>Q4-2008</v>
      </c>
      <c r="U340" t="s">
        <v>481</v>
      </c>
    </row>
    <row r="341" spans="1:22">
      <c r="A341" t="s">
        <v>449</v>
      </c>
      <c r="E341">
        <v>2008</v>
      </c>
      <c r="F341" s="1" t="s">
        <v>438</v>
      </c>
      <c r="L341">
        <v>1</v>
      </c>
      <c r="P341" s="5">
        <v>39661</v>
      </c>
      <c r="Q341" s="5">
        <v>39722</v>
      </c>
      <c r="R341" s="4">
        <f t="shared" si="25"/>
        <v>1</v>
      </c>
      <c r="S341" t="str">
        <f t="shared" si="23"/>
        <v>Q3-2008</v>
      </c>
      <c r="T341" t="str">
        <f t="shared" si="24"/>
        <v>Q4-2008</v>
      </c>
      <c r="U341" t="s">
        <v>450</v>
      </c>
    </row>
    <row r="342" spans="1:22">
      <c r="A342" t="s">
        <v>478</v>
      </c>
      <c r="B342" t="s">
        <v>805</v>
      </c>
      <c r="E342">
        <v>2008</v>
      </c>
      <c r="F342" s="1" t="s">
        <v>438</v>
      </c>
      <c r="I342">
        <v>1</v>
      </c>
      <c r="L342">
        <v>1</v>
      </c>
      <c r="P342" s="5">
        <v>39722</v>
      </c>
      <c r="Q342" s="5">
        <v>39814</v>
      </c>
      <c r="R342" s="4">
        <f t="shared" si="25"/>
        <v>2</v>
      </c>
      <c r="S342" t="str">
        <f t="shared" si="23"/>
        <v>Q4-2008</v>
      </c>
      <c r="T342" t="str">
        <f t="shared" si="24"/>
        <v>Q1-2009</v>
      </c>
      <c r="U342" t="s">
        <v>1011</v>
      </c>
    </row>
    <row r="343" spans="1:22">
      <c r="A343" t="s">
        <v>479</v>
      </c>
      <c r="B343" t="s">
        <v>969</v>
      </c>
      <c r="E343">
        <v>2008</v>
      </c>
      <c r="F343" s="1" t="s">
        <v>438</v>
      </c>
      <c r="L343">
        <v>1</v>
      </c>
      <c r="P343" s="5">
        <v>39722</v>
      </c>
      <c r="Q343" s="5">
        <v>39722</v>
      </c>
      <c r="R343" s="4">
        <f t="shared" si="25"/>
        <v>1</v>
      </c>
      <c r="S343" t="str">
        <f t="shared" si="23"/>
        <v>Q4-2008</v>
      </c>
      <c r="T343" t="str">
        <f t="shared" si="24"/>
        <v>Q4-2008</v>
      </c>
      <c r="U343" t="s">
        <v>481</v>
      </c>
    </row>
    <row r="344" spans="1:22">
      <c r="P344" s="5"/>
      <c r="Q344" s="5"/>
      <c r="R344" s="4"/>
    </row>
    <row r="345" spans="1:22">
      <c r="A345" s="37" t="str">
        <f>"Sum distress events: " &amp; SUM(G346:O346)</f>
        <v>Sum distress events: 194</v>
      </c>
      <c r="B345" s="37"/>
      <c r="C345" s="37"/>
      <c r="D345" s="37">
        <f>COUNTIF(D4:D343,"&lt;&gt;")</f>
        <v>134</v>
      </c>
      <c r="E345" s="37"/>
      <c r="F345" s="37"/>
      <c r="G345" s="37">
        <f>SUM(G4:G343)</f>
        <v>10</v>
      </c>
      <c r="H345" s="37">
        <f t="shared" ref="H345:R345" si="26">SUM(H4:H343)</f>
        <v>74</v>
      </c>
      <c r="I345" s="37">
        <f t="shared" si="26"/>
        <v>31</v>
      </c>
      <c r="J345" s="37">
        <f t="shared" si="26"/>
        <v>165</v>
      </c>
      <c r="K345" s="37">
        <f t="shared" si="26"/>
        <v>47</v>
      </c>
      <c r="L345" s="37">
        <f t="shared" si="26"/>
        <v>80</v>
      </c>
      <c r="M345" s="37">
        <f t="shared" si="26"/>
        <v>15</v>
      </c>
      <c r="N345" s="37">
        <f t="shared" si="26"/>
        <v>74</v>
      </c>
      <c r="O345" s="37">
        <f t="shared" si="26"/>
        <v>3</v>
      </c>
      <c r="P345" s="37"/>
      <c r="Q345" s="37"/>
      <c r="R345" s="37">
        <f t="shared" si="26"/>
        <v>1378</v>
      </c>
      <c r="V345"/>
    </row>
    <row r="346" spans="1:22">
      <c r="A346" s="38" t="str">
        <f>"Sum distress events (no double counting): " &amp; D346</f>
        <v>Sum distress events (no double counting): 134</v>
      </c>
      <c r="B346" s="37"/>
      <c r="C346" s="37"/>
      <c r="D346" s="37">
        <f>SUM(D4:D343)</f>
        <v>134</v>
      </c>
      <c r="E346" s="37"/>
      <c r="F346" s="37"/>
      <c r="G346" s="37">
        <f t="shared" ref="G346:L346" si="27">COUNTIFS($D$4:$D$343,"&lt;&gt;",G4:G343,"1")</f>
        <v>1</v>
      </c>
      <c r="H346" s="37">
        <f t="shared" si="27"/>
        <v>16</v>
      </c>
      <c r="I346" s="37">
        <f t="shared" si="27"/>
        <v>8</v>
      </c>
      <c r="J346" s="37">
        <f t="shared" si="27"/>
        <v>85</v>
      </c>
      <c r="K346" s="37">
        <f>COUNTIFS($D$4:$D$343,"&lt;&gt;",K4:K343,"1")</f>
        <v>19</v>
      </c>
      <c r="L346" s="37">
        <f t="shared" si="27"/>
        <v>30</v>
      </c>
      <c r="M346" s="37">
        <f>COUNTIFS($D$4:$D$343,"&lt;&gt;",M4:M343,"1")</f>
        <v>6</v>
      </c>
      <c r="N346" s="37">
        <f>COUNTIFS($D$4:$D$343,"&lt;&gt;",N4:N343,"1")</f>
        <v>28</v>
      </c>
      <c r="O346" s="37">
        <f>COUNTIFS($D$4:$D$343,"&lt;&gt;",O4:O343,"1")</f>
        <v>1</v>
      </c>
      <c r="P346" s="37"/>
      <c r="Q346" s="37"/>
      <c r="R346" s="37">
        <f>SUMIF($D$4:$D$343,"&lt;&gt;",$R$4:$R$343)</f>
        <v>452</v>
      </c>
    </row>
    <row r="347" spans="1:22">
      <c r="A347" s="34"/>
      <c r="B347" s="34"/>
      <c r="C347" s="34"/>
      <c r="D347" s="34"/>
      <c r="E347" s="34"/>
      <c r="F347" s="34"/>
      <c r="G347" s="37">
        <f>SUMIFS(G4:G343,D4:D343,"&lt;&gt;",H4:H343,"=",I4:I343,"=",J4:J343,"=",K4:K343,"=",L4:L343,"=",M4:M343,"=",N4:N343,"=",O4:O343,"=")</f>
        <v>0</v>
      </c>
      <c r="H347" s="37">
        <f>SUMIFS(H4:H343,G4:G343,"=",I4:I343,"=",J4:J343,"=",K4:K343,"=",L4:L343,"=",M4:M343,"=",N4:N343,"=",O4:O343,"=",D4:D343,"&lt;&gt;")</f>
        <v>0</v>
      </c>
      <c r="I347" s="37">
        <f>SUMIFS(I4:I343,D4:D343,"&lt;&gt;",G4:G343,"=",H4:H343,"=",J4:J343,"=",K4:K343,"=",L4:L343,"=",M4:M343,"=",N4:N343,"=",O4:O343,"=")</f>
        <v>3</v>
      </c>
      <c r="J347" s="37">
        <f>SUMIFS(J4:J343,D4:D343,"&lt;&gt;",G4:G343,"=",H4:H343,"=",I4:I343,"=",K4:K343,"=",L4:L343,"=",M4:M343,"=",N4:N343,"=",O4:O343,"=")</f>
        <v>45</v>
      </c>
      <c r="K347" s="37">
        <f>SUMIFS(K4:K343,D4:D343,"&lt;&gt;",G4:G343,"=",H4:H343,"=",I4:I343,"=",J4:J343,"=",L4:L343,"=",M4:M343,"=",N4:N343,"=",O4:O343,"=")</f>
        <v>1</v>
      </c>
      <c r="L347" s="37">
        <f>SUMIFS(L4:L343,D4:D343,"&lt;&gt;",M4:M343,"=",N4:N343,"=",O4:O343,"=",G4:G343,"=",H4:H343,"=",I4:I343,"=",J4:J343,"=",K4:K343,"=")</f>
        <v>14</v>
      </c>
      <c r="M347" s="37">
        <f>SUMIFS(M4:M343,D4:D343,"&lt;&gt;",N4:N343,"=",O4:O343,"=",G4:G343,"=",H4:H343,"=",I4:I343,"=",J4:J343,"=",K4:K343,"=",L4:L343,"=")</f>
        <v>2</v>
      </c>
      <c r="N347" s="37">
        <f>SUMIFS(N4:N343,D4:D343,"&lt;&gt;",O4:O343,"=",G4:G343,"=",H4:H343,"=",I4:I343,"=",J4:J343,"=",K4:K343,"=",L4:L343,"=",M4:M343,"=")</f>
        <v>10</v>
      </c>
      <c r="O347" s="37">
        <f>SUMIFS(O4:O343,D4:D343,"&lt;&gt;",G4:G343,"=",H4:H343,"=",I4:I343,"=",J4:J343,"=",K4:K343,"=",L4:L343,"=",M4:M343,"=",N4:N343,"=")</f>
        <v>0</v>
      </c>
      <c r="P347" s="37"/>
      <c r="Q347" s="37"/>
      <c r="R347" s="37">
        <f>SUMIF($D$4:$D$343,"&lt;&gt;",$R$4:$R$343)</f>
        <v>452</v>
      </c>
    </row>
    <row r="348" spans="1:22">
      <c r="A348" s="6"/>
      <c r="R348" s="4"/>
    </row>
    <row r="349" spans="1:22">
      <c r="R349" s="4"/>
    </row>
    <row r="350" spans="1:22">
      <c r="A350" s="6"/>
      <c r="R350" s="4"/>
    </row>
    <row r="351" spans="1:22">
      <c r="R351" s="4"/>
    </row>
    <row r="352" spans="1:22">
      <c r="A352" s="6"/>
      <c r="R352" s="4"/>
    </row>
    <row r="353" spans="1:18">
      <c r="R353" s="4"/>
    </row>
    <row r="354" spans="1:18">
      <c r="A354" s="6"/>
      <c r="R354" s="4"/>
    </row>
    <row r="355" spans="1:18">
      <c r="R355" s="4"/>
    </row>
    <row r="356" spans="1:18">
      <c r="A356" s="6"/>
      <c r="R356" s="4"/>
    </row>
    <row r="357" spans="1:18">
      <c r="A357" s="7"/>
      <c r="B357" s="7"/>
      <c r="C357" s="7"/>
      <c r="D357" s="39"/>
      <c r="E357" s="7"/>
      <c r="R357" s="4"/>
    </row>
    <row r="358" spans="1:18">
      <c r="A358" s="7"/>
      <c r="B358" s="7"/>
      <c r="C358" s="7"/>
      <c r="D358" s="39"/>
      <c r="E358" s="7"/>
      <c r="R358" s="4"/>
    </row>
    <row r="359" spans="1:18">
      <c r="R359" s="4"/>
    </row>
    <row r="360" spans="1:18">
      <c r="A360" s="6"/>
      <c r="R360" s="4"/>
    </row>
    <row r="361" spans="1:18">
      <c r="R361" s="4"/>
    </row>
    <row r="362" spans="1:18">
      <c r="A362" s="6"/>
      <c r="R362" s="4"/>
    </row>
    <row r="363" spans="1:18">
      <c r="R363" s="4"/>
    </row>
    <row r="364" spans="1:18">
      <c r="A364" s="6"/>
      <c r="R364" s="4"/>
    </row>
    <row r="365" spans="1:18">
      <c r="R365" s="4"/>
    </row>
    <row r="366" spans="1:18">
      <c r="R366" s="4"/>
    </row>
    <row r="367" spans="1:18">
      <c r="R367" s="4"/>
    </row>
    <row r="368" spans="1:18">
      <c r="R368" s="4"/>
    </row>
    <row r="369" spans="18:18">
      <c r="R369" s="4"/>
    </row>
    <row r="370" spans="18:18">
      <c r="R370" s="4"/>
    </row>
    <row r="371" spans="18:18">
      <c r="R371" s="4"/>
    </row>
    <row r="372" spans="18:18">
      <c r="R372" s="4"/>
    </row>
    <row r="373" spans="18:18">
      <c r="R373" s="4"/>
    </row>
    <row r="374" spans="18:18">
      <c r="R374" s="4"/>
    </row>
    <row r="375" spans="18:18">
      <c r="R375" s="4"/>
    </row>
    <row r="376" spans="18:18">
      <c r="R376" s="4"/>
    </row>
    <row r="377" spans="18:18">
      <c r="R377" s="4"/>
    </row>
    <row r="378" spans="18:18">
      <c r="R378" s="4"/>
    </row>
    <row r="379" spans="18:18">
      <c r="R379" s="4"/>
    </row>
    <row r="380" spans="18:18">
      <c r="R380" s="4"/>
    </row>
    <row r="381" spans="18:18">
      <c r="R381" s="4"/>
    </row>
    <row r="382" spans="18:18">
      <c r="R382" s="4"/>
    </row>
    <row r="383" spans="18:18">
      <c r="R383" s="4"/>
    </row>
    <row r="384" spans="18:18">
      <c r="R384" s="4"/>
    </row>
    <row r="385" spans="18:20">
      <c r="R385" s="4"/>
    </row>
    <row r="386" spans="18:20">
      <c r="R386" s="4"/>
    </row>
    <row r="387" spans="18:20">
      <c r="R387" s="4"/>
    </row>
    <row r="388" spans="18:20">
      <c r="R388" s="4"/>
    </row>
    <row r="389" spans="18:20">
      <c r="R389" s="4"/>
      <c r="S389" s="4"/>
      <c r="T389" s="4"/>
    </row>
    <row r="390" spans="18:20">
      <c r="R390" s="4"/>
      <c r="S390" s="4"/>
      <c r="T390" s="4"/>
    </row>
    <row r="391" spans="18:20">
      <c r="R391" s="4"/>
      <c r="S391" s="4"/>
      <c r="T391" s="4"/>
    </row>
    <row r="392" spans="18:20">
      <c r="R392" s="4"/>
      <c r="S392" s="4"/>
      <c r="T392" s="4"/>
    </row>
    <row r="393" spans="18:20">
      <c r="R393" s="4"/>
      <c r="S393" s="4"/>
      <c r="T393" s="4"/>
    </row>
    <row r="394" spans="18:20">
      <c r="R394" s="4"/>
      <c r="S394" s="4"/>
      <c r="T394" s="4"/>
    </row>
    <row r="395" spans="18:20">
      <c r="R395" s="4"/>
      <c r="S395" s="4"/>
      <c r="T395" s="4"/>
    </row>
    <row r="396" spans="18:20">
      <c r="R396" s="4"/>
      <c r="S396" s="4"/>
      <c r="T396" s="4"/>
    </row>
    <row r="397" spans="18:20">
      <c r="R397" s="4"/>
      <c r="S397" s="4"/>
      <c r="T397" s="4"/>
    </row>
    <row r="398" spans="18:20">
      <c r="R398" s="4"/>
      <c r="S398" s="4"/>
      <c r="T398" s="4"/>
    </row>
    <row r="399" spans="18:20">
      <c r="R399" s="4"/>
      <c r="S399" s="4"/>
      <c r="T399" s="4"/>
    </row>
    <row r="400" spans="18:20">
      <c r="R400" s="4"/>
      <c r="S400" s="4"/>
      <c r="T400" s="4"/>
    </row>
    <row r="401" spans="18:20">
      <c r="R401" s="4"/>
      <c r="S401" s="4"/>
      <c r="T401" s="4"/>
    </row>
    <row r="402" spans="18:20">
      <c r="R402" s="4"/>
      <c r="S402" s="4"/>
      <c r="T402" s="4"/>
    </row>
    <row r="403" spans="18:20">
      <c r="R403" s="4"/>
      <c r="S403" s="4"/>
      <c r="T403" s="4"/>
    </row>
    <row r="404" spans="18:20">
      <c r="R404" s="4"/>
      <c r="S404" s="4"/>
      <c r="T404" s="4"/>
    </row>
    <row r="405" spans="18:20">
      <c r="R405" s="4"/>
      <c r="S405" s="4"/>
      <c r="T405" s="4"/>
    </row>
    <row r="406" spans="18:20">
      <c r="R406" s="4"/>
      <c r="S406" s="4"/>
      <c r="T406" s="4"/>
    </row>
    <row r="407" spans="18:20">
      <c r="R407" s="4"/>
      <c r="S407" s="4"/>
      <c r="T407" s="4"/>
    </row>
    <row r="408" spans="18:20">
      <c r="R408" s="4"/>
      <c r="S408" s="4"/>
      <c r="T408" s="4"/>
    </row>
    <row r="409" spans="18:20">
      <c r="R409" s="4"/>
      <c r="S409" s="4"/>
      <c r="T409" s="4"/>
    </row>
    <row r="410" spans="18:20">
      <c r="R410" s="4"/>
      <c r="S410" s="4"/>
      <c r="T410" s="4"/>
    </row>
    <row r="411" spans="18:20">
      <c r="R411" s="4"/>
      <c r="S411" s="4"/>
      <c r="T411" s="4"/>
    </row>
    <row r="412" spans="18:20">
      <c r="R412" s="4"/>
      <c r="S412" s="4"/>
      <c r="T412" s="4"/>
    </row>
    <row r="413" spans="18:20">
      <c r="R413" s="4"/>
      <c r="S413" s="4"/>
      <c r="T413" s="4"/>
    </row>
    <row r="414" spans="18:20">
      <c r="R414" s="4"/>
      <c r="S414" s="4"/>
      <c r="T414" s="4"/>
    </row>
    <row r="415" spans="18:20">
      <c r="R415" s="4"/>
      <c r="S415" s="4"/>
      <c r="T415" s="4"/>
    </row>
    <row r="416" spans="18:20">
      <c r="R416" s="4"/>
      <c r="S416" s="4"/>
      <c r="T416" s="4"/>
    </row>
    <row r="417" spans="18:20">
      <c r="R417" s="4"/>
      <c r="S417" s="4"/>
      <c r="T417" s="4"/>
    </row>
    <row r="418" spans="18:20">
      <c r="R418" s="4"/>
      <c r="S418" s="4"/>
      <c r="T418" s="4"/>
    </row>
    <row r="419" spans="18:20">
      <c r="R419" s="4"/>
      <c r="S419" s="4"/>
      <c r="T419" s="4"/>
    </row>
    <row r="420" spans="18:20">
      <c r="R420" s="4"/>
      <c r="S420" s="4"/>
      <c r="T420" s="4"/>
    </row>
    <row r="421" spans="18:20">
      <c r="R421" s="4"/>
      <c r="S421" s="4"/>
      <c r="T421" s="4"/>
    </row>
    <row r="422" spans="18:20">
      <c r="R422" s="4"/>
      <c r="S422" s="4"/>
      <c r="T422" s="4"/>
    </row>
    <row r="423" spans="18:20">
      <c r="R423" s="4"/>
      <c r="S423" s="4"/>
      <c r="T423" s="4"/>
    </row>
    <row r="424" spans="18:20">
      <c r="R424" s="4"/>
      <c r="S424" s="4"/>
      <c r="T424" s="4"/>
    </row>
    <row r="425" spans="18:20">
      <c r="R425" s="4"/>
      <c r="S425" s="4"/>
      <c r="T425" s="4"/>
    </row>
    <row r="426" spans="18:20">
      <c r="R426" s="4"/>
      <c r="S426" s="4"/>
      <c r="T426" s="4"/>
    </row>
    <row r="427" spans="18:20">
      <c r="R427" s="4"/>
      <c r="S427" s="4"/>
      <c r="T427" s="4"/>
    </row>
    <row r="428" spans="18:20">
      <c r="R428" s="4"/>
      <c r="S428" s="4"/>
      <c r="T428" s="4"/>
    </row>
    <row r="429" spans="18:20">
      <c r="R429" s="4"/>
      <c r="S429" s="4"/>
      <c r="T429" s="4"/>
    </row>
    <row r="430" spans="18:20">
      <c r="R430" s="4"/>
      <c r="S430" s="4"/>
      <c r="T430" s="4"/>
    </row>
    <row r="431" spans="18:20">
      <c r="R431" s="4"/>
      <c r="S431" s="4"/>
      <c r="T431" s="4"/>
    </row>
    <row r="432" spans="18:20">
      <c r="R432" s="4"/>
      <c r="S432" s="4"/>
      <c r="T432" s="4"/>
    </row>
    <row r="433" spans="18:20">
      <c r="R433" s="4"/>
      <c r="S433" s="4"/>
      <c r="T433" s="4"/>
    </row>
    <row r="434" spans="18:20">
      <c r="R434" s="4"/>
      <c r="S434" s="4"/>
      <c r="T434" s="4"/>
    </row>
    <row r="435" spans="18:20">
      <c r="R435" s="4"/>
      <c r="S435" s="4"/>
      <c r="T435" s="4"/>
    </row>
    <row r="436" spans="18:20">
      <c r="R436" s="4"/>
      <c r="S436" s="4"/>
      <c r="T436" s="4"/>
    </row>
    <row r="437" spans="18:20">
      <c r="R437" s="4"/>
      <c r="S437" s="4"/>
      <c r="T437" s="4"/>
    </row>
    <row r="438" spans="18:20">
      <c r="R438" s="4"/>
      <c r="S438" s="4"/>
      <c r="T438" s="4"/>
    </row>
    <row r="439" spans="18:20">
      <c r="R439" s="4"/>
      <c r="S439" s="4"/>
      <c r="T439" s="4"/>
    </row>
    <row r="440" spans="18:20">
      <c r="R440" s="4"/>
      <c r="S440" s="4"/>
      <c r="T440" s="4"/>
    </row>
  </sheetData>
  <autoFilter ref="A3:W343" xr:uid="{6071FA4E-13EC-4251-A216-A532E81E3B2C}"/>
  <sortState xmlns:xlrd2="http://schemas.microsoft.com/office/spreadsheetml/2017/richdata2" ref="A4:W343">
    <sortCondition ref="F4:F343"/>
    <sortCondition ref="A4:A343"/>
  </sortState>
  <mergeCells count="18">
    <mergeCell ref="V1:V3"/>
    <mergeCell ref="S1:T2"/>
    <mergeCell ref="U1:U3"/>
    <mergeCell ref="O2:O3"/>
    <mergeCell ref="M2:N2"/>
    <mergeCell ref="P1:Q2"/>
    <mergeCell ref="R1:R3"/>
    <mergeCell ref="G1:O1"/>
    <mergeCell ref="I2:I3"/>
    <mergeCell ref="J2:L2"/>
    <mergeCell ref="A1:A3"/>
    <mergeCell ref="E1:E3"/>
    <mergeCell ref="F1:F3"/>
    <mergeCell ref="G2:G3"/>
    <mergeCell ref="H2:H3"/>
    <mergeCell ref="B1:B3"/>
    <mergeCell ref="C1:C3"/>
    <mergeCell ref="D1:D3"/>
  </mergeCells>
  <phoneticPr fontId="3"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L236"/>
  <sheetViews>
    <sheetView tabSelected="1" topLeftCell="A41" workbookViewId="0">
      <selection activeCell="A236" sqref="A236"/>
    </sheetView>
  </sheetViews>
  <sheetFormatPr baseColWidth="10" defaultColWidth="10.83203125" defaultRowHeight="16"/>
  <sheetData>
    <row r="1" spans="1:12">
      <c r="A1" s="4" t="s">
        <v>15</v>
      </c>
      <c r="D1" s="51" t="s">
        <v>406</v>
      </c>
    </row>
    <row r="2" spans="1:12" ht="22" customHeight="1">
      <c r="A2" s="4" t="s">
        <v>166</v>
      </c>
    </row>
    <row r="3" spans="1:12" ht="16" customHeight="1">
      <c r="A3" t="s">
        <v>884</v>
      </c>
    </row>
    <row r="4" spans="1:12">
      <c r="A4" t="s">
        <v>1034</v>
      </c>
      <c r="H4" s="7"/>
      <c r="I4" s="7"/>
      <c r="J4" s="7"/>
      <c r="L4" s="7"/>
    </row>
    <row r="5" spans="1:12">
      <c r="A5" t="s">
        <v>1035</v>
      </c>
      <c r="H5" s="7"/>
      <c r="I5" s="7"/>
      <c r="J5" s="7"/>
    </row>
    <row r="6" spans="1:12">
      <c r="A6" t="s">
        <v>1036</v>
      </c>
      <c r="H6" s="7"/>
      <c r="I6" s="7"/>
      <c r="J6" s="7"/>
    </row>
    <row r="7" spans="1:12">
      <c r="A7" t="s">
        <v>382</v>
      </c>
    </row>
    <row r="8" spans="1:12">
      <c r="A8" t="s">
        <v>126</v>
      </c>
    </row>
    <row r="9" spans="1:12" s="28" customFormat="1">
      <c r="A9" t="s">
        <v>646</v>
      </c>
    </row>
    <row r="10" spans="1:12" s="28" customFormat="1">
      <c r="A10" t="s">
        <v>453</v>
      </c>
    </row>
    <row r="11" spans="1:12" s="28" customFormat="1">
      <c r="A11" s="77" t="s">
        <v>489</v>
      </c>
    </row>
    <row r="12" spans="1:12" s="28" customFormat="1">
      <c r="A12" t="s">
        <v>490</v>
      </c>
    </row>
    <row r="13" spans="1:12" s="28" customFormat="1">
      <c r="A13" t="s">
        <v>891</v>
      </c>
      <c r="B13"/>
      <c r="C13"/>
    </row>
    <row r="14" spans="1:12" s="28" customFormat="1">
      <c r="A14" s="36" t="s">
        <v>491</v>
      </c>
    </row>
    <row r="15" spans="1:12" s="28" customFormat="1">
      <c r="A15" t="s">
        <v>492</v>
      </c>
    </row>
    <row r="16" spans="1:12">
      <c r="A16" s="77" t="s">
        <v>493</v>
      </c>
      <c r="B16" s="28"/>
      <c r="C16" s="28"/>
    </row>
    <row r="17" spans="1:1">
      <c r="A17" s="77" t="s">
        <v>494</v>
      </c>
    </row>
    <row r="18" spans="1:1">
      <c r="A18" s="35" t="s">
        <v>496</v>
      </c>
    </row>
    <row r="19" spans="1:1">
      <c r="A19" s="35" t="s">
        <v>497</v>
      </c>
    </row>
    <row r="20" spans="1:1">
      <c r="A20" s="8" t="s">
        <v>498</v>
      </c>
    </row>
    <row r="21" spans="1:1">
      <c r="A21" s="35" t="s">
        <v>499</v>
      </c>
    </row>
    <row r="22" spans="1:1">
      <c r="A22" t="s">
        <v>585</v>
      </c>
    </row>
    <row r="23" spans="1:1">
      <c r="A23" s="36" t="s">
        <v>586</v>
      </c>
    </row>
    <row r="25" spans="1:1">
      <c r="A25" s="4" t="s">
        <v>20</v>
      </c>
    </row>
    <row r="26" spans="1:1">
      <c r="A26" t="s">
        <v>22</v>
      </c>
    </row>
    <row r="27" spans="1:1">
      <c r="A27" t="s">
        <v>23</v>
      </c>
    </row>
    <row r="28" spans="1:1">
      <c r="A28" t="s">
        <v>29</v>
      </c>
    </row>
    <row r="29" spans="1:1">
      <c r="A29" t="s">
        <v>30</v>
      </c>
    </row>
    <row r="30" spans="1:1">
      <c r="A30" t="s">
        <v>47</v>
      </c>
    </row>
    <row r="31" spans="1:1">
      <c r="A31" t="s">
        <v>48</v>
      </c>
    </row>
    <row r="32" spans="1:1">
      <c r="A32" t="s">
        <v>46</v>
      </c>
    </row>
    <row r="33" spans="1:1">
      <c r="A33" t="s">
        <v>465</v>
      </c>
    </row>
    <row r="35" spans="1:1">
      <c r="A35" s="4" t="s">
        <v>12</v>
      </c>
    </row>
    <row r="36" spans="1:1">
      <c r="A36" t="s">
        <v>32</v>
      </c>
    </row>
    <row r="37" spans="1:1">
      <c r="A37" t="s">
        <v>33</v>
      </c>
    </row>
    <row r="38" spans="1:1">
      <c r="A38" t="s">
        <v>34</v>
      </c>
    </row>
    <row r="39" spans="1:1">
      <c r="A39" t="s">
        <v>51</v>
      </c>
    </row>
    <row r="40" spans="1:1">
      <c r="A40" t="s">
        <v>35</v>
      </c>
    </row>
    <row r="41" spans="1:1">
      <c r="A41" t="s">
        <v>235</v>
      </c>
    </row>
    <row r="42" spans="1:1">
      <c r="A42" t="s">
        <v>236</v>
      </c>
    </row>
    <row r="43" spans="1:1">
      <c r="A43" t="s">
        <v>237</v>
      </c>
    </row>
    <row r="45" spans="1:1">
      <c r="A45" s="4" t="s">
        <v>40</v>
      </c>
    </row>
    <row r="46" spans="1:1">
      <c r="A46" t="s">
        <v>41</v>
      </c>
    </row>
    <row r="47" spans="1:1">
      <c r="A47" t="s">
        <v>42</v>
      </c>
    </row>
    <row r="48" spans="1:1">
      <c r="A48" t="s">
        <v>43</v>
      </c>
    </row>
    <row r="49" spans="1:1">
      <c r="A49" t="s">
        <v>44</v>
      </c>
    </row>
    <row r="50" spans="1:1">
      <c r="A50" t="s">
        <v>45</v>
      </c>
    </row>
    <row r="51" spans="1:1">
      <c r="A51" t="s">
        <v>110</v>
      </c>
    </row>
    <row r="52" spans="1:1">
      <c r="A52" t="s">
        <v>238</v>
      </c>
    </row>
    <row r="53" spans="1:1">
      <c r="A53" t="s">
        <v>645</v>
      </c>
    </row>
    <row r="55" spans="1:1">
      <c r="A55" s="4" t="s">
        <v>52</v>
      </c>
    </row>
    <row r="56" spans="1:1">
      <c r="A56" t="s">
        <v>67</v>
      </c>
    </row>
    <row r="57" spans="1:1">
      <c r="A57" t="s">
        <v>69</v>
      </c>
    </row>
    <row r="58" spans="1:1">
      <c r="A58" t="s">
        <v>70</v>
      </c>
    </row>
    <row r="59" spans="1:1">
      <c r="A59" t="s">
        <v>98</v>
      </c>
    </row>
    <row r="60" spans="1:1">
      <c r="A60" t="s">
        <v>99</v>
      </c>
    </row>
    <row r="61" spans="1:1">
      <c r="A61" t="s">
        <v>101</v>
      </c>
    </row>
    <row r="63" spans="1:1">
      <c r="A63" s="4" t="s">
        <v>105</v>
      </c>
    </row>
    <row r="64" spans="1:1">
      <c r="A64" t="s">
        <v>106</v>
      </c>
    </row>
    <row r="65" spans="1:1">
      <c r="A65" t="s">
        <v>107</v>
      </c>
    </row>
    <row r="67" spans="1:1">
      <c r="A67" s="4" t="s">
        <v>121</v>
      </c>
    </row>
    <row r="68" spans="1:1">
      <c r="A68" t="s">
        <v>127</v>
      </c>
    </row>
    <row r="69" spans="1:1">
      <c r="A69" t="s">
        <v>128</v>
      </c>
    </row>
    <row r="70" spans="1:1">
      <c r="A70" t="s">
        <v>130</v>
      </c>
    </row>
    <row r="71" spans="1:1">
      <c r="A71" t="s">
        <v>131</v>
      </c>
    </row>
    <row r="72" spans="1:1">
      <c r="A72" t="s">
        <v>132</v>
      </c>
    </row>
    <row r="73" spans="1:1">
      <c r="A73" t="s">
        <v>133</v>
      </c>
    </row>
    <row r="74" spans="1:1">
      <c r="A74" t="s">
        <v>134</v>
      </c>
    </row>
    <row r="75" spans="1:1">
      <c r="A75" t="s">
        <v>136</v>
      </c>
    </row>
    <row r="76" spans="1:1">
      <c r="A76" t="s">
        <v>138</v>
      </c>
    </row>
    <row r="77" spans="1:1">
      <c r="A77" t="s">
        <v>254</v>
      </c>
    </row>
    <row r="78" spans="1:1">
      <c r="A78" t="s">
        <v>126</v>
      </c>
    </row>
    <row r="79" spans="1:1">
      <c r="A79" t="s">
        <v>340</v>
      </c>
    </row>
    <row r="80" spans="1:1">
      <c r="A80" t="s">
        <v>347</v>
      </c>
    </row>
    <row r="81" spans="1:1">
      <c r="A81" t="s">
        <v>348</v>
      </c>
    </row>
    <row r="82" spans="1:1">
      <c r="A82" t="s">
        <v>452</v>
      </c>
    </row>
    <row r="84" spans="1:1">
      <c r="A84" s="4" t="s">
        <v>145</v>
      </c>
    </row>
    <row r="85" spans="1:1">
      <c r="A85" t="s">
        <v>147</v>
      </c>
    </row>
    <row r="86" spans="1:1">
      <c r="A86" t="s">
        <v>149</v>
      </c>
    </row>
    <row r="87" spans="1:1">
      <c r="A87" t="s">
        <v>150</v>
      </c>
    </row>
    <row r="88" spans="1:1">
      <c r="A88" t="s">
        <v>152</v>
      </c>
    </row>
    <row r="89" spans="1:1">
      <c r="A89" t="s">
        <v>1071</v>
      </c>
    </row>
    <row r="90" spans="1:1">
      <c r="A90" s="51"/>
    </row>
    <row r="91" spans="1:1">
      <c r="A91" s="4" t="s">
        <v>159</v>
      </c>
    </row>
    <row r="92" spans="1:1">
      <c r="A92" t="s">
        <v>528</v>
      </c>
    </row>
    <row r="93" spans="1:1">
      <c r="A93" t="s">
        <v>201</v>
      </c>
    </row>
    <row r="94" spans="1:1">
      <c r="A94" t="s">
        <v>532</v>
      </c>
    </row>
    <row r="96" spans="1:1">
      <c r="A96" s="4" t="s">
        <v>157</v>
      </c>
    </row>
    <row r="97" spans="1:1">
      <c r="A97" t="s">
        <v>184</v>
      </c>
    </row>
    <row r="98" spans="1:1">
      <c r="A98" t="s">
        <v>184</v>
      </c>
    </row>
    <row r="99" spans="1:1">
      <c r="A99" t="s">
        <v>464</v>
      </c>
    </row>
    <row r="100" spans="1:1">
      <c r="A100" t="s">
        <v>188</v>
      </c>
    </row>
    <row r="102" spans="1:1">
      <c r="A102" s="4" t="s">
        <v>200</v>
      </c>
    </row>
    <row r="103" spans="1:1">
      <c r="A103" t="s">
        <v>204</v>
      </c>
    </row>
    <row r="104" spans="1:1">
      <c r="A104" t="s">
        <v>209</v>
      </c>
    </row>
    <row r="105" spans="1:1">
      <c r="A105" t="s">
        <v>215</v>
      </c>
    </row>
    <row r="106" spans="1:1">
      <c r="A106" t="s">
        <v>216</v>
      </c>
    </row>
    <row r="107" spans="1:1">
      <c r="A107" t="s">
        <v>1073</v>
      </c>
    </row>
    <row r="108" spans="1:1">
      <c r="A108" t="s">
        <v>1074</v>
      </c>
    </row>
    <row r="109" spans="1:1">
      <c r="A109" s="54" t="s">
        <v>1072</v>
      </c>
    </row>
    <row r="110" spans="1:1">
      <c r="A110" s="54"/>
    </row>
    <row r="111" spans="1:1">
      <c r="A111" s="4" t="s">
        <v>217</v>
      </c>
    </row>
    <row r="112" spans="1:1">
      <c r="A112" t="s">
        <v>220</v>
      </c>
    </row>
    <row r="113" spans="1:1">
      <c r="A113" t="s">
        <v>221</v>
      </c>
    </row>
    <row r="114" spans="1:1">
      <c r="A114" t="s">
        <v>230</v>
      </c>
    </row>
    <row r="115" spans="1:1">
      <c r="A115" t="s">
        <v>218</v>
      </c>
    </row>
    <row r="116" spans="1:1">
      <c r="A116" t="s">
        <v>514</v>
      </c>
    </row>
    <row r="117" spans="1:1">
      <c r="A117" t="s">
        <v>515</v>
      </c>
    </row>
    <row r="119" spans="1:1">
      <c r="A119" s="4" t="s">
        <v>223</v>
      </c>
    </row>
    <row r="120" spans="1:1">
      <c r="A120" t="s">
        <v>224</v>
      </c>
    </row>
    <row r="121" spans="1:1">
      <c r="A121" t="s">
        <v>226</v>
      </c>
    </row>
    <row r="122" spans="1:1">
      <c r="A122" t="s">
        <v>228</v>
      </c>
    </row>
    <row r="123" spans="1:1">
      <c r="A123" t="s">
        <v>229</v>
      </c>
    </row>
    <row r="125" spans="1:1">
      <c r="A125" s="4" t="s">
        <v>240</v>
      </c>
    </row>
    <row r="126" spans="1:1">
      <c r="A126" t="s">
        <v>238</v>
      </c>
    </row>
    <row r="127" spans="1:1">
      <c r="A127" t="s">
        <v>236</v>
      </c>
    </row>
    <row r="128" spans="1:1">
      <c r="A128" t="s">
        <v>237</v>
      </c>
    </row>
    <row r="130" spans="1:1">
      <c r="A130" s="4" t="s">
        <v>241</v>
      </c>
    </row>
    <row r="131" spans="1:1">
      <c r="A131" t="s">
        <v>247</v>
      </c>
    </row>
    <row r="132" spans="1:1">
      <c r="A132" t="s">
        <v>248</v>
      </c>
    </row>
    <row r="133" spans="1:1">
      <c r="A133" t="s">
        <v>249</v>
      </c>
    </row>
    <row r="134" spans="1:1">
      <c r="A134" t="s">
        <v>250</v>
      </c>
    </row>
    <row r="135" spans="1:1">
      <c r="A135" t="s">
        <v>237</v>
      </c>
    </row>
    <row r="136" spans="1:1">
      <c r="A136" t="s">
        <v>236</v>
      </c>
    </row>
    <row r="137" spans="1:1">
      <c r="A137" t="s">
        <v>250</v>
      </c>
    </row>
    <row r="139" spans="1:1">
      <c r="A139" s="4" t="s">
        <v>255</v>
      </c>
    </row>
    <row r="140" spans="1:1">
      <c r="A140" t="s">
        <v>256</v>
      </c>
    </row>
    <row r="141" spans="1:1">
      <c r="A141" t="s">
        <v>257</v>
      </c>
    </row>
    <row r="143" spans="1:1">
      <c r="A143" s="4" t="s">
        <v>258</v>
      </c>
    </row>
    <row r="144" spans="1:1">
      <c r="A144" t="s">
        <v>259</v>
      </c>
    </row>
    <row r="145" spans="1:1">
      <c r="A145" t="s">
        <v>260</v>
      </c>
    </row>
    <row r="146" spans="1:1">
      <c r="A146" t="s">
        <v>261</v>
      </c>
    </row>
    <row r="148" spans="1:1">
      <c r="A148" s="4" t="s">
        <v>163</v>
      </c>
    </row>
    <row r="149" spans="1:1">
      <c r="A149" t="s">
        <v>267</v>
      </c>
    </row>
    <row r="150" spans="1:1">
      <c r="A150" t="s">
        <v>268</v>
      </c>
    </row>
    <row r="151" spans="1:1">
      <c r="A151" t="s">
        <v>269</v>
      </c>
    </row>
    <row r="152" spans="1:1">
      <c r="A152" t="s">
        <v>270</v>
      </c>
    </row>
    <row r="153" spans="1:1">
      <c r="A153" t="s">
        <v>271</v>
      </c>
    </row>
    <row r="154" spans="1:1">
      <c r="A154" t="s">
        <v>273</v>
      </c>
    </row>
    <row r="155" spans="1:1">
      <c r="A155" t="s">
        <v>274</v>
      </c>
    </row>
    <row r="156" spans="1:1">
      <c r="A156" t="s">
        <v>277</v>
      </c>
    </row>
    <row r="157" spans="1:1">
      <c r="A157" t="s">
        <v>278</v>
      </c>
    </row>
    <row r="158" spans="1:1">
      <c r="A158" t="s">
        <v>281</v>
      </c>
    </row>
    <row r="160" spans="1:1">
      <c r="A160" s="4" t="s">
        <v>283</v>
      </c>
    </row>
    <row r="161" spans="1:1">
      <c r="A161" t="s">
        <v>289</v>
      </c>
    </row>
    <row r="162" spans="1:1">
      <c r="A162" t="s">
        <v>290</v>
      </c>
    </row>
    <row r="163" spans="1:1">
      <c r="A163" t="s">
        <v>291</v>
      </c>
    </row>
    <row r="164" spans="1:1">
      <c r="A164" t="s">
        <v>292</v>
      </c>
    </row>
    <row r="165" spans="1:1">
      <c r="A165" t="s">
        <v>293</v>
      </c>
    </row>
    <row r="166" spans="1:1">
      <c r="A166" t="s">
        <v>294</v>
      </c>
    </row>
    <row r="167" spans="1:1">
      <c r="A167" t="s">
        <v>293</v>
      </c>
    </row>
    <row r="168" spans="1:1">
      <c r="A168" t="s">
        <v>295</v>
      </c>
    </row>
    <row r="169" spans="1:1">
      <c r="A169" t="s">
        <v>296</v>
      </c>
    </row>
    <row r="170" spans="1:1">
      <c r="A170" t="s">
        <v>298</v>
      </c>
    </row>
    <row r="171" spans="1:1">
      <c r="A171" t="s">
        <v>299</v>
      </c>
    </row>
    <row r="172" spans="1:1">
      <c r="A172" t="s">
        <v>300</v>
      </c>
    </row>
    <row r="173" spans="1:1">
      <c r="A173" t="s">
        <v>301</v>
      </c>
    </row>
    <row r="174" spans="1:1">
      <c r="A174" t="s">
        <v>303</v>
      </c>
    </row>
    <row r="175" spans="1:1">
      <c r="A175" t="s">
        <v>305</v>
      </c>
    </row>
    <row r="177" spans="1:1">
      <c r="A177" s="4" t="s">
        <v>161</v>
      </c>
    </row>
    <row r="178" spans="1:1">
      <c r="A178" t="s">
        <v>386</v>
      </c>
    </row>
    <row r="179" spans="1:1">
      <c r="A179" t="s">
        <v>387</v>
      </c>
    </row>
    <row r="180" spans="1:1">
      <c r="A180" t="s">
        <v>388</v>
      </c>
    </row>
    <row r="181" spans="1:1">
      <c r="A181" t="s">
        <v>389</v>
      </c>
    </row>
    <row r="182" spans="1:1">
      <c r="A182" t="s">
        <v>390</v>
      </c>
    </row>
    <row r="183" spans="1:1">
      <c r="A183" t="s">
        <v>391</v>
      </c>
    </row>
    <row r="184" spans="1:1">
      <c r="A184" t="s">
        <v>393</v>
      </c>
    </row>
    <row r="185" spans="1:1">
      <c r="A185" t="s">
        <v>394</v>
      </c>
    </row>
    <row r="186" spans="1:1">
      <c r="A186" t="s">
        <v>412</v>
      </c>
    </row>
    <row r="187" spans="1:1">
      <c r="A187" t="s">
        <v>413</v>
      </c>
    </row>
    <row r="188" spans="1:1">
      <c r="A188" t="s">
        <v>414</v>
      </c>
    </row>
    <row r="189" spans="1:1">
      <c r="A189" t="s">
        <v>420</v>
      </c>
    </row>
    <row r="190" spans="1:1">
      <c r="A190" t="s">
        <v>1075</v>
      </c>
    </row>
    <row r="192" spans="1:1">
      <c r="A192" s="4" t="s">
        <v>395</v>
      </c>
    </row>
    <row r="193" spans="1:1">
      <c r="A193" t="s">
        <v>400</v>
      </c>
    </row>
    <row r="194" spans="1:1">
      <c r="A194" t="s">
        <v>425</v>
      </c>
    </row>
    <row r="195" spans="1:1">
      <c r="A195" t="s">
        <v>426</v>
      </c>
    </row>
    <row r="196" spans="1:1">
      <c r="A196" t="s">
        <v>428</v>
      </c>
    </row>
    <row r="197" spans="1:1">
      <c r="A197" t="s">
        <v>429</v>
      </c>
    </row>
    <row r="198" spans="1:1">
      <c r="A198" t="s">
        <v>435</v>
      </c>
    </row>
    <row r="200" spans="1:1">
      <c r="A200" s="4" t="s">
        <v>444</v>
      </c>
    </row>
    <row r="201" spans="1:1">
      <c r="A201" t="s">
        <v>445</v>
      </c>
    </row>
    <row r="202" spans="1:1">
      <c r="A202" t="s">
        <v>451</v>
      </c>
    </row>
    <row r="203" spans="1:1">
      <c r="A203" t="s">
        <v>466</v>
      </c>
    </row>
    <row r="204" spans="1:1">
      <c r="A204" t="s">
        <v>467</v>
      </c>
    </row>
    <row r="205" spans="1:1">
      <c r="A205" t="s">
        <v>468</v>
      </c>
    </row>
    <row r="206" spans="1:1">
      <c r="A206" t="s">
        <v>480</v>
      </c>
    </row>
    <row r="207" spans="1:1">
      <c r="A207" t="s">
        <v>563</v>
      </c>
    </row>
    <row r="208" spans="1:1">
      <c r="A208" t="s">
        <v>566</v>
      </c>
    </row>
    <row r="209" spans="1:1">
      <c r="A209" t="s">
        <v>567</v>
      </c>
    </row>
    <row r="210" spans="1:1">
      <c r="A210" t="s">
        <v>575</v>
      </c>
    </row>
    <row r="211" spans="1:1">
      <c r="A211" t="s">
        <v>578</v>
      </c>
    </row>
    <row r="212" spans="1:1">
      <c r="A212" t="s">
        <v>578</v>
      </c>
    </row>
    <row r="213" spans="1:1">
      <c r="A213" t="s">
        <v>582</v>
      </c>
    </row>
    <row r="215" spans="1:1">
      <c r="A215" s="4" t="s">
        <v>461</v>
      </c>
    </row>
    <row r="216" spans="1:1">
      <c r="A216" t="s">
        <v>484</v>
      </c>
    </row>
    <row r="217" spans="1:1">
      <c r="A217" t="s">
        <v>486</v>
      </c>
    </row>
    <row r="219" spans="1:1">
      <c r="A219" s="4" t="s">
        <v>14</v>
      </c>
    </row>
    <row r="220" spans="1:1">
      <c r="A220" t="s">
        <v>495</v>
      </c>
    </row>
    <row r="222" spans="1:1">
      <c r="A222" s="4" t="s">
        <v>167</v>
      </c>
    </row>
    <row r="223" spans="1:1">
      <c r="A223" t="s">
        <v>507</v>
      </c>
    </row>
    <row r="225" spans="1:9">
      <c r="A225" s="4" t="s">
        <v>541</v>
      </c>
    </row>
    <row r="226" spans="1:9">
      <c r="A226" t="s">
        <v>545</v>
      </c>
    </row>
    <row r="227" spans="1:9">
      <c r="A227" t="s">
        <v>556</v>
      </c>
    </row>
    <row r="228" spans="1:9">
      <c r="A228" t="s">
        <v>557</v>
      </c>
    </row>
    <row r="229" spans="1:9">
      <c r="A229" t="s">
        <v>561</v>
      </c>
    </row>
    <row r="231" spans="1:9">
      <c r="A231" s="4" t="s">
        <v>589</v>
      </c>
    </row>
    <row r="232" spans="1:9">
      <c r="A232" t="s">
        <v>591</v>
      </c>
    </row>
    <row r="233" spans="1:9">
      <c r="D233" s="4"/>
      <c r="E233" s="4"/>
      <c r="F233" s="4"/>
      <c r="G233" s="4"/>
      <c r="H233" s="4"/>
      <c r="I233" s="4"/>
    </row>
    <row r="234" spans="1:9">
      <c r="A234" s="4" t="s">
        <v>508</v>
      </c>
      <c r="B234" s="4"/>
      <c r="C234" s="4"/>
      <c r="D234" s="4"/>
      <c r="E234" s="4"/>
      <c r="F234" s="4"/>
      <c r="G234" s="4"/>
      <c r="H234" s="4"/>
      <c r="I234" s="4"/>
    </row>
    <row r="235" spans="1:9">
      <c r="A235" s="4" t="s">
        <v>592</v>
      </c>
      <c r="B235" s="4"/>
      <c r="C235" s="4"/>
      <c r="D235" s="4"/>
      <c r="E235" s="4"/>
      <c r="F235" s="4"/>
      <c r="G235" s="4"/>
      <c r="H235" s="4"/>
      <c r="I235" s="4"/>
    </row>
    <row r="236" spans="1:9">
      <c r="A236" s="4"/>
      <c r="B236" s="4"/>
      <c r="C236" s="4"/>
    </row>
  </sheetData>
  <hyperlinks>
    <hyperlink ref="D1" location="Overview!A1" display="Overview" xr:uid="{C3FA6771-C774-C04A-82CE-7E191EF6F7D7}"/>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52"/>
  <sheetViews>
    <sheetView topLeftCell="A11" workbookViewId="0">
      <selection activeCell="D24" sqref="D24"/>
    </sheetView>
  </sheetViews>
  <sheetFormatPr baseColWidth="10" defaultRowHeight="16"/>
  <cols>
    <col min="1" max="1" width="17.33203125" customWidth="1"/>
    <col min="2" max="2" width="32.6640625" customWidth="1"/>
    <col min="3" max="3" width="13.83203125" customWidth="1"/>
    <col min="4" max="4" width="17.33203125" customWidth="1"/>
  </cols>
  <sheetData>
    <row r="1" spans="1:5">
      <c r="A1" s="76" t="s">
        <v>454</v>
      </c>
      <c r="B1" s="76"/>
      <c r="C1" s="76"/>
      <c r="D1" s="76"/>
    </row>
    <row r="2" spans="1:5" ht="51">
      <c r="A2" s="29" t="s">
        <v>3</v>
      </c>
      <c r="B2" s="29" t="s">
        <v>455</v>
      </c>
      <c r="C2" s="30" t="s">
        <v>456</v>
      </c>
      <c r="D2" s="30" t="s">
        <v>457</v>
      </c>
    </row>
    <row r="3" spans="1:5">
      <c r="A3" s="73" t="s">
        <v>11</v>
      </c>
      <c r="B3" s="31">
        <v>2008</v>
      </c>
      <c r="C3" s="31">
        <v>1</v>
      </c>
      <c r="D3" s="31">
        <v>1</v>
      </c>
    </row>
    <row r="4" spans="1:5">
      <c r="A4" s="75"/>
      <c r="B4" s="12">
        <v>2011</v>
      </c>
      <c r="C4" s="12">
        <v>1</v>
      </c>
      <c r="D4" s="12">
        <v>1</v>
      </c>
    </row>
    <row r="5" spans="1:5">
      <c r="A5" s="73" t="s">
        <v>458</v>
      </c>
      <c r="B5" s="31">
        <v>2002</v>
      </c>
      <c r="C5" s="31">
        <v>0</v>
      </c>
      <c r="D5" s="31">
        <v>1</v>
      </c>
    </row>
    <row r="6" spans="1:5">
      <c r="A6" s="74"/>
      <c r="B6">
        <v>2008</v>
      </c>
      <c r="C6">
        <v>1</v>
      </c>
      <c r="D6">
        <v>1</v>
      </c>
    </row>
    <row r="7" spans="1:5">
      <c r="A7" s="75"/>
      <c r="B7" s="12">
        <v>2011</v>
      </c>
      <c r="C7" s="12">
        <v>1</v>
      </c>
      <c r="D7" s="12">
        <v>1</v>
      </c>
    </row>
    <row r="8" spans="1:5">
      <c r="A8" s="32" t="s">
        <v>14</v>
      </c>
      <c r="B8" s="33">
        <v>1995</v>
      </c>
      <c r="C8" s="33">
        <v>1</v>
      </c>
      <c r="D8" s="33">
        <v>1</v>
      </c>
      <c r="E8" t="s">
        <v>459</v>
      </c>
    </row>
    <row r="9" spans="1:5">
      <c r="A9" s="73" t="s">
        <v>52</v>
      </c>
      <c r="B9" s="31">
        <v>2008</v>
      </c>
      <c r="C9" s="31">
        <v>1</v>
      </c>
      <c r="D9" s="31">
        <v>1</v>
      </c>
    </row>
    <row r="10" spans="1:5">
      <c r="A10" s="75"/>
      <c r="B10" s="12">
        <v>2011</v>
      </c>
      <c r="C10" s="12">
        <v>1</v>
      </c>
      <c r="D10" s="12">
        <v>1</v>
      </c>
    </row>
    <row r="11" spans="1:5">
      <c r="A11" s="73" t="s">
        <v>105</v>
      </c>
      <c r="B11" s="31">
        <v>2002</v>
      </c>
      <c r="C11" s="31">
        <v>0</v>
      </c>
      <c r="D11" s="31">
        <v>1</v>
      </c>
    </row>
    <row r="12" spans="1:5">
      <c r="A12" s="75"/>
      <c r="B12" s="12">
        <v>2008</v>
      </c>
      <c r="C12" s="12">
        <v>0</v>
      </c>
      <c r="D12" s="12">
        <v>1</v>
      </c>
    </row>
    <row r="13" spans="1:5">
      <c r="A13" s="73" t="s">
        <v>40</v>
      </c>
      <c r="B13" s="31">
        <v>2008</v>
      </c>
      <c r="C13" s="31">
        <v>0</v>
      </c>
      <c r="D13" s="31">
        <v>1</v>
      </c>
    </row>
    <row r="14" spans="1:5">
      <c r="A14" s="75"/>
      <c r="B14" s="12">
        <v>2011</v>
      </c>
      <c r="C14" s="12">
        <v>0</v>
      </c>
      <c r="D14" s="12">
        <v>1</v>
      </c>
    </row>
    <row r="15" spans="1:5">
      <c r="A15" s="73" t="s">
        <v>121</v>
      </c>
      <c r="B15" s="31">
        <v>2002</v>
      </c>
      <c r="C15" s="31">
        <v>0</v>
      </c>
      <c r="D15" s="31">
        <v>1</v>
      </c>
    </row>
    <row r="16" spans="1:5">
      <c r="A16" s="74"/>
      <c r="B16">
        <v>2008</v>
      </c>
      <c r="C16">
        <v>1</v>
      </c>
      <c r="D16">
        <v>1</v>
      </c>
    </row>
    <row r="17" spans="1:4">
      <c r="A17" s="75"/>
      <c r="B17" s="12">
        <v>2011</v>
      </c>
      <c r="C17" s="12">
        <v>0</v>
      </c>
      <c r="D17" s="12">
        <v>1</v>
      </c>
    </row>
    <row r="18" spans="1:4">
      <c r="A18" s="73" t="s">
        <v>145</v>
      </c>
      <c r="B18" s="31">
        <v>2001</v>
      </c>
      <c r="C18" s="31">
        <v>0</v>
      </c>
      <c r="D18" s="31">
        <v>1</v>
      </c>
    </row>
    <row r="19" spans="1:4">
      <c r="A19" s="74"/>
      <c r="B19">
        <v>2008</v>
      </c>
      <c r="C19">
        <v>0</v>
      </c>
      <c r="D19">
        <v>1</v>
      </c>
    </row>
    <row r="20" spans="1:4">
      <c r="A20" s="75"/>
      <c r="B20" s="12">
        <v>2010</v>
      </c>
      <c r="C20" s="12">
        <v>1</v>
      </c>
      <c r="D20" s="12">
        <v>1</v>
      </c>
    </row>
    <row r="21" spans="1:4">
      <c r="A21" s="32" t="s">
        <v>159</v>
      </c>
      <c r="B21" s="33">
        <v>2008</v>
      </c>
      <c r="C21" s="33">
        <v>1</v>
      </c>
      <c r="D21" s="33">
        <v>1</v>
      </c>
    </row>
    <row r="22" spans="1:4">
      <c r="A22" s="73" t="s">
        <v>157</v>
      </c>
      <c r="B22" s="31">
        <v>2007</v>
      </c>
      <c r="C22" s="31">
        <v>1</v>
      </c>
      <c r="D22" s="31">
        <v>1</v>
      </c>
    </row>
    <row r="23" spans="1:4">
      <c r="A23" s="74"/>
      <c r="B23">
        <v>2010</v>
      </c>
      <c r="C23">
        <v>1</v>
      </c>
      <c r="D23">
        <v>1</v>
      </c>
    </row>
    <row r="24" spans="1:4">
      <c r="A24" s="75"/>
      <c r="B24" s="12">
        <v>2016</v>
      </c>
      <c r="C24" s="12">
        <v>0</v>
      </c>
      <c r="D24" s="12">
        <v>1</v>
      </c>
    </row>
    <row r="25" spans="1:4">
      <c r="A25" s="73" t="s">
        <v>200</v>
      </c>
      <c r="B25" s="31">
        <v>2008</v>
      </c>
      <c r="C25" s="31">
        <v>0</v>
      </c>
      <c r="D25" s="31">
        <v>1</v>
      </c>
    </row>
    <row r="26" spans="1:4">
      <c r="A26" s="74"/>
      <c r="B26">
        <v>2010</v>
      </c>
      <c r="C26">
        <v>1</v>
      </c>
      <c r="D26">
        <v>1</v>
      </c>
    </row>
    <row r="27" spans="1:4">
      <c r="A27" s="75"/>
      <c r="B27" s="12">
        <v>2016</v>
      </c>
      <c r="C27" s="12">
        <v>1</v>
      </c>
      <c r="D27" s="12">
        <v>1</v>
      </c>
    </row>
    <row r="28" spans="1:4">
      <c r="A28" s="73" t="s">
        <v>240</v>
      </c>
      <c r="B28" s="31">
        <v>2008</v>
      </c>
      <c r="C28" s="31">
        <v>1</v>
      </c>
      <c r="D28" s="31">
        <v>1</v>
      </c>
    </row>
    <row r="29" spans="1:4">
      <c r="A29" s="75"/>
      <c r="B29" s="12">
        <v>2012</v>
      </c>
      <c r="C29" s="12">
        <v>0</v>
      </c>
      <c r="D29" s="12">
        <v>1</v>
      </c>
    </row>
    <row r="30" spans="1:4">
      <c r="A30" s="73" t="s">
        <v>242</v>
      </c>
      <c r="B30" s="31">
        <v>2002</v>
      </c>
      <c r="C30" s="31">
        <v>0</v>
      </c>
      <c r="D30" s="31">
        <v>1</v>
      </c>
    </row>
    <row r="31" spans="1:4">
      <c r="A31" s="74"/>
      <c r="B31">
        <v>2008</v>
      </c>
      <c r="C31">
        <v>1</v>
      </c>
      <c r="D31">
        <v>1</v>
      </c>
    </row>
    <row r="32" spans="1:4">
      <c r="A32" s="75"/>
      <c r="B32" s="12">
        <v>2011</v>
      </c>
      <c r="C32" s="12">
        <v>0</v>
      </c>
      <c r="D32" s="12">
        <v>1</v>
      </c>
    </row>
    <row r="33" spans="1:4">
      <c r="A33" s="32" t="s">
        <v>460</v>
      </c>
      <c r="B33" s="33">
        <v>2008</v>
      </c>
      <c r="C33" s="33">
        <v>0</v>
      </c>
      <c r="D33" s="33">
        <v>1</v>
      </c>
    </row>
    <row r="34" spans="1:4">
      <c r="A34" s="73" t="s">
        <v>163</v>
      </c>
      <c r="B34" s="31">
        <v>2002</v>
      </c>
      <c r="C34" s="31">
        <v>0</v>
      </c>
      <c r="D34" s="31">
        <v>1</v>
      </c>
    </row>
    <row r="35" spans="1:4">
      <c r="A35" s="74"/>
      <c r="B35">
        <v>2008</v>
      </c>
      <c r="C35">
        <v>1</v>
      </c>
      <c r="D35">
        <v>1</v>
      </c>
    </row>
    <row r="36" spans="1:4">
      <c r="A36" s="74"/>
      <c r="B36">
        <v>2011</v>
      </c>
      <c r="C36">
        <v>1</v>
      </c>
      <c r="D36">
        <v>1</v>
      </c>
    </row>
    <row r="37" spans="1:4">
      <c r="A37" s="75"/>
      <c r="B37" s="12">
        <v>2014</v>
      </c>
      <c r="C37" s="12">
        <v>1</v>
      </c>
      <c r="D37" s="12">
        <v>1</v>
      </c>
    </row>
    <row r="38" spans="1:4">
      <c r="A38" s="73" t="s">
        <v>161</v>
      </c>
      <c r="B38" s="31">
        <v>2002</v>
      </c>
      <c r="C38" s="31">
        <v>0</v>
      </c>
      <c r="D38" s="31">
        <v>1</v>
      </c>
    </row>
    <row r="39" spans="1:4">
      <c r="A39" s="74"/>
      <c r="B39">
        <v>2008</v>
      </c>
      <c r="C39">
        <v>1</v>
      </c>
      <c r="D39">
        <v>1</v>
      </c>
    </row>
    <row r="40" spans="1:4">
      <c r="A40" s="75"/>
      <c r="B40" s="12">
        <v>2010</v>
      </c>
      <c r="C40" s="12">
        <v>1</v>
      </c>
      <c r="D40" s="12">
        <v>1</v>
      </c>
    </row>
    <row r="41" spans="1:4">
      <c r="A41" s="73" t="s">
        <v>395</v>
      </c>
      <c r="B41" s="31">
        <v>2002</v>
      </c>
      <c r="C41" s="31">
        <v>0</v>
      </c>
      <c r="D41" s="31">
        <v>1</v>
      </c>
    </row>
    <row r="42" spans="1:4">
      <c r="A42" s="75"/>
      <c r="B42" s="12">
        <v>2008</v>
      </c>
      <c r="C42" s="12">
        <v>1</v>
      </c>
      <c r="D42" s="12">
        <v>1</v>
      </c>
    </row>
    <row r="43" spans="1:4">
      <c r="A43" s="32" t="s">
        <v>461</v>
      </c>
      <c r="B43" s="33">
        <v>2008</v>
      </c>
      <c r="C43" s="33">
        <v>0</v>
      </c>
      <c r="D43" s="33">
        <v>1</v>
      </c>
    </row>
    <row r="44" spans="1:4">
      <c r="A44" s="74" t="s">
        <v>438</v>
      </c>
      <c r="B44">
        <v>2008</v>
      </c>
      <c r="C44">
        <v>1</v>
      </c>
      <c r="D44">
        <v>1</v>
      </c>
    </row>
    <row r="45" spans="1:4">
      <c r="A45" s="75"/>
      <c r="B45" s="12">
        <v>2011</v>
      </c>
      <c r="C45" s="12">
        <v>0</v>
      </c>
      <c r="D45" s="12">
        <v>1</v>
      </c>
    </row>
    <row r="48" spans="1:4">
      <c r="A48" t="s">
        <v>462</v>
      </c>
    </row>
    <row r="49" spans="1:1">
      <c r="A49" s="4" t="s">
        <v>883</v>
      </c>
    </row>
    <row r="51" spans="1:1">
      <c r="A51" t="s">
        <v>463</v>
      </c>
    </row>
    <row r="52" spans="1:1">
      <c r="A52" t="s">
        <v>587</v>
      </c>
    </row>
  </sheetData>
  <mergeCells count="16">
    <mergeCell ref="A13:A14"/>
    <mergeCell ref="A1:D1"/>
    <mergeCell ref="A3:A4"/>
    <mergeCell ref="A5:A7"/>
    <mergeCell ref="A9:A10"/>
    <mergeCell ref="A11:A12"/>
    <mergeCell ref="A34:A37"/>
    <mergeCell ref="A38:A40"/>
    <mergeCell ref="A41:A42"/>
    <mergeCell ref="A44:A45"/>
    <mergeCell ref="A15:A17"/>
    <mergeCell ref="A18:A20"/>
    <mergeCell ref="A22:A24"/>
    <mergeCell ref="A25:A27"/>
    <mergeCell ref="A28:A29"/>
    <mergeCell ref="A30:A3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Main Table</vt:lpstr>
      <vt:lpstr>Sources</vt:lpstr>
      <vt:lpstr>Banking Crises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Quentin Bro de Comères</dc:creator>
  <cp:lastModifiedBy>Quentin Bro de Comères</cp:lastModifiedBy>
  <dcterms:created xsi:type="dcterms:W3CDTF">2020-12-12T10:04:14Z</dcterms:created>
  <dcterms:modified xsi:type="dcterms:W3CDTF">2025-03-27T10:47:37Z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446553443</vt:i4>
  </property>
  <property fmtid="{D5CDD505-2E9C-101B-9397-08002B2CF9AE}" pid="3" name="_NewReviewCycle">
    <vt:lpwstr/>
  </property>
  <property fmtid="{D5CDD505-2E9C-101B-9397-08002B2CF9AE}" pid="4" name="_EmailSubject">
    <vt:lpwstr>Enjoy!</vt:lpwstr>
  </property>
  <property fmtid="{D5CDD505-2E9C-101B-9397-08002B2CF9AE}" pid="5" name="_AuthorEmail">
    <vt:lpwstr>quentin.bro.de.comeres@centralbank.ie</vt:lpwstr>
  </property>
  <property fmtid="{D5CDD505-2E9C-101B-9397-08002B2CF9AE}" pid="6" name="_AuthorEmailDisplayName">
    <vt:lpwstr>Bro de Comeres, Quentin</vt:lpwstr>
  </property>
</Properties>
</file>