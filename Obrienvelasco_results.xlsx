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mugrabi\Desktop\House_credit_cycles\B_Data\Raw_data\OBrien_Velasco\"/>
    </mc:Choice>
  </mc:AlternateContent>
  <bookViews>
    <workbookView xWindow="0" yWindow="0" windowWidth="28800" windowHeight="11960" activeTab="1"/>
  </bookViews>
  <sheets>
    <sheet name="Source" sheetId="3" r:id="rId1"/>
    <sheet name="OV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7" i="2" l="1"/>
  <c r="B137" i="2"/>
  <c r="A137" i="2"/>
  <c r="B136" i="2" l="1"/>
  <c r="G136" i="2"/>
  <c r="G135" i="2" l="1"/>
  <c r="B135" i="2"/>
  <c r="B134" i="2" l="1"/>
  <c r="G134" i="2"/>
  <c r="G133" i="2" l="1"/>
  <c r="B133" i="2"/>
  <c r="B132" i="2" l="1"/>
  <c r="G132" i="2"/>
  <c r="B131" i="2" l="1"/>
  <c r="G131" i="2"/>
  <c r="B130" i="2" l="1"/>
  <c r="B129" i="2"/>
  <c r="G130" i="2"/>
  <c r="G129" i="2"/>
  <c r="G128" i="2" l="1"/>
  <c r="B128" i="2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A78" i="2"/>
  <c r="A74" i="2" s="1"/>
  <c r="A70" i="2" s="1"/>
  <c r="A66" i="2" s="1"/>
  <c r="A62" i="2" s="1"/>
  <c r="A58" i="2" s="1"/>
  <c r="A54" i="2" s="1"/>
  <c r="A50" i="2" s="1"/>
  <c r="A46" i="2" s="1"/>
  <c r="A42" i="2" s="1"/>
  <c r="A38" i="2" s="1"/>
  <c r="A34" i="2" s="1"/>
  <c r="A30" i="2" s="1"/>
  <c r="A26" i="2" s="1"/>
  <c r="A22" i="2" s="1"/>
  <c r="A18" i="2" s="1"/>
  <c r="A14" i="2" s="1"/>
  <c r="A10" i="2" s="1"/>
  <c r="A6" i="2" s="1"/>
  <c r="A2" i="2" s="1"/>
  <c r="B78" i="2"/>
  <c r="A79" i="2"/>
  <c r="A75" i="2" s="1"/>
  <c r="A71" i="2" s="1"/>
  <c r="A67" i="2" s="1"/>
  <c r="A63" i="2" s="1"/>
  <c r="A59" i="2" s="1"/>
  <c r="A55" i="2" s="1"/>
  <c r="A51" i="2" s="1"/>
  <c r="A47" i="2" s="1"/>
  <c r="A43" i="2" s="1"/>
  <c r="A39" i="2" s="1"/>
  <c r="A35" i="2" s="1"/>
  <c r="A31" i="2" s="1"/>
  <c r="A27" i="2" s="1"/>
  <c r="A23" i="2" s="1"/>
  <c r="A19" i="2" s="1"/>
  <c r="A15" i="2" s="1"/>
  <c r="A11" i="2" s="1"/>
  <c r="A7" i="2" s="1"/>
  <c r="A3" i="2" s="1"/>
  <c r="B79" i="2"/>
  <c r="A80" i="2"/>
  <c r="A76" i="2" s="1"/>
  <c r="A72" i="2" s="1"/>
  <c r="A68" i="2" s="1"/>
  <c r="A64" i="2" s="1"/>
  <c r="A60" i="2" s="1"/>
  <c r="A56" i="2" s="1"/>
  <c r="A52" i="2" s="1"/>
  <c r="A48" i="2" s="1"/>
  <c r="A44" i="2" s="1"/>
  <c r="A40" i="2" s="1"/>
  <c r="A36" i="2" s="1"/>
  <c r="A32" i="2" s="1"/>
  <c r="A28" i="2" s="1"/>
  <c r="A24" i="2" s="1"/>
  <c r="A20" i="2" s="1"/>
  <c r="A16" i="2" s="1"/>
  <c r="A12" i="2" s="1"/>
  <c r="A8" i="2" s="1"/>
  <c r="A4" i="2" s="1"/>
  <c r="B80" i="2"/>
  <c r="A81" i="2"/>
  <c r="A77" i="2" s="1"/>
  <c r="A73" i="2" s="1"/>
  <c r="A69" i="2" s="1"/>
  <c r="A65" i="2" s="1"/>
  <c r="A61" i="2" s="1"/>
  <c r="A57" i="2" s="1"/>
  <c r="A53" i="2" s="1"/>
  <c r="A49" i="2" s="1"/>
  <c r="A45" i="2" s="1"/>
  <c r="A41" i="2" s="1"/>
  <c r="A37" i="2" s="1"/>
  <c r="A33" i="2" s="1"/>
  <c r="A29" i="2" s="1"/>
  <c r="A25" i="2" s="1"/>
  <c r="A21" i="2" s="1"/>
  <c r="A17" i="2" s="1"/>
  <c r="A13" i="2" s="1"/>
  <c r="A9" i="2" s="1"/>
  <c r="A5" i="2" s="1"/>
  <c r="B81" i="2"/>
  <c r="B82" i="2"/>
  <c r="B83" i="2"/>
  <c r="B84" i="2"/>
  <c r="B85" i="2"/>
  <c r="A86" i="2"/>
  <c r="A90" i="2" s="1"/>
  <c r="A94" i="2" s="1"/>
  <c r="A98" i="2" s="1"/>
  <c r="A102" i="2" s="1"/>
  <c r="A106" i="2" s="1"/>
  <c r="A110" i="2" s="1"/>
  <c r="A114" i="2" s="1"/>
  <c r="A118" i="2" s="1"/>
  <c r="A122" i="2" s="1"/>
  <c r="A126" i="2" s="1"/>
  <c r="A130" i="2" s="1"/>
  <c r="A134" i="2" s="1"/>
  <c r="B86" i="2"/>
  <c r="A87" i="2"/>
  <c r="A91" i="2" s="1"/>
  <c r="A95" i="2" s="1"/>
  <c r="A99" i="2" s="1"/>
  <c r="A103" i="2" s="1"/>
  <c r="A107" i="2" s="1"/>
  <c r="A111" i="2" s="1"/>
  <c r="A115" i="2" s="1"/>
  <c r="A119" i="2" s="1"/>
  <c r="A123" i="2" s="1"/>
  <c r="A127" i="2" s="1"/>
  <c r="A131" i="2" s="1"/>
  <c r="A135" i="2" s="1"/>
  <c r="B87" i="2"/>
  <c r="A88" i="2"/>
  <c r="A92" i="2" s="1"/>
  <c r="A96" i="2" s="1"/>
  <c r="A100" i="2" s="1"/>
  <c r="A104" i="2" s="1"/>
  <c r="A108" i="2" s="1"/>
  <c r="A112" i="2" s="1"/>
  <c r="A116" i="2" s="1"/>
  <c r="A120" i="2" s="1"/>
  <c r="A124" i="2" s="1"/>
  <c r="A128" i="2" s="1"/>
  <c r="A132" i="2" s="1"/>
  <c r="A136" i="2" s="1"/>
  <c r="B88" i="2"/>
  <c r="A89" i="2"/>
  <c r="A93" i="2" s="1"/>
  <c r="A97" i="2" s="1"/>
  <c r="A101" i="2" s="1"/>
  <c r="A105" i="2" s="1"/>
  <c r="A109" i="2" s="1"/>
  <c r="A113" i="2" s="1"/>
  <c r="A117" i="2" s="1"/>
  <c r="A121" i="2" s="1"/>
  <c r="A125" i="2" s="1"/>
  <c r="A129" i="2" s="1"/>
  <c r="A133" i="2" s="1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</calcChain>
</file>

<file path=xl/sharedStrings.xml><?xml version="1.0" encoding="utf-8"?>
<sst xmlns="http://schemas.openxmlformats.org/spreadsheetml/2006/main" count="17" uniqueCount="17">
  <si>
    <t>2011Q4</t>
  </si>
  <si>
    <t>2011Q3</t>
  </si>
  <si>
    <t>2011Q2</t>
  </si>
  <si>
    <t>2011Q1</t>
  </si>
  <si>
    <t>Median gap</t>
  </si>
  <si>
    <t>HPI (2020 Q4)</t>
  </si>
  <si>
    <t>HPI (2021 Q3)</t>
  </si>
  <si>
    <t>HPR (2020 Q2)</t>
  </si>
  <si>
    <t>HPR (2017 Q2)</t>
  </si>
  <si>
    <t>Alt. credit gap (revised)</t>
  </si>
  <si>
    <t>file:///\\Filescluster\shared\MPS\WORD\MPFS%20DEPT\Alternative%20credit%20gap\Revision\Gap%20updates.xlsx</t>
  </si>
  <si>
    <r>
      <t>O’Brien, M., &amp; Velasco, S. (2025). Macro-financial imbalances and cyclical systemic risk dynamics: understanding the factors driving the financial cycle in the presence of non-linearities. </t>
    </r>
    <r>
      <rPr>
        <i/>
        <sz val="7"/>
        <color rgb="FF222222"/>
        <rFont val="Arial"/>
        <family val="2"/>
      </rPr>
      <t>Macroeconomic Dynamics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29</t>
    </r>
    <r>
      <rPr>
        <sz val="7"/>
        <color rgb="FF222222"/>
        <rFont val="Arial"/>
        <family val="2"/>
      </rPr>
      <t>, e13.</t>
    </r>
  </si>
  <si>
    <t>link</t>
  </si>
  <si>
    <t>Date</t>
  </si>
  <si>
    <t>OV: O'Brien and Velasco</t>
  </si>
  <si>
    <t>Farah Mugrabi</t>
  </si>
  <si>
    <t>Results are reported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</si>
</sst>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7" x14ac:knownFonts="1">
    <font>
      <sz val="11"/>
      <color theme="1"/>
      <name val="Lato"/>
      <family val="2"/>
      <scheme val="minor"/>
    </font>
    <font>
      <b/>
      <sz val="11"/>
      <color theme="1"/>
      <name val="Lato"/>
      <family val="2"/>
      <scheme val="minor"/>
    </font>
    <font>
      <sz val="7"/>
      <color rgb="FF222222"/>
      <name val="Arial"/>
      <family val="2"/>
    </font>
    <font>
      <i/>
      <sz val="7"/>
      <color rgb="FF222222"/>
      <name val="Arial"/>
      <family val="2"/>
    </font>
    <font>
      <u/>
      <sz val="11"/>
      <color theme="10"/>
      <name val="Lato"/>
      <family val="2"/>
      <scheme val="minor"/>
    </font>
    <font>
      <u/>
      <sz val="11"/>
      <color theme="1"/>
      <name val="Lato"/>
      <family val="2"/>
      <scheme val="minor"/>
    </font>
    <font>
      <i/>
      <sz val="11"/>
      <color theme="1"/>
      <name val="Lato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0" borderId="0" xfId="0" applyFont="1"/>
    <xf numFmtId="164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entralBank_MasterTheme">
  <a:themeElements>
    <a:clrScheme name="CentralBank_MasterColours">
      <a:dk1>
        <a:sysClr val="windowText" lastClr="000000"/>
      </a:dk1>
      <a:lt1>
        <a:sysClr val="window" lastClr="FFFFFF"/>
      </a:lt1>
      <a:dk2>
        <a:srgbClr val="7C477E"/>
      </a:dk2>
      <a:lt2>
        <a:srgbClr val="09506C"/>
      </a:lt2>
      <a:accent1>
        <a:srgbClr val="0083A0"/>
      </a:accent1>
      <a:accent2>
        <a:srgbClr val="5EC5C2"/>
      </a:accent2>
      <a:accent3>
        <a:srgbClr val="D4E388"/>
      </a:accent3>
      <a:accent4>
        <a:srgbClr val="007DC3"/>
      </a:accent4>
      <a:accent5>
        <a:srgbClr val="D12E7C"/>
      </a:accent5>
      <a:accent6>
        <a:srgbClr val="F57E20"/>
      </a:accent6>
      <a:hlink>
        <a:srgbClr val="007DC3"/>
      </a:hlink>
      <a:folHlink>
        <a:srgbClr val="7C477E"/>
      </a:folHlink>
    </a:clrScheme>
    <a:fontScheme name="CentralBank_MasterFonts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mbridge.org/core/journals/macroeconomic-dynamics/article/macrofinancial-imbalances-and-cyclical-systemic-risk-dynamics-understanding-the-factors-driving-the-financial-cycle-in-the-presence-of-nonlinearities/79267C54232B84F87EC3ACCB13BF361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9"/>
  <sheetViews>
    <sheetView workbookViewId="0"/>
  </sheetViews>
  <sheetFormatPr defaultRowHeight="14" x14ac:dyDescent="0.3"/>
  <sheetData>
    <row r="1" spans="1:1" x14ac:dyDescent="0.3">
      <c r="A1" s="8" t="s">
        <v>14</v>
      </c>
    </row>
    <row r="2" spans="1:1" x14ac:dyDescent="0.3">
      <c r="A2" s="8"/>
    </row>
    <row r="3" spans="1:1" x14ac:dyDescent="0.3">
      <c r="A3" s="8" t="s">
        <v>11</v>
      </c>
    </row>
    <row r="4" spans="1:1" x14ac:dyDescent="0.3">
      <c r="A4" s="6" t="s">
        <v>12</v>
      </c>
    </row>
    <row r="6" spans="1:1" x14ac:dyDescent="0.3">
      <c r="A6" s="8" t="s">
        <v>16</v>
      </c>
    </row>
    <row r="7" spans="1:1" x14ac:dyDescent="0.3">
      <c r="A7" t="s">
        <v>10</v>
      </c>
    </row>
    <row r="9" spans="1:1" x14ac:dyDescent="0.3">
      <c r="A9" s="7" t="s">
        <v>15</v>
      </c>
    </row>
  </sheetData>
  <hyperlinks>
    <hyperlink ref="A4" r:id="rId1"/>
  </hyperlinks>
  <pageMargins left="0.7" right="0.7" top="0.75" bottom="0.75" header="0.3" footer="0.3"/>
  <pageSetup paperSize="9" orientation="portrait" r:id="rId2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37"/>
  <sheetViews>
    <sheetView tabSelected="1" topLeftCell="A120" zoomScale="85" zoomScaleNormal="85" workbookViewId="0">
      <selection activeCell="A137" sqref="A137"/>
    </sheetView>
  </sheetViews>
  <sheetFormatPr defaultRowHeight="14" x14ac:dyDescent="0.3"/>
  <cols>
    <col min="2" max="2" width="9.23046875" style="4"/>
  </cols>
  <sheetData>
    <row r="1" spans="1:7" ht="14.15" customHeight="1" x14ac:dyDescent="0.3">
      <c r="A1" t="s">
        <v>13</v>
      </c>
      <c r="B1" s="4" t="s">
        <v>9</v>
      </c>
      <c r="C1" s="3" t="s">
        <v>8</v>
      </c>
      <c r="D1" s="3" t="s">
        <v>7</v>
      </c>
      <c r="E1" s="3" t="s">
        <v>6</v>
      </c>
      <c r="F1" s="3" t="s">
        <v>5</v>
      </c>
      <c r="G1" s="3" t="s">
        <v>4</v>
      </c>
    </row>
    <row r="2" spans="1:7" x14ac:dyDescent="0.3">
      <c r="A2" t="str">
        <f t="shared" ref="A2:A33" si="0">LEFT(A6,4)-1&amp;RIGHT(A6,2)</f>
        <v>1991Q1</v>
      </c>
      <c r="B2" s="4">
        <f>AVERAGE(C2:C2)*100</f>
        <v>-31.377279777179602</v>
      </c>
      <c r="C2">
        <v>-0.31377279777179601</v>
      </c>
      <c r="D2">
        <v>-2.1293182101180121E-2</v>
      </c>
      <c r="E2">
        <v>-0.35428198395250055</v>
      </c>
      <c r="F2">
        <v>-0.27854913826168815</v>
      </c>
      <c r="G2">
        <f>_xlfn.PERCENTILE.INC(C2:F2,0.5)*100</f>
        <v>-29.616096801674207</v>
      </c>
    </row>
    <row r="3" spans="1:7" x14ac:dyDescent="0.3">
      <c r="A3" t="str">
        <f t="shared" si="0"/>
        <v>1991Q2</v>
      </c>
      <c r="B3" s="4">
        <f t="shared" ref="B3:B34" si="1">AVERAGE(C3:F3)*100</f>
        <v>-26.678897757502924</v>
      </c>
      <c r="C3">
        <v>-0.30840914458741686</v>
      </c>
      <c r="D3">
        <v>-6.2131204416263797E-2</v>
      </c>
      <c r="E3">
        <v>-0.36988037985043531</v>
      </c>
      <c r="F3">
        <v>-0.32673518144600083</v>
      </c>
      <c r="G3">
        <f t="shared" ref="G3:G66" si="2">_xlfn.PERCENTILE.INC(C3:F3,0.5)*100</f>
        <v>-31.757216301670887</v>
      </c>
    </row>
    <row r="4" spans="1:7" x14ac:dyDescent="0.3">
      <c r="A4" t="str">
        <f t="shared" si="0"/>
        <v>1991Q3</v>
      </c>
      <c r="B4" s="4">
        <f t="shared" si="1"/>
        <v>-26.841033550889748</v>
      </c>
      <c r="C4">
        <v>-0.29944896891282535</v>
      </c>
      <c r="D4">
        <v>-7.3825614717836857E-2</v>
      </c>
      <c r="E4">
        <v>-0.3667245529871026</v>
      </c>
      <c r="F4">
        <v>-0.33364220541782519</v>
      </c>
      <c r="G4">
        <f t="shared" si="2"/>
        <v>-31.654558716532527</v>
      </c>
    </row>
    <row r="5" spans="1:7" x14ac:dyDescent="0.3">
      <c r="A5" t="str">
        <f t="shared" si="0"/>
        <v>1991Q4</v>
      </c>
      <c r="B5" s="4">
        <f t="shared" si="1"/>
        <v>-25.068993950741834</v>
      </c>
      <c r="C5">
        <v>-0.27815057376888119</v>
      </c>
      <c r="D5">
        <v>-5.6717671116903123E-2</v>
      </c>
      <c r="E5">
        <v>-0.35090536680798556</v>
      </c>
      <c r="F5">
        <v>-0.3169861463359035</v>
      </c>
      <c r="G5">
        <f t="shared" si="2"/>
        <v>-29.756836005239233</v>
      </c>
    </row>
    <row r="6" spans="1:7" x14ac:dyDescent="0.3">
      <c r="A6" t="str">
        <f t="shared" si="0"/>
        <v>1992Q1</v>
      </c>
      <c r="B6" s="4">
        <f t="shared" si="1"/>
        <v>-22.457849603117815</v>
      </c>
      <c r="C6">
        <v>-0.25468502446873775</v>
      </c>
      <c r="D6">
        <v>-2.5580411637054889E-2</v>
      </c>
      <c r="E6">
        <v>-0.33916099249338316</v>
      </c>
      <c r="F6">
        <v>-0.27888755552553679</v>
      </c>
      <c r="G6">
        <f t="shared" si="2"/>
        <v>-26.678628999713727</v>
      </c>
    </row>
    <row r="7" spans="1:7" x14ac:dyDescent="0.3">
      <c r="A7" t="str">
        <f t="shared" si="0"/>
        <v>1992Q2</v>
      </c>
      <c r="B7" s="4">
        <f t="shared" si="1"/>
        <v>-20.529836479359584</v>
      </c>
      <c r="C7">
        <v>-0.24613116837318616</v>
      </c>
      <c r="D7">
        <v>-6.8161480947865564E-4</v>
      </c>
      <c r="E7">
        <v>-0.32593193615902699</v>
      </c>
      <c r="F7">
        <v>-0.24844873983269156</v>
      </c>
      <c r="G7">
        <f t="shared" si="2"/>
        <v>-24.728995410293887</v>
      </c>
    </row>
    <row r="8" spans="1:7" ht="14.5" customHeight="1" x14ac:dyDescent="0.3">
      <c r="A8" t="str">
        <f t="shared" si="0"/>
        <v>1992Q3</v>
      </c>
      <c r="B8" s="4">
        <f t="shared" si="1"/>
        <v>-20.283136877731078</v>
      </c>
      <c r="C8">
        <v>-0.24050584912221196</v>
      </c>
      <c r="D8">
        <v>7.0578145683106233E-3</v>
      </c>
      <c r="E8">
        <v>-0.34259118435238434</v>
      </c>
      <c r="F8">
        <v>-0.23528625620295734</v>
      </c>
      <c r="G8">
        <f t="shared" si="2"/>
        <v>-23.789605266258466</v>
      </c>
    </row>
    <row r="9" spans="1:7" x14ac:dyDescent="0.3">
      <c r="A9" t="str">
        <f t="shared" si="0"/>
        <v>1992Q4</v>
      </c>
      <c r="B9" s="4">
        <f t="shared" si="1"/>
        <v>-21.374095589751029</v>
      </c>
      <c r="C9">
        <v>-0.22797951294555299</v>
      </c>
      <c r="D9">
        <v>6.4479724489754781E-3</v>
      </c>
      <c r="E9">
        <v>-0.41285966138144592</v>
      </c>
      <c r="F9">
        <v>-0.2205726217120178</v>
      </c>
      <c r="G9">
        <f t="shared" si="2"/>
        <v>-22.427606732878541</v>
      </c>
    </row>
    <row r="10" spans="1:7" x14ac:dyDescent="0.3">
      <c r="A10" t="str">
        <f t="shared" si="0"/>
        <v>1993Q1</v>
      </c>
      <c r="B10" s="4">
        <f t="shared" si="1"/>
        <v>-22.23932595620246</v>
      </c>
      <c r="C10">
        <v>-0.22440863619642559</v>
      </c>
      <c r="D10">
        <v>-5.8271020157758369E-2</v>
      </c>
      <c r="E10">
        <v>-0.32106560504818804</v>
      </c>
      <c r="F10">
        <v>-0.28582777684572652</v>
      </c>
      <c r="G10">
        <f t="shared" si="2"/>
        <v>-25.511820652107609</v>
      </c>
    </row>
    <row r="11" spans="1:7" x14ac:dyDescent="0.3">
      <c r="A11" t="str">
        <f t="shared" si="0"/>
        <v>1993Q2</v>
      </c>
      <c r="B11" s="4">
        <f t="shared" si="1"/>
        <v>-25.67377626448668</v>
      </c>
      <c r="C11">
        <v>-0.24882005429536519</v>
      </c>
      <c r="D11">
        <v>-9.102050025232189E-2</v>
      </c>
      <c r="E11">
        <v>-0.36393659655157345</v>
      </c>
      <c r="F11">
        <v>-0.32317389948020669</v>
      </c>
      <c r="G11">
        <f t="shared" si="2"/>
        <v>-28.599697688778591</v>
      </c>
    </row>
    <row r="12" spans="1:7" x14ac:dyDescent="0.3">
      <c r="A12" t="str">
        <f t="shared" si="0"/>
        <v>1993Q3</v>
      </c>
      <c r="B12" s="4">
        <f t="shared" si="1"/>
        <v>-26.837717900459644</v>
      </c>
      <c r="C12">
        <v>-0.25108789273477139</v>
      </c>
      <c r="D12">
        <v>-6.5498685516263894E-2</v>
      </c>
      <c r="E12">
        <v>-0.44339692494512528</v>
      </c>
      <c r="F12">
        <v>-0.31352521282222512</v>
      </c>
      <c r="G12">
        <f t="shared" si="2"/>
        <v>-28.230655277849827</v>
      </c>
    </row>
    <row r="13" spans="1:7" x14ac:dyDescent="0.3">
      <c r="A13" t="str">
        <f t="shared" si="0"/>
        <v>1993Q4</v>
      </c>
      <c r="B13" s="4">
        <f t="shared" si="1"/>
        <v>-31.771078024001341</v>
      </c>
      <c r="C13">
        <v>-0.26148070134522466</v>
      </c>
      <c r="D13">
        <v>-0.14195576748097727</v>
      </c>
      <c r="E13">
        <v>-0.40599910857212584</v>
      </c>
      <c r="F13">
        <v>-0.46140754356172586</v>
      </c>
      <c r="G13">
        <f t="shared" si="2"/>
        <v>-33.373990495867524</v>
      </c>
    </row>
    <row r="14" spans="1:7" x14ac:dyDescent="0.3">
      <c r="A14" t="str">
        <f t="shared" si="0"/>
        <v>1994Q1</v>
      </c>
      <c r="B14" s="4">
        <f t="shared" si="1"/>
        <v>-37.207721643754169</v>
      </c>
      <c r="C14">
        <v>-0.29487233876166075</v>
      </c>
      <c r="D14">
        <v>-0.17523690261293859</v>
      </c>
      <c r="E14">
        <v>-0.46562116333811365</v>
      </c>
      <c r="F14">
        <v>-0.55257846103745378</v>
      </c>
      <c r="G14">
        <f t="shared" si="2"/>
        <v>-38.024675104988717</v>
      </c>
    </row>
    <row r="15" spans="1:7" x14ac:dyDescent="0.3">
      <c r="A15" t="str">
        <f t="shared" si="0"/>
        <v>1994Q2</v>
      </c>
      <c r="B15" s="4">
        <f t="shared" si="1"/>
        <v>-43.394685071658209</v>
      </c>
      <c r="C15">
        <v>-0.30597965714096897</v>
      </c>
      <c r="D15">
        <v>-0.22500469517754401</v>
      </c>
      <c r="E15">
        <v>-0.51412380548810266</v>
      </c>
      <c r="F15">
        <v>-0.69067924505971257</v>
      </c>
      <c r="G15">
        <f t="shared" si="2"/>
        <v>-41.005173131453581</v>
      </c>
    </row>
    <row r="16" spans="1:7" x14ac:dyDescent="0.3">
      <c r="A16" t="str">
        <f t="shared" si="0"/>
        <v>1994Q3</v>
      </c>
      <c r="B16" s="4">
        <f t="shared" si="1"/>
        <v>-46.937367354094903</v>
      </c>
      <c r="C16">
        <v>-0.35063973790212044</v>
      </c>
      <c r="D16">
        <v>-0.24603903171228247</v>
      </c>
      <c r="E16">
        <v>-0.56321816703762784</v>
      </c>
      <c r="F16">
        <v>-0.71759775751176513</v>
      </c>
      <c r="G16">
        <f t="shared" si="2"/>
        <v>-45.692895246987412</v>
      </c>
    </row>
    <row r="17" spans="1:7" x14ac:dyDescent="0.3">
      <c r="A17" t="str">
        <f t="shared" si="0"/>
        <v>1994Q4</v>
      </c>
      <c r="B17" s="4">
        <f t="shared" si="1"/>
        <v>-47.745038263128045</v>
      </c>
      <c r="C17">
        <v>-0.34869692951200643</v>
      </c>
      <c r="D17">
        <v>-0.24143462113395731</v>
      </c>
      <c r="E17">
        <v>-0.58827323367716833</v>
      </c>
      <c r="F17">
        <v>-0.73139674620198991</v>
      </c>
      <c r="G17">
        <f t="shared" si="2"/>
        <v>-46.848508159458731</v>
      </c>
    </row>
    <row r="18" spans="1:7" x14ac:dyDescent="0.3">
      <c r="A18" t="str">
        <f t="shared" si="0"/>
        <v>1995Q1</v>
      </c>
      <c r="B18" s="4">
        <f t="shared" si="1"/>
        <v>-43.942524527246292</v>
      </c>
      <c r="C18">
        <v>-0.32868714125683451</v>
      </c>
      <c r="D18">
        <v>-0.13995975281660988</v>
      </c>
      <c r="E18">
        <v>-0.60764434118693933</v>
      </c>
      <c r="F18">
        <v>-0.68140974582946789</v>
      </c>
      <c r="G18">
        <f t="shared" si="2"/>
        <v>-46.81657412218869</v>
      </c>
    </row>
    <row r="19" spans="1:7" x14ac:dyDescent="0.3">
      <c r="A19" t="str">
        <f t="shared" si="0"/>
        <v>1995Q2</v>
      </c>
      <c r="B19" s="4">
        <f t="shared" si="1"/>
        <v>-39.815807482884416</v>
      </c>
      <c r="C19">
        <v>-0.30302289902345514</v>
      </c>
      <c r="D19">
        <v>-8.7753843582680346E-2</v>
      </c>
      <c r="E19">
        <v>-0.58866360728965161</v>
      </c>
      <c r="F19">
        <v>-0.61319194941958932</v>
      </c>
      <c r="G19">
        <f t="shared" si="2"/>
        <v>-44.584325315655335</v>
      </c>
    </row>
    <row r="20" spans="1:7" x14ac:dyDescent="0.3">
      <c r="A20" t="str">
        <f t="shared" si="0"/>
        <v>1995Q3</v>
      </c>
      <c r="B20" s="4">
        <f t="shared" si="1"/>
        <v>-37.039171985283424</v>
      </c>
      <c r="C20">
        <v>-0.28963371210759303</v>
      </c>
      <c r="D20">
        <v>-8.0601090009598586E-2</v>
      </c>
      <c r="E20">
        <v>-0.55304639571695136</v>
      </c>
      <c r="F20">
        <v>-0.55828568157719394</v>
      </c>
      <c r="G20">
        <f t="shared" si="2"/>
        <v>-42.13400539122722</v>
      </c>
    </row>
    <row r="21" spans="1:7" x14ac:dyDescent="0.3">
      <c r="A21" t="str">
        <f t="shared" si="0"/>
        <v>1995Q4</v>
      </c>
      <c r="B21" s="4">
        <f t="shared" si="1"/>
        <v>-35.587070247131628</v>
      </c>
      <c r="C21">
        <v>-0.27580547886528461</v>
      </c>
      <c r="D21">
        <v>-7.0887005600054342E-2</v>
      </c>
      <c r="E21">
        <v>-0.56243421866818455</v>
      </c>
      <c r="F21">
        <v>-0.51435610675174159</v>
      </c>
      <c r="G21">
        <f t="shared" si="2"/>
        <v>-39.508079280851312</v>
      </c>
    </row>
    <row r="22" spans="1:7" x14ac:dyDescent="0.3">
      <c r="A22" t="str">
        <f t="shared" si="0"/>
        <v>1996Q1</v>
      </c>
      <c r="B22" s="4">
        <f t="shared" si="1"/>
        <v>-34.005987846994614</v>
      </c>
      <c r="C22">
        <v>-0.25124354429220952</v>
      </c>
      <c r="D22">
        <v>-8.0338567381154746E-2</v>
      </c>
      <c r="E22">
        <v>-0.54112064511377744</v>
      </c>
      <c r="F22">
        <v>-0.48753675709264288</v>
      </c>
      <c r="G22">
        <f t="shared" si="2"/>
        <v>-36.939015069242622</v>
      </c>
    </row>
    <row r="23" spans="1:7" x14ac:dyDescent="0.3">
      <c r="A23" t="str">
        <f t="shared" si="0"/>
        <v>1996Q2</v>
      </c>
      <c r="B23" s="4">
        <f t="shared" si="1"/>
        <v>-31.194610404731005</v>
      </c>
      <c r="C23">
        <v>-0.22627791212230897</v>
      </c>
      <c r="D23">
        <v>-8.0808775730319499E-2</v>
      </c>
      <c r="E23">
        <v>-0.4869932769680998</v>
      </c>
      <c r="F23">
        <v>-0.45370445136851195</v>
      </c>
      <c r="G23">
        <f t="shared" si="2"/>
        <v>-33.999118174541046</v>
      </c>
    </row>
    <row r="24" spans="1:7" x14ac:dyDescent="0.3">
      <c r="A24" t="str">
        <f t="shared" si="0"/>
        <v>1996Q3</v>
      </c>
      <c r="B24" s="4">
        <f t="shared" si="1"/>
        <v>-30.083723261338168</v>
      </c>
      <c r="C24">
        <v>-0.1963882281746408</v>
      </c>
      <c r="D24">
        <v>-9.4784729229657541E-2</v>
      </c>
      <c r="E24">
        <v>-0.47633439171081232</v>
      </c>
      <c r="F24">
        <v>-0.43584158133841622</v>
      </c>
      <c r="G24">
        <f t="shared" si="2"/>
        <v>-31.611490475652847</v>
      </c>
    </row>
    <row r="25" spans="1:7" x14ac:dyDescent="0.3">
      <c r="A25" t="str">
        <f t="shared" si="0"/>
        <v>1996Q4</v>
      </c>
      <c r="B25" s="4">
        <f t="shared" si="1"/>
        <v>-29.248040143932098</v>
      </c>
      <c r="C25">
        <v>-0.17872273589556953</v>
      </c>
      <c r="D25">
        <v>-0.13154537188713483</v>
      </c>
      <c r="E25">
        <v>-0.40766664685614595</v>
      </c>
      <c r="F25">
        <v>-0.4519868511184334</v>
      </c>
      <c r="G25">
        <f t="shared" si="2"/>
        <v>-29.319469137585774</v>
      </c>
    </row>
    <row r="26" spans="1:7" x14ac:dyDescent="0.3">
      <c r="A26" t="str">
        <f t="shared" si="0"/>
        <v>1997Q1</v>
      </c>
      <c r="B26" s="4">
        <f t="shared" si="1"/>
        <v>-26.046092092532657</v>
      </c>
      <c r="C26">
        <v>-0.13651902364429205</v>
      </c>
      <c r="D26">
        <v>-9.6483688353058872E-2</v>
      </c>
      <c r="E26">
        <v>-0.36934383956309469</v>
      </c>
      <c r="F26">
        <v>-0.43949713214086067</v>
      </c>
      <c r="G26">
        <f t="shared" si="2"/>
        <v>-25.293143160369336</v>
      </c>
    </row>
    <row r="27" spans="1:7" x14ac:dyDescent="0.3">
      <c r="A27" t="str">
        <f t="shared" si="0"/>
        <v>1997Q2</v>
      </c>
      <c r="B27" s="4">
        <f t="shared" si="1"/>
        <v>-23.317856928937555</v>
      </c>
      <c r="C27">
        <v>-0.10471508433770951</v>
      </c>
      <c r="D27">
        <v>-6.2233274113259379E-2</v>
      </c>
      <c r="E27">
        <v>-0.33081883217206998</v>
      </c>
      <c r="F27">
        <v>-0.43494708653446335</v>
      </c>
      <c r="G27">
        <f t="shared" si="2"/>
        <v>-21.776695825488972</v>
      </c>
    </row>
    <row r="28" spans="1:7" x14ac:dyDescent="0.3">
      <c r="A28" t="str">
        <f t="shared" si="0"/>
        <v>1997Q3</v>
      </c>
      <c r="B28" s="4">
        <f t="shared" si="1"/>
        <v>-23.211512258990727</v>
      </c>
      <c r="C28">
        <v>-0.10126857648701196</v>
      </c>
      <c r="D28">
        <v>-8.5226517663899493E-2</v>
      </c>
      <c r="E28">
        <v>-0.31433318383228132</v>
      </c>
      <c r="F28">
        <v>-0.42763221237643634</v>
      </c>
      <c r="G28">
        <f t="shared" si="2"/>
        <v>-20.780088015964665</v>
      </c>
    </row>
    <row r="29" spans="1:7" x14ac:dyDescent="0.3">
      <c r="A29" t="str">
        <f t="shared" si="0"/>
        <v>1997Q4</v>
      </c>
      <c r="B29" s="4">
        <f t="shared" si="1"/>
        <v>-24.550323020462496</v>
      </c>
      <c r="C29">
        <v>-0.10686198500887127</v>
      </c>
      <c r="D29">
        <v>-0.14792301572649186</v>
      </c>
      <c r="E29">
        <v>-0.27905292845279051</v>
      </c>
      <c r="F29">
        <v>-0.44817499163034624</v>
      </c>
      <c r="G29">
        <f t="shared" si="2"/>
        <v>-21.348797208964118</v>
      </c>
    </row>
    <row r="30" spans="1:7" x14ac:dyDescent="0.3">
      <c r="A30" t="str">
        <f t="shared" si="0"/>
        <v>1998Q1</v>
      </c>
      <c r="B30" s="4">
        <f t="shared" si="1"/>
        <v>-25.448286860613322</v>
      </c>
      <c r="C30">
        <v>-9.9199931856497892E-2</v>
      </c>
      <c r="D30">
        <v>-0.19648436703849032</v>
      </c>
      <c r="E30">
        <v>-0.27727399429781063</v>
      </c>
      <c r="F30">
        <v>-0.44497318123173413</v>
      </c>
      <c r="G30">
        <f t="shared" si="2"/>
        <v>-23.687918066815048</v>
      </c>
    </row>
    <row r="31" spans="1:7" x14ac:dyDescent="0.3">
      <c r="A31" t="str">
        <f t="shared" si="0"/>
        <v>1998Q2</v>
      </c>
      <c r="B31" s="4">
        <f t="shared" si="1"/>
        <v>-21.883186623999656</v>
      </c>
      <c r="C31">
        <v>-7.9948877533033244E-2</v>
      </c>
      <c r="D31">
        <v>-0.16454783610340817</v>
      </c>
      <c r="E31">
        <v>-0.22895439191941058</v>
      </c>
      <c r="F31">
        <v>-0.4018763594041343</v>
      </c>
      <c r="G31">
        <f t="shared" si="2"/>
        <v>-19.675111401140938</v>
      </c>
    </row>
    <row r="32" spans="1:7" x14ac:dyDescent="0.3">
      <c r="A32" t="str">
        <f t="shared" si="0"/>
        <v>1998Q3</v>
      </c>
      <c r="B32" s="4">
        <f t="shared" si="1"/>
        <v>-17.649490978256626</v>
      </c>
      <c r="C32">
        <v>-7.4883081938442786E-2</v>
      </c>
      <c r="D32">
        <v>-8.1223539529881955E-2</v>
      </c>
      <c r="E32">
        <v>-0.19539044728211982</v>
      </c>
      <c r="F32">
        <v>-0.35448257037982056</v>
      </c>
      <c r="G32">
        <f t="shared" si="2"/>
        <v>-13.83069934060009</v>
      </c>
    </row>
    <row r="33" spans="1:7" x14ac:dyDescent="0.3">
      <c r="A33" t="str">
        <f t="shared" si="0"/>
        <v>1998Q4</v>
      </c>
      <c r="B33" s="4">
        <f t="shared" si="1"/>
        <v>-12.894162454161556</v>
      </c>
      <c r="C33">
        <v>-4.0503570134327052E-2</v>
      </c>
      <c r="D33">
        <v>-2.2397242160144062E-4</v>
      </c>
      <c r="E33">
        <v>-0.17303709131687672</v>
      </c>
      <c r="F33">
        <v>-0.30200186429365705</v>
      </c>
      <c r="G33">
        <f t="shared" si="2"/>
        <v>-10.677033072560189</v>
      </c>
    </row>
    <row r="34" spans="1:7" x14ac:dyDescent="0.3">
      <c r="A34" t="str">
        <f t="shared" ref="A34:A65" si="3">LEFT(A38,4)-1&amp;RIGHT(A38,2)</f>
        <v>1999Q1</v>
      </c>
      <c r="B34" s="4">
        <f t="shared" si="1"/>
        <v>-8.870431026538439</v>
      </c>
      <c r="C34">
        <v>-7.1127796857528821E-3</v>
      </c>
      <c r="D34">
        <v>4.2625711598575318E-2</v>
      </c>
      <c r="E34">
        <v>-0.12053385243964783</v>
      </c>
      <c r="F34">
        <v>-0.26979632053471214</v>
      </c>
      <c r="G34">
        <f t="shared" si="2"/>
        <v>-6.3823316062700366</v>
      </c>
    </row>
    <row r="35" spans="1:7" x14ac:dyDescent="0.3">
      <c r="A35" t="str">
        <f t="shared" si="3"/>
        <v>1999Q2</v>
      </c>
      <c r="B35" s="4">
        <f t="shared" ref="B35:B66" si="4">AVERAGE(C35:F35)*100</f>
        <v>-5.8951080335684951</v>
      </c>
      <c r="C35">
        <v>8.9887548685222314E-3</v>
      </c>
      <c r="D35">
        <v>7.7174166138603367E-2</v>
      </c>
      <c r="E35">
        <v>-9.909203690956403E-2</v>
      </c>
      <c r="F35">
        <v>-0.22287520544030137</v>
      </c>
      <c r="G35">
        <f t="shared" si="2"/>
        <v>-4.5051641020520901</v>
      </c>
    </row>
    <row r="36" spans="1:7" x14ac:dyDescent="0.3">
      <c r="A36" t="str">
        <f t="shared" si="3"/>
        <v>1999Q3</v>
      </c>
      <c r="B36" s="4">
        <f t="shared" si="4"/>
        <v>-1.5762677321245846</v>
      </c>
      <c r="C36">
        <v>4.7447909310810318E-2</v>
      </c>
      <c r="D36">
        <v>0.12593432818600464</v>
      </c>
      <c r="E36">
        <v>-5.5172419491937595E-2</v>
      </c>
      <c r="F36">
        <v>-0.18126052728986075</v>
      </c>
      <c r="G36">
        <f t="shared" si="2"/>
        <v>-0.38622550905636421</v>
      </c>
    </row>
    <row r="37" spans="1:7" x14ac:dyDescent="0.3">
      <c r="A37" t="str">
        <f t="shared" si="3"/>
        <v>1999Q4</v>
      </c>
      <c r="B37" s="4">
        <f t="shared" si="4"/>
        <v>6.3568667413065744E-2</v>
      </c>
      <c r="C37">
        <v>6.5681597262290087E-2</v>
      </c>
      <c r="D37">
        <v>0.14402093124487886</v>
      </c>
      <c r="E37">
        <v>-2.4626618921596892E-2</v>
      </c>
      <c r="F37">
        <v>-0.18253316288904942</v>
      </c>
      <c r="G37">
        <f t="shared" si="2"/>
        <v>2.05274891703466</v>
      </c>
    </row>
    <row r="38" spans="1:7" x14ac:dyDescent="0.3">
      <c r="A38" t="str">
        <f t="shared" si="3"/>
        <v>2000Q1</v>
      </c>
      <c r="B38" s="4">
        <f t="shared" si="4"/>
        <v>4.1084612898332002</v>
      </c>
      <c r="C38">
        <v>9.3779964412728165E-2</v>
      </c>
      <c r="D38">
        <v>0.18610452835561844</v>
      </c>
      <c r="E38">
        <v>2.9150853172929404E-2</v>
      </c>
      <c r="F38">
        <v>-0.14469689434794802</v>
      </c>
      <c r="G38">
        <f t="shared" si="2"/>
        <v>6.1465408792828784</v>
      </c>
    </row>
    <row r="39" spans="1:7" x14ac:dyDescent="0.3">
      <c r="A39" t="str">
        <f t="shared" si="3"/>
        <v>2000Q2</v>
      </c>
      <c r="B39" s="4">
        <f t="shared" si="4"/>
        <v>6.2434283734367071</v>
      </c>
      <c r="C39">
        <v>0.10361918421013126</v>
      </c>
      <c r="D39">
        <v>0.19649785725039692</v>
      </c>
      <c r="E39">
        <v>6.8039540504905308E-2</v>
      </c>
      <c r="F39">
        <v>-0.11841944702796522</v>
      </c>
      <c r="G39">
        <f t="shared" si="2"/>
        <v>8.5829362357518288</v>
      </c>
    </row>
    <row r="40" spans="1:7" x14ac:dyDescent="0.3">
      <c r="A40" t="str">
        <f t="shared" si="3"/>
        <v>2000Q3</v>
      </c>
      <c r="B40" s="4">
        <f t="shared" si="4"/>
        <v>9.2554338864494525</v>
      </c>
      <c r="C40">
        <v>0.12940369532491691</v>
      </c>
      <c r="D40">
        <v>0.23166448648907689</v>
      </c>
      <c r="E40">
        <v>8.8464035420825121E-2</v>
      </c>
      <c r="F40">
        <v>-7.9314861776840884E-2</v>
      </c>
      <c r="G40">
        <f t="shared" si="2"/>
        <v>10.893386537287101</v>
      </c>
    </row>
    <row r="41" spans="1:7" x14ac:dyDescent="0.3">
      <c r="A41" t="str">
        <f t="shared" si="3"/>
        <v>2000Q4</v>
      </c>
      <c r="B41" s="4">
        <f t="shared" si="4"/>
        <v>11.896308013679006</v>
      </c>
      <c r="C41">
        <v>0.14601819039859426</v>
      </c>
      <c r="D41">
        <v>0.28089800865764969</v>
      </c>
      <c r="E41">
        <v>0.10808693725263746</v>
      </c>
      <c r="F41">
        <v>-5.9150815761721133E-2</v>
      </c>
      <c r="G41">
        <f t="shared" si="2"/>
        <v>12.705256382561586</v>
      </c>
    </row>
    <row r="42" spans="1:7" x14ac:dyDescent="0.3">
      <c r="A42" t="str">
        <f t="shared" si="3"/>
        <v>2001Q1</v>
      </c>
      <c r="B42" s="4">
        <f t="shared" si="4"/>
        <v>15.47057252247456</v>
      </c>
      <c r="C42">
        <v>0.1802704616263513</v>
      </c>
      <c r="D42">
        <v>0.32001637598448757</v>
      </c>
      <c r="E42">
        <v>0.14142855549058864</v>
      </c>
      <c r="F42">
        <v>-2.289249220244511E-2</v>
      </c>
      <c r="G42">
        <f t="shared" si="2"/>
        <v>16.084950855846998</v>
      </c>
    </row>
    <row r="43" spans="1:7" x14ac:dyDescent="0.3">
      <c r="A43" t="str">
        <f t="shared" si="3"/>
        <v>2001Q2</v>
      </c>
      <c r="B43" s="4">
        <f t="shared" si="4"/>
        <v>17.813141592342252</v>
      </c>
      <c r="C43">
        <v>0.19646372826990083</v>
      </c>
      <c r="D43">
        <v>0.32391826617239494</v>
      </c>
      <c r="E43">
        <v>0.16223454924531294</v>
      </c>
      <c r="F43">
        <v>2.9909120006081279E-2</v>
      </c>
      <c r="G43">
        <f t="shared" si="2"/>
        <v>17.934913875760689</v>
      </c>
    </row>
    <row r="44" spans="1:7" x14ac:dyDescent="0.3">
      <c r="A44" t="str">
        <f t="shared" si="3"/>
        <v>2001Q3</v>
      </c>
      <c r="B44" s="4">
        <f t="shared" si="4"/>
        <v>18.190515892124974</v>
      </c>
      <c r="C44">
        <v>0.21624635972953046</v>
      </c>
      <c r="D44">
        <v>0.30095977160030762</v>
      </c>
      <c r="E44">
        <v>0.16587955910644298</v>
      </c>
      <c r="F44">
        <v>4.4534945248718066E-2</v>
      </c>
      <c r="G44">
        <f t="shared" si="2"/>
        <v>19.106295941798674</v>
      </c>
    </row>
    <row r="45" spans="1:7" x14ac:dyDescent="0.3">
      <c r="A45" t="str">
        <f t="shared" si="3"/>
        <v>2001Q4</v>
      </c>
      <c r="B45" s="4">
        <f t="shared" si="4"/>
        <v>17.152150679225578</v>
      </c>
      <c r="C45">
        <v>0.21621091507068316</v>
      </c>
      <c r="D45">
        <v>0.2551403871018425</v>
      </c>
      <c r="E45">
        <v>0.16303796428071177</v>
      </c>
      <c r="F45">
        <v>5.1696760715785744E-2</v>
      </c>
      <c r="G45">
        <f t="shared" si="2"/>
        <v>18.962443967569747</v>
      </c>
    </row>
    <row r="46" spans="1:7" x14ac:dyDescent="0.3">
      <c r="A46" t="str">
        <f t="shared" si="3"/>
        <v>2002Q1</v>
      </c>
      <c r="B46" s="4">
        <f t="shared" si="4"/>
        <v>16.317028187489736</v>
      </c>
      <c r="C46">
        <v>0.21552352811274289</v>
      </c>
      <c r="D46">
        <v>0.20391010528710612</v>
      </c>
      <c r="E46">
        <v>0.17179164929330432</v>
      </c>
      <c r="F46">
        <v>6.1455844806436156E-2</v>
      </c>
      <c r="G46">
        <f t="shared" si="2"/>
        <v>18.785087729020521</v>
      </c>
    </row>
    <row r="47" spans="1:7" x14ac:dyDescent="0.3">
      <c r="A47" t="str">
        <f t="shared" si="3"/>
        <v>2002Q2</v>
      </c>
      <c r="B47" s="4">
        <f t="shared" si="4"/>
        <v>17.721538189378418</v>
      </c>
      <c r="C47">
        <v>0.2220829600969764</v>
      </c>
      <c r="D47">
        <v>0.21039291843730379</v>
      </c>
      <c r="E47">
        <v>0.19444795115102309</v>
      </c>
      <c r="F47">
        <v>8.1937697889833544E-2</v>
      </c>
      <c r="G47">
        <f t="shared" si="2"/>
        <v>20.242043479416346</v>
      </c>
    </row>
    <row r="48" spans="1:7" x14ac:dyDescent="0.3">
      <c r="A48" t="str">
        <f t="shared" si="3"/>
        <v>2002Q3</v>
      </c>
      <c r="B48" s="4">
        <f t="shared" si="4"/>
        <v>18.08375625468868</v>
      </c>
      <c r="C48">
        <v>0.22530886898647062</v>
      </c>
      <c r="D48">
        <v>0.19275294299946863</v>
      </c>
      <c r="E48">
        <v>0.21474428197242906</v>
      </c>
      <c r="F48">
        <v>9.0544156229178802E-2</v>
      </c>
      <c r="G48">
        <f t="shared" si="2"/>
        <v>20.374861248594883</v>
      </c>
    </row>
    <row r="49" spans="1:7" x14ac:dyDescent="0.3">
      <c r="A49" t="str">
        <f t="shared" si="3"/>
        <v>2002Q4</v>
      </c>
      <c r="B49" s="4">
        <f t="shared" si="4"/>
        <v>16.804334418497547</v>
      </c>
      <c r="C49">
        <v>0.21083115136015812</v>
      </c>
      <c r="D49">
        <v>0.16156275981834015</v>
      </c>
      <c r="E49">
        <v>0.20735939246829554</v>
      </c>
      <c r="F49">
        <v>9.2420073093107957E-2</v>
      </c>
      <c r="G49">
        <f t="shared" si="2"/>
        <v>18.446107614331787</v>
      </c>
    </row>
    <row r="50" spans="1:7" x14ac:dyDescent="0.3">
      <c r="A50" t="str">
        <f t="shared" si="3"/>
        <v>2003Q1</v>
      </c>
      <c r="B50" s="4">
        <f t="shared" si="4"/>
        <v>17.133600919625053</v>
      </c>
      <c r="C50">
        <v>0.21621995226570626</v>
      </c>
      <c r="D50">
        <v>0.16530468618349298</v>
      </c>
      <c r="E50">
        <v>0.20280898099094477</v>
      </c>
      <c r="F50">
        <v>0.10101041734485808</v>
      </c>
      <c r="G50">
        <f t="shared" si="2"/>
        <v>18.405683358721888</v>
      </c>
    </row>
    <row r="51" spans="1:7" x14ac:dyDescent="0.3">
      <c r="A51" t="str">
        <f t="shared" si="3"/>
        <v>2003Q2</v>
      </c>
      <c r="B51" s="4">
        <f t="shared" si="4"/>
        <v>18.566593621848813</v>
      </c>
      <c r="C51">
        <v>0.22818298539433807</v>
      </c>
      <c r="D51">
        <v>0.18732340184474169</v>
      </c>
      <c r="E51">
        <v>0.20689061045935372</v>
      </c>
      <c r="F51">
        <v>0.12026674717551913</v>
      </c>
      <c r="G51">
        <f t="shared" si="2"/>
        <v>19.710700615204772</v>
      </c>
    </row>
    <row r="52" spans="1:7" x14ac:dyDescent="0.3">
      <c r="A52" t="str">
        <f t="shared" si="3"/>
        <v>2003Q3</v>
      </c>
      <c r="B52" s="4">
        <f t="shared" si="4"/>
        <v>19.326951130903137</v>
      </c>
      <c r="C52">
        <v>0.23091801243607085</v>
      </c>
      <c r="D52">
        <v>0.19381846900352906</v>
      </c>
      <c r="E52">
        <v>0.21752085143997224</v>
      </c>
      <c r="F52">
        <v>0.13082071235655321</v>
      </c>
      <c r="G52">
        <f t="shared" si="2"/>
        <v>20.566966022175066</v>
      </c>
    </row>
    <row r="53" spans="1:7" x14ac:dyDescent="0.3">
      <c r="A53" t="str">
        <f t="shared" si="3"/>
        <v>2003Q4</v>
      </c>
      <c r="B53" s="4">
        <f t="shared" si="4"/>
        <v>22.22335815966365</v>
      </c>
      <c r="C53">
        <v>0.26545110097664276</v>
      </c>
      <c r="D53">
        <v>0.22541378676232723</v>
      </c>
      <c r="E53">
        <v>0.2342914702074621</v>
      </c>
      <c r="F53">
        <v>0.16377796844011394</v>
      </c>
      <c r="G53">
        <f t="shared" si="2"/>
        <v>22.985262848489469</v>
      </c>
    </row>
    <row r="54" spans="1:7" x14ac:dyDescent="0.3">
      <c r="A54" t="str">
        <f t="shared" si="3"/>
        <v>2004Q1</v>
      </c>
      <c r="B54" s="4">
        <f t="shared" si="4"/>
        <v>23.749917599086288</v>
      </c>
      <c r="C54">
        <v>0.284562400010547</v>
      </c>
      <c r="D54">
        <v>0.25283980993944277</v>
      </c>
      <c r="E54">
        <v>0.25154935302089543</v>
      </c>
      <c r="F54">
        <v>0.16104514099256634</v>
      </c>
      <c r="G54">
        <f t="shared" si="2"/>
        <v>25.219458148016908</v>
      </c>
    </row>
    <row r="55" spans="1:7" x14ac:dyDescent="0.3">
      <c r="A55" t="str">
        <f t="shared" si="3"/>
        <v>2004Q2</v>
      </c>
      <c r="B55" s="4">
        <f t="shared" si="4"/>
        <v>26.780061068000915</v>
      </c>
      <c r="C55">
        <v>0.3029936627422169</v>
      </c>
      <c r="D55">
        <v>0.30120144031564056</v>
      </c>
      <c r="E55">
        <v>0.27422608054268999</v>
      </c>
      <c r="F55">
        <v>0.19278125911948935</v>
      </c>
      <c r="G55">
        <f t="shared" si="2"/>
        <v>28.771376042916529</v>
      </c>
    </row>
    <row r="56" spans="1:7" x14ac:dyDescent="0.3">
      <c r="A56" t="str">
        <f t="shared" si="3"/>
        <v>2004Q3</v>
      </c>
      <c r="B56" s="4">
        <f t="shared" si="4"/>
        <v>29.449065180391887</v>
      </c>
      <c r="C56">
        <v>0.33337940257151288</v>
      </c>
      <c r="D56">
        <v>0.33024078602250428</v>
      </c>
      <c r="E56">
        <v>0.29300974665791307</v>
      </c>
      <c r="F56">
        <v>0.22133267196374523</v>
      </c>
      <c r="G56">
        <f t="shared" si="2"/>
        <v>31.162526634020871</v>
      </c>
    </row>
    <row r="57" spans="1:7" x14ac:dyDescent="0.3">
      <c r="A57" t="str">
        <f t="shared" si="3"/>
        <v>2004Q4</v>
      </c>
      <c r="B57" s="4">
        <f t="shared" si="4"/>
        <v>30.423486669828257</v>
      </c>
      <c r="C57">
        <v>0.34077930901315978</v>
      </c>
      <c r="D57">
        <v>0.34405345278039234</v>
      </c>
      <c r="E57">
        <v>0.30389701539727171</v>
      </c>
      <c r="F57">
        <v>0.22820968960230659</v>
      </c>
      <c r="G57">
        <f t="shared" si="2"/>
        <v>32.233816220521575</v>
      </c>
    </row>
    <row r="58" spans="1:7" x14ac:dyDescent="0.3">
      <c r="A58" t="str">
        <f t="shared" si="3"/>
        <v>2005Q1</v>
      </c>
      <c r="B58" s="4">
        <f t="shared" si="4"/>
        <v>31.704269560513787</v>
      </c>
      <c r="C58">
        <v>0.36673340401997834</v>
      </c>
      <c r="D58">
        <v>0.3298957468088714</v>
      </c>
      <c r="E58">
        <v>0.31564828645912463</v>
      </c>
      <c r="F58">
        <v>0.25589334513257705</v>
      </c>
      <c r="G58">
        <f t="shared" si="2"/>
        <v>32.277201663399801</v>
      </c>
    </row>
    <row r="59" spans="1:7" x14ac:dyDescent="0.3">
      <c r="A59" t="str">
        <f t="shared" si="3"/>
        <v>2005Q2</v>
      </c>
      <c r="B59" s="4">
        <f t="shared" si="4"/>
        <v>31.427454441437131</v>
      </c>
      <c r="C59" s="2">
        <v>0.35896175037377392</v>
      </c>
      <c r="D59" s="2">
        <v>0.31556103924409695</v>
      </c>
      <c r="E59" s="2">
        <v>0.31815851536292955</v>
      </c>
      <c r="F59" s="2">
        <v>0.26441687267668468</v>
      </c>
      <c r="G59">
        <f t="shared" si="2"/>
        <v>31.685977730351322</v>
      </c>
    </row>
    <row r="60" spans="1:7" x14ac:dyDescent="0.3">
      <c r="A60" t="str">
        <f t="shared" si="3"/>
        <v>2005Q3</v>
      </c>
      <c r="B60" s="4">
        <f t="shared" si="4"/>
        <v>33.202536380352136</v>
      </c>
      <c r="C60" s="1">
        <v>0.36706112628254428</v>
      </c>
      <c r="D60" s="1">
        <v>0.33798234253207371</v>
      </c>
      <c r="E60" s="1">
        <v>0.33471733834158268</v>
      </c>
      <c r="F60" s="1">
        <v>0.28834064805788467</v>
      </c>
      <c r="G60">
        <f t="shared" si="2"/>
        <v>33.63498404368282</v>
      </c>
    </row>
    <row r="61" spans="1:7" x14ac:dyDescent="0.3">
      <c r="A61" t="str">
        <f t="shared" si="3"/>
        <v>2005Q4</v>
      </c>
      <c r="B61" s="4">
        <f t="shared" si="4"/>
        <v>34.796304705511908</v>
      </c>
      <c r="C61" s="1">
        <v>0.38794678000510119</v>
      </c>
      <c r="D61" s="1">
        <v>0.33618487520005813</v>
      </c>
      <c r="E61" s="1">
        <v>0.35630021804525114</v>
      </c>
      <c r="F61" s="1">
        <v>0.31142031497006589</v>
      </c>
      <c r="G61">
        <f t="shared" si="2"/>
        <v>34.624254662265464</v>
      </c>
    </row>
    <row r="62" spans="1:7" x14ac:dyDescent="0.3">
      <c r="A62" t="str">
        <f t="shared" si="3"/>
        <v>2006Q1</v>
      </c>
      <c r="B62" s="4">
        <f t="shared" si="4"/>
        <v>36.285235590073647</v>
      </c>
      <c r="C62" s="1">
        <v>0.37007600693838583</v>
      </c>
      <c r="D62" s="1">
        <v>0.35089485097194573</v>
      </c>
      <c r="E62" s="1">
        <v>0.37037871946224743</v>
      </c>
      <c r="F62" s="1">
        <v>0.36005984623036713</v>
      </c>
      <c r="G62">
        <f t="shared" si="2"/>
        <v>36.506792658437647</v>
      </c>
    </row>
    <row r="63" spans="1:7" x14ac:dyDescent="0.3">
      <c r="A63" t="str">
        <f t="shared" si="3"/>
        <v>2006Q2</v>
      </c>
      <c r="B63" s="4">
        <f t="shared" si="4"/>
        <v>38.86562902664793</v>
      </c>
      <c r="C63" s="1">
        <v>0.40659780952763264</v>
      </c>
      <c r="D63" s="1">
        <v>0.38204245547621196</v>
      </c>
      <c r="E63" s="1">
        <v>0.38432366656977779</v>
      </c>
      <c r="F63" s="1">
        <v>0.38166122949229486</v>
      </c>
      <c r="G63">
        <f t="shared" si="2"/>
        <v>38.318306102299488</v>
      </c>
    </row>
    <row r="64" spans="1:7" x14ac:dyDescent="0.3">
      <c r="A64" t="str">
        <f t="shared" si="3"/>
        <v>2006Q3</v>
      </c>
      <c r="B64" s="4">
        <f t="shared" si="4"/>
        <v>40.625312734585727</v>
      </c>
      <c r="C64" s="1">
        <v>0.39899049757647131</v>
      </c>
      <c r="D64" s="1">
        <v>0.42434181376127778</v>
      </c>
      <c r="E64" s="1">
        <v>0.39535413740843728</v>
      </c>
      <c r="F64" s="1">
        <v>0.40632606063724264</v>
      </c>
      <c r="G64">
        <f t="shared" si="2"/>
        <v>40.265827910685701</v>
      </c>
    </row>
    <row r="65" spans="1:7" x14ac:dyDescent="0.3">
      <c r="A65" t="str">
        <f t="shared" si="3"/>
        <v>2006Q4</v>
      </c>
      <c r="B65" s="4">
        <f t="shared" si="4"/>
        <v>43.09611238160084</v>
      </c>
      <c r="C65" s="1">
        <v>0.4084646108301383</v>
      </c>
      <c r="D65" s="1">
        <v>0.46324651810332118</v>
      </c>
      <c r="E65" s="1">
        <v>0.41529513126594853</v>
      </c>
      <c r="F65" s="1">
        <v>0.43683823506462538</v>
      </c>
      <c r="G65">
        <f t="shared" si="2"/>
        <v>42.606668316528697</v>
      </c>
    </row>
    <row r="66" spans="1:7" x14ac:dyDescent="0.3">
      <c r="A66" t="str">
        <f t="shared" ref="A66:A81" si="5">LEFT(A70,4)-1&amp;RIGHT(A70,2)</f>
        <v>2007Q1</v>
      </c>
      <c r="B66" s="4">
        <f t="shared" si="4"/>
        <v>45.331510802326434</v>
      </c>
      <c r="C66" s="1">
        <v>0.42160124324581938</v>
      </c>
      <c r="D66" s="1">
        <v>0.48339898416562488</v>
      </c>
      <c r="E66" s="1">
        <v>0.41824877876959426</v>
      </c>
      <c r="F66" s="1">
        <v>0.49001142591201896</v>
      </c>
      <c r="G66">
        <f t="shared" si="2"/>
        <v>45.25001137057221</v>
      </c>
    </row>
    <row r="67" spans="1:7" x14ac:dyDescent="0.3">
      <c r="A67" t="str">
        <f t="shared" si="5"/>
        <v>2007Q2</v>
      </c>
      <c r="B67" s="4">
        <f t="shared" ref="B67:B98" si="6">AVERAGE(C67:F67)*100</f>
        <v>44.795960138723281</v>
      </c>
      <c r="C67" s="1">
        <v>0.41945656302846901</v>
      </c>
      <c r="D67" s="1">
        <v>0.47609968795776514</v>
      </c>
      <c r="E67" s="1">
        <v>0.40332605238674746</v>
      </c>
      <c r="F67" s="1">
        <v>0.49295610217594932</v>
      </c>
      <c r="G67">
        <f t="shared" ref="G67:G127" si="7">_xlfn.PERCENTILE.INC(C67:F67,0.5)*100</f>
        <v>44.777812549311705</v>
      </c>
    </row>
    <row r="68" spans="1:7" x14ac:dyDescent="0.3">
      <c r="A68" t="str">
        <f t="shared" si="5"/>
        <v>2007Q3</v>
      </c>
      <c r="B68" s="4">
        <f t="shared" si="6"/>
        <v>44.75349501733583</v>
      </c>
      <c r="C68" s="2">
        <v>0.4198472048526371</v>
      </c>
      <c r="D68" s="2">
        <v>0.46430542021360888</v>
      </c>
      <c r="E68" s="2">
        <v>0.39368218340025557</v>
      </c>
      <c r="F68" s="2">
        <v>0.51230499222693182</v>
      </c>
      <c r="G68">
        <f t="shared" si="7"/>
        <v>44.207631253312293</v>
      </c>
    </row>
    <row r="69" spans="1:7" x14ac:dyDescent="0.3">
      <c r="A69" t="str">
        <f t="shared" si="5"/>
        <v>2007Q4</v>
      </c>
      <c r="B69" s="4">
        <f t="shared" si="6"/>
        <v>43.188768768953935</v>
      </c>
      <c r="C69" s="2">
        <v>0.40300507657691975</v>
      </c>
      <c r="D69" s="2">
        <v>0.42404599282448585</v>
      </c>
      <c r="E69" s="2">
        <v>0.37923596848545327</v>
      </c>
      <c r="F69" s="2">
        <v>0.52126371287129847</v>
      </c>
      <c r="G69">
        <f t="shared" si="7"/>
        <v>41.352553470070283</v>
      </c>
    </row>
    <row r="70" spans="1:7" x14ac:dyDescent="0.3">
      <c r="A70" t="str">
        <f t="shared" si="5"/>
        <v>2008Q1</v>
      </c>
      <c r="B70" s="4">
        <f t="shared" si="6"/>
        <v>41.194742787058907</v>
      </c>
      <c r="C70">
        <v>0.386727721821016</v>
      </c>
      <c r="D70">
        <v>0.38925329248525598</v>
      </c>
      <c r="E70">
        <v>0.35078623779891854</v>
      </c>
      <c r="F70">
        <v>0.52102245937716574</v>
      </c>
      <c r="G70">
        <f t="shared" si="7"/>
        <v>38.799050715313598</v>
      </c>
    </row>
    <row r="71" spans="1:7" x14ac:dyDescent="0.3">
      <c r="A71" t="str">
        <f t="shared" si="5"/>
        <v>2008Q2</v>
      </c>
      <c r="B71" s="4">
        <f t="shared" si="6"/>
        <v>38.330354404028355</v>
      </c>
      <c r="C71">
        <v>0.36703910174195914</v>
      </c>
      <c r="D71">
        <v>0.33745572408097546</v>
      </c>
      <c r="E71">
        <v>0.32679147002891595</v>
      </c>
      <c r="F71">
        <v>0.50192788030928337</v>
      </c>
      <c r="G71">
        <f t="shared" si="7"/>
        <v>35.224741291146735</v>
      </c>
    </row>
    <row r="72" spans="1:7" x14ac:dyDescent="0.3">
      <c r="A72" t="str">
        <f t="shared" si="5"/>
        <v>2008Q3</v>
      </c>
      <c r="B72" s="4">
        <f t="shared" si="6"/>
        <v>32.728533081071795</v>
      </c>
      <c r="C72">
        <v>0.31707067470538453</v>
      </c>
      <c r="D72">
        <v>0.27593509624051055</v>
      </c>
      <c r="E72">
        <v>0.26437164389078138</v>
      </c>
      <c r="F72">
        <v>0.45176390840619551</v>
      </c>
      <c r="G72">
        <f t="shared" si="7"/>
        <v>29.650288547294757</v>
      </c>
    </row>
    <row r="73" spans="1:7" x14ac:dyDescent="0.3">
      <c r="A73" t="str">
        <f t="shared" si="5"/>
        <v>2008Q4</v>
      </c>
      <c r="B73" s="4">
        <f t="shared" si="6"/>
        <v>24.326904327617747</v>
      </c>
      <c r="C73">
        <v>0.21294934051103837</v>
      </c>
      <c r="D73">
        <v>0.2299213751192728</v>
      </c>
      <c r="E73">
        <v>0.15350940437697258</v>
      </c>
      <c r="F73">
        <v>0.37669605309742604</v>
      </c>
      <c r="G73">
        <f t="shared" si="7"/>
        <v>22.14353578151556</v>
      </c>
    </row>
    <row r="74" spans="1:7" x14ac:dyDescent="0.3">
      <c r="A74" t="str">
        <f t="shared" si="5"/>
        <v>2009Q1</v>
      </c>
      <c r="B74" s="4">
        <f t="shared" si="6"/>
        <v>14.95619285753097</v>
      </c>
      <c r="C74">
        <v>0.1475126587302652</v>
      </c>
      <c r="D74">
        <v>0.16981760680744756</v>
      </c>
      <c r="E74">
        <v>9.946881618513783E-4</v>
      </c>
      <c r="F74">
        <v>0.27992276060167465</v>
      </c>
      <c r="G74">
        <f t="shared" si="7"/>
        <v>15.866513276885637</v>
      </c>
    </row>
    <row r="75" spans="1:7" x14ac:dyDescent="0.3">
      <c r="A75" t="str">
        <f t="shared" si="5"/>
        <v>2009Q2</v>
      </c>
      <c r="B75" s="4">
        <f t="shared" si="6"/>
        <v>3.7835201386151334</v>
      </c>
      <c r="C75">
        <v>5.6362478184098105E-2</v>
      </c>
      <c r="D75">
        <v>8.6982875212413727E-2</v>
      </c>
      <c r="E75">
        <v>-0.15031332587334334</v>
      </c>
      <c r="F75">
        <v>0.15830877802143684</v>
      </c>
      <c r="G75">
        <f t="shared" si="7"/>
        <v>7.1672676698255913</v>
      </c>
    </row>
    <row r="76" spans="1:7" x14ac:dyDescent="0.3">
      <c r="A76" t="str">
        <f t="shared" si="5"/>
        <v>2009Q3</v>
      </c>
      <c r="B76" s="4">
        <f t="shared" si="6"/>
        <v>-6.2888023958649706</v>
      </c>
      <c r="C76">
        <v>-3.1537774774355459E-2</v>
      </c>
      <c r="D76">
        <v>1.1690925142469194E-2</v>
      </c>
      <c r="E76">
        <v>-0.28577464405137609</v>
      </c>
      <c r="F76">
        <v>5.406939784866352E-2</v>
      </c>
      <c r="G76">
        <f t="shared" si="7"/>
        <v>-0.99234248159431326</v>
      </c>
    </row>
    <row r="77" spans="1:7" x14ac:dyDescent="0.3">
      <c r="A77" t="str">
        <f t="shared" si="5"/>
        <v>2009Q4</v>
      </c>
      <c r="B77" s="4">
        <f t="shared" si="6"/>
        <v>-16.944415149991467</v>
      </c>
      <c r="C77">
        <v>-0.12310988901737353</v>
      </c>
      <c r="D77">
        <v>-6.6435560063574928E-2</v>
      </c>
      <c r="E77">
        <v>-0.42346899997234216</v>
      </c>
      <c r="F77">
        <v>-6.4762156946368082E-2</v>
      </c>
      <c r="G77">
        <f t="shared" si="7"/>
        <v>-9.4772724540474229</v>
      </c>
    </row>
    <row r="78" spans="1:7" x14ac:dyDescent="0.3">
      <c r="A78" t="str">
        <f t="shared" si="5"/>
        <v>2010Q1</v>
      </c>
      <c r="B78" s="4">
        <f t="shared" si="6"/>
        <v>-25.646097122779633</v>
      </c>
      <c r="C78">
        <v>-0.19314229516829545</v>
      </c>
      <c r="D78">
        <v>-0.12336887219800956</v>
      </c>
      <c r="E78">
        <v>-0.52592355122483481</v>
      </c>
      <c r="F78">
        <v>-0.18340916632004539</v>
      </c>
      <c r="G78">
        <f t="shared" si="7"/>
        <v>-18.827573074417042</v>
      </c>
    </row>
    <row r="79" spans="1:7" x14ac:dyDescent="0.3">
      <c r="A79" t="str">
        <f t="shared" si="5"/>
        <v>2010Q2</v>
      </c>
      <c r="B79" s="4">
        <f t="shared" si="6"/>
        <v>-34.460915730002952</v>
      </c>
      <c r="C79">
        <v>-0.28515777666019715</v>
      </c>
      <c r="D79">
        <v>-0.18076804293375218</v>
      </c>
      <c r="E79">
        <v>-0.63318697570967042</v>
      </c>
      <c r="F79">
        <v>-0.2793238338964984</v>
      </c>
      <c r="G79">
        <f t="shared" si="7"/>
        <v>-28.224080527834776</v>
      </c>
    </row>
    <row r="80" spans="1:7" x14ac:dyDescent="0.3">
      <c r="A80" t="str">
        <f t="shared" si="5"/>
        <v>2010Q3</v>
      </c>
      <c r="B80" s="4">
        <f t="shared" si="6"/>
        <v>-41.838790920445895</v>
      </c>
      <c r="C80">
        <v>-0.35469236338482757</v>
      </c>
      <c r="D80">
        <v>-0.22344554261441515</v>
      </c>
      <c r="E80">
        <v>-0.71931940186246179</v>
      </c>
      <c r="F80">
        <v>-0.37609432895613115</v>
      </c>
      <c r="G80">
        <f t="shared" si="7"/>
        <v>-36.539334617047935</v>
      </c>
    </row>
    <row r="81" spans="1:7" x14ac:dyDescent="0.3">
      <c r="A81" t="str">
        <f t="shared" si="5"/>
        <v>2010Q4</v>
      </c>
      <c r="B81" s="4">
        <f t="shared" si="6"/>
        <v>-48.841360747527382</v>
      </c>
      <c r="C81">
        <v>-0.41445696810638744</v>
      </c>
      <c r="D81">
        <v>-0.26489931874112665</v>
      </c>
      <c r="E81">
        <v>-0.80804739435517914</v>
      </c>
      <c r="F81">
        <v>-0.46625074869840233</v>
      </c>
      <c r="G81">
        <f t="shared" si="7"/>
        <v>-44.035385840239485</v>
      </c>
    </row>
    <row r="82" spans="1:7" x14ac:dyDescent="0.3">
      <c r="A82" t="s">
        <v>3</v>
      </c>
      <c r="B82" s="4">
        <f t="shared" si="6"/>
        <v>-53.406916115106753</v>
      </c>
      <c r="C82">
        <v>-0.45387947262776263</v>
      </c>
      <c r="D82">
        <v>-0.29679296797320254</v>
      </c>
      <c r="E82">
        <v>-0.85450321317878841</v>
      </c>
      <c r="F82">
        <v>-0.53110099082451645</v>
      </c>
      <c r="G82">
        <f t="shared" si="7"/>
        <v>-49.249023172613953</v>
      </c>
    </row>
    <row r="83" spans="1:7" x14ac:dyDescent="0.3">
      <c r="A83" t="s">
        <v>2</v>
      </c>
      <c r="B83" s="4">
        <f t="shared" si="6"/>
        <v>-58.050396202811939</v>
      </c>
      <c r="C83">
        <v>-0.50659727495347173</v>
      </c>
      <c r="D83">
        <v>-0.3105077637997592</v>
      </c>
      <c r="E83">
        <v>-0.90399975843069091</v>
      </c>
      <c r="F83">
        <v>-0.60091105092855579</v>
      </c>
      <c r="G83">
        <f t="shared" si="7"/>
        <v>-55.375416294101377</v>
      </c>
    </row>
    <row r="84" spans="1:7" x14ac:dyDescent="0.3">
      <c r="A84" t="s">
        <v>1</v>
      </c>
      <c r="B84" s="4">
        <f t="shared" si="6"/>
        <v>-63.731478343742332</v>
      </c>
      <c r="C84">
        <v>-0.56069245729962314</v>
      </c>
      <c r="D84">
        <v>-0.36800735205993795</v>
      </c>
      <c r="E84">
        <v>-0.95453761001276705</v>
      </c>
      <c r="F84">
        <v>-0.66602171437736479</v>
      </c>
      <c r="G84">
        <f t="shared" si="7"/>
        <v>-61.335708583849403</v>
      </c>
    </row>
    <row r="85" spans="1:7" x14ac:dyDescent="0.3">
      <c r="A85" t="s">
        <v>0</v>
      </c>
      <c r="B85" s="4">
        <f t="shared" si="6"/>
        <v>-70.049359972020639</v>
      </c>
      <c r="C85">
        <v>-0.59870451228119692</v>
      </c>
      <c r="D85">
        <v>-0.45115980507659081</v>
      </c>
      <c r="E85">
        <v>-1.0141150567379635</v>
      </c>
      <c r="F85">
        <v>-0.73799502478507428</v>
      </c>
      <c r="G85">
        <f t="shared" si="7"/>
        <v>-66.834976853313563</v>
      </c>
    </row>
    <row r="86" spans="1:7" x14ac:dyDescent="0.3">
      <c r="A86" t="str">
        <f t="shared" ref="A86:A137" si="8">LEFT(A82,4)+1&amp;RIGHT(A82,2)</f>
        <v>2012Q1</v>
      </c>
      <c r="B86" s="4">
        <f t="shared" si="6"/>
        <v>-74.573038005707375</v>
      </c>
      <c r="C86">
        <v>-0.62233749171438291</v>
      </c>
      <c r="D86">
        <v>-0.5028009319152329</v>
      </c>
      <c r="E86">
        <v>-1.0549206197127561</v>
      </c>
      <c r="F86">
        <v>-0.80286247688592294</v>
      </c>
      <c r="G86">
        <f t="shared" si="7"/>
        <v>-71.259998430015287</v>
      </c>
    </row>
    <row r="87" spans="1:7" x14ac:dyDescent="0.3">
      <c r="A87" t="str">
        <f t="shared" si="8"/>
        <v>2012Q2</v>
      </c>
      <c r="B87" s="4">
        <f t="shared" si="6"/>
        <v>-77.913564191740619</v>
      </c>
      <c r="C87">
        <v>-0.63942688072675602</v>
      </c>
      <c r="D87">
        <v>-0.52567137085153193</v>
      </c>
      <c r="E87">
        <v>-1.094185976277481</v>
      </c>
      <c r="F87">
        <v>-0.8572583398138558</v>
      </c>
      <c r="G87">
        <f t="shared" si="7"/>
        <v>-74.834261027030593</v>
      </c>
    </row>
    <row r="88" spans="1:7" x14ac:dyDescent="0.3">
      <c r="A88" t="str">
        <f t="shared" si="8"/>
        <v>2012Q3</v>
      </c>
      <c r="B88" s="4">
        <f t="shared" si="6"/>
        <v>-79.720934853513882</v>
      </c>
      <c r="C88">
        <v>-0.6495777020858029</v>
      </c>
      <c r="D88">
        <v>-0.52530401590058107</v>
      </c>
      <c r="E88">
        <v>-1.1154190268459308</v>
      </c>
      <c r="F88">
        <v>-0.89853664930824062</v>
      </c>
      <c r="G88">
        <f t="shared" si="7"/>
        <v>-77.405717569702176</v>
      </c>
    </row>
    <row r="89" spans="1:7" x14ac:dyDescent="0.3">
      <c r="A89" t="str">
        <f t="shared" si="8"/>
        <v>2012Q4</v>
      </c>
      <c r="B89" s="4">
        <f t="shared" si="6"/>
        <v>-81.574294347386257</v>
      </c>
      <c r="C89">
        <v>-0.65827049739362076</v>
      </c>
      <c r="D89">
        <v>-0.53290140757269144</v>
      </c>
      <c r="E89">
        <v>-1.1364608305938022</v>
      </c>
      <c r="F89">
        <v>-0.93533903833533594</v>
      </c>
      <c r="G89">
        <f t="shared" si="7"/>
        <v>-79.680476786447826</v>
      </c>
    </row>
    <row r="90" spans="1:7" x14ac:dyDescent="0.3">
      <c r="A90" t="str">
        <f t="shared" si="8"/>
        <v>2013Q1</v>
      </c>
      <c r="B90" s="4">
        <f t="shared" si="6"/>
        <v>-83.375376498995507</v>
      </c>
      <c r="C90">
        <v>-0.67746092905481958</v>
      </c>
      <c r="D90">
        <v>-0.55328739516548953</v>
      </c>
      <c r="E90">
        <v>-1.1455819317014813</v>
      </c>
      <c r="F90">
        <v>-0.9586848040380298</v>
      </c>
      <c r="G90">
        <f t="shared" si="7"/>
        <v>-81.807286654642468</v>
      </c>
    </row>
    <row r="91" spans="1:7" x14ac:dyDescent="0.3">
      <c r="A91" t="str">
        <f t="shared" si="8"/>
        <v>2013Q2</v>
      </c>
      <c r="B91" s="4">
        <f t="shared" si="6"/>
        <v>-84.136025732215018</v>
      </c>
      <c r="C91">
        <v>-0.68674697139698426</v>
      </c>
      <c r="D91">
        <v>-0.55653967377030478</v>
      </c>
      <c r="E91">
        <v>-1.14797216121007</v>
      </c>
      <c r="F91">
        <v>-0.97418222291124146</v>
      </c>
      <c r="G91">
        <f t="shared" si="7"/>
        <v>-83.046459715411288</v>
      </c>
    </row>
    <row r="92" spans="1:7" x14ac:dyDescent="0.3">
      <c r="A92" t="str">
        <f t="shared" si="8"/>
        <v>2013Q3</v>
      </c>
      <c r="B92" s="4">
        <f t="shared" si="6"/>
        <v>-81.941969993561202</v>
      </c>
      <c r="C92">
        <v>-0.6726298296666644</v>
      </c>
      <c r="D92">
        <v>-0.51175003355376636</v>
      </c>
      <c r="E92">
        <v>-1.1197948420394122</v>
      </c>
      <c r="F92">
        <v>-0.97350409448260511</v>
      </c>
      <c r="G92">
        <f t="shared" si="7"/>
        <v>-82.306696207463474</v>
      </c>
    </row>
    <row r="93" spans="1:7" x14ac:dyDescent="0.3">
      <c r="A93" t="str">
        <f t="shared" si="8"/>
        <v>2013Q4</v>
      </c>
      <c r="B93" s="4">
        <f t="shared" si="6"/>
        <v>-80.266707271443821</v>
      </c>
      <c r="C93">
        <v>-0.66027117576423056</v>
      </c>
      <c r="D93">
        <v>-0.49763624729215472</v>
      </c>
      <c r="E93">
        <v>-1.0898937267058642</v>
      </c>
      <c r="F93">
        <v>-0.96286714109550298</v>
      </c>
      <c r="G93">
        <f t="shared" si="7"/>
        <v>-81.156915842986677</v>
      </c>
    </row>
    <row r="94" spans="1:7" x14ac:dyDescent="0.3">
      <c r="A94" t="str">
        <f t="shared" si="8"/>
        <v>2014Q1</v>
      </c>
      <c r="B94" s="4">
        <f t="shared" si="6"/>
        <v>-80.430232208186737</v>
      </c>
      <c r="C94">
        <v>-0.67279434612617695</v>
      </c>
      <c r="D94">
        <v>-0.52020991295632046</v>
      </c>
      <c r="E94">
        <v>-1.0695296373431966</v>
      </c>
      <c r="F94">
        <v>-0.95467539190177542</v>
      </c>
      <c r="G94">
        <f t="shared" si="7"/>
        <v>-81.373486901397612</v>
      </c>
    </row>
    <row r="95" spans="1:7" x14ac:dyDescent="0.3">
      <c r="A95" t="str">
        <f t="shared" si="8"/>
        <v>2014Q2</v>
      </c>
      <c r="B95" s="4">
        <f t="shared" si="6"/>
        <v>-78.977147834746603</v>
      </c>
      <c r="C95">
        <v>-0.65685087505766326</v>
      </c>
      <c r="D95">
        <v>-0.50978946901351918</v>
      </c>
      <c r="E95">
        <v>-1.0424880424212482</v>
      </c>
      <c r="F95">
        <v>-0.94995752689743362</v>
      </c>
      <c r="G95">
        <f t="shared" si="7"/>
        <v>-80.340420097754844</v>
      </c>
    </row>
    <row r="96" spans="1:7" x14ac:dyDescent="0.3">
      <c r="A96" t="str">
        <f t="shared" si="8"/>
        <v>2014Q3</v>
      </c>
      <c r="B96" s="4">
        <f t="shared" si="6"/>
        <v>-75.039246355704961</v>
      </c>
      <c r="C96">
        <v>-0.63634522963137508</v>
      </c>
      <c r="D96">
        <v>-0.44507592575736921</v>
      </c>
      <c r="E96">
        <v>-0.9929391763297869</v>
      </c>
      <c r="F96">
        <v>-0.92720952250966704</v>
      </c>
      <c r="G96">
        <f t="shared" si="7"/>
        <v>-78.177737607052109</v>
      </c>
    </row>
    <row r="97" spans="1:7" x14ac:dyDescent="0.3">
      <c r="A97" t="str">
        <f t="shared" si="8"/>
        <v>2014Q4</v>
      </c>
      <c r="B97" s="4">
        <f t="shared" si="6"/>
        <v>-71.48662466795416</v>
      </c>
      <c r="C97">
        <v>-0.62283038653219025</v>
      </c>
      <c r="D97">
        <v>-0.38875069182271793</v>
      </c>
      <c r="E97">
        <v>-0.94633010723031497</v>
      </c>
      <c r="F97">
        <v>-0.90155380113294314</v>
      </c>
      <c r="G97">
        <f t="shared" si="7"/>
        <v>-76.219209383256668</v>
      </c>
    </row>
    <row r="98" spans="1:7" x14ac:dyDescent="0.3">
      <c r="A98" t="str">
        <f t="shared" si="8"/>
        <v>2015Q1</v>
      </c>
      <c r="B98" s="4">
        <f t="shared" si="6"/>
        <v>-69.860311368392274</v>
      </c>
      <c r="C98">
        <v>-0.62943323647436156</v>
      </c>
      <c r="D98">
        <v>-0.38256859176823549</v>
      </c>
      <c r="E98">
        <v>-0.90143830133082647</v>
      </c>
      <c r="F98">
        <v>-0.8809723251622672</v>
      </c>
      <c r="G98">
        <f t="shared" si="7"/>
        <v>-75.520278081831435</v>
      </c>
    </row>
    <row r="99" spans="1:7" x14ac:dyDescent="0.3">
      <c r="A99" t="str">
        <f t="shared" si="8"/>
        <v>2015Q2</v>
      </c>
      <c r="B99" s="4">
        <f t="shared" ref="B99:B127" si="9">AVERAGE(C99:F99)*100</f>
        <v>-66.393619476642101</v>
      </c>
      <c r="C99">
        <v>-0.61629432259975803</v>
      </c>
      <c r="D99">
        <v>-0.32376362606435682</v>
      </c>
      <c r="E99">
        <v>-0.86229044142131861</v>
      </c>
      <c r="F99">
        <v>-0.85339638898025016</v>
      </c>
      <c r="G99">
        <f t="shared" si="7"/>
        <v>-73.484535579000408</v>
      </c>
    </row>
    <row r="100" spans="1:7" x14ac:dyDescent="0.3">
      <c r="A100" t="str">
        <f t="shared" si="8"/>
        <v>2015Q3</v>
      </c>
      <c r="B100" s="4">
        <f t="shared" si="9"/>
        <v>-62.847110453179191</v>
      </c>
      <c r="C100">
        <v>-0.59056343854666027</v>
      </c>
      <c r="D100">
        <v>-0.29203132707603707</v>
      </c>
      <c r="E100">
        <v>-0.81096570274823965</v>
      </c>
      <c r="F100">
        <v>-0.82032394975623057</v>
      </c>
      <c r="G100">
        <f t="shared" si="7"/>
        <v>-70.076457064744986</v>
      </c>
    </row>
    <row r="101" spans="1:7" x14ac:dyDescent="0.3">
      <c r="A101" t="str">
        <f t="shared" si="8"/>
        <v>2015Q4</v>
      </c>
      <c r="B101" s="4">
        <f t="shared" si="9"/>
        <v>-61.323789013299276</v>
      </c>
      <c r="C101">
        <v>-0.59911815685297465</v>
      </c>
      <c r="D101">
        <v>-0.29613932452195263</v>
      </c>
      <c r="E101">
        <v>-0.76202420828185735</v>
      </c>
      <c r="F101">
        <v>-0.79566987087518659</v>
      </c>
      <c r="G101">
        <f t="shared" si="7"/>
        <v>-68.057118256741603</v>
      </c>
    </row>
    <row r="102" spans="1:7" x14ac:dyDescent="0.3">
      <c r="A102" t="str">
        <f t="shared" si="8"/>
        <v>2016Q1</v>
      </c>
      <c r="B102" s="4">
        <f t="shared" si="9"/>
        <v>-58.605550323978697</v>
      </c>
      <c r="C102">
        <v>-0.58196804689967641</v>
      </c>
      <c r="D102">
        <v>-0.29027579171323104</v>
      </c>
      <c r="E102">
        <v>-0.708397489606585</v>
      </c>
      <c r="F102">
        <v>-0.76358068473965557</v>
      </c>
      <c r="G102">
        <f t="shared" si="7"/>
        <v>-64.518276825313066</v>
      </c>
    </row>
    <row r="103" spans="1:7" x14ac:dyDescent="0.3">
      <c r="A103" t="str">
        <f t="shared" si="8"/>
        <v>2016Q2</v>
      </c>
      <c r="B103" s="4">
        <f t="shared" si="9"/>
        <v>-57.314022161776457</v>
      </c>
      <c r="C103">
        <v>-0.57298914852420391</v>
      </c>
      <c r="D103">
        <v>-0.32430213299769883</v>
      </c>
      <c r="E103">
        <v>-0.67019354480201576</v>
      </c>
      <c r="F103">
        <v>-0.72507606014713977</v>
      </c>
      <c r="G103">
        <f t="shared" si="7"/>
        <v>-62.159134666310976</v>
      </c>
    </row>
    <row r="104" spans="1:7" x14ac:dyDescent="0.3">
      <c r="A104" t="str">
        <f t="shared" si="8"/>
        <v>2016Q3</v>
      </c>
      <c r="B104" s="4">
        <f t="shared" si="9"/>
        <v>-56.481476358416138</v>
      </c>
      <c r="C104">
        <v>-0.58505087607121897</v>
      </c>
      <c r="D104">
        <v>-0.33515600035262755</v>
      </c>
      <c r="E104">
        <v>-0.63707588539361382</v>
      </c>
      <c r="F104">
        <v>-0.70197629251918503</v>
      </c>
      <c r="G104">
        <f t="shared" si="7"/>
        <v>-61.106338073241638</v>
      </c>
    </row>
    <row r="105" spans="1:7" x14ac:dyDescent="0.3">
      <c r="A105" t="str">
        <f t="shared" si="8"/>
        <v>2016Q4</v>
      </c>
      <c r="B105" s="4">
        <f t="shared" si="9"/>
        <v>-53.857647782298869</v>
      </c>
      <c r="C105">
        <v>-0.56722596710412598</v>
      </c>
      <c r="D105">
        <v>-0.32938796262324466</v>
      </c>
      <c r="E105">
        <v>-0.58562865721524049</v>
      </c>
      <c r="F105">
        <v>-0.67206332434934335</v>
      </c>
      <c r="G105">
        <f t="shared" si="7"/>
        <v>-57.642731215968325</v>
      </c>
    </row>
    <row r="106" spans="1:7" x14ac:dyDescent="0.3">
      <c r="A106" t="str">
        <f t="shared" si="8"/>
        <v>2017Q1</v>
      </c>
      <c r="B106" s="4">
        <f t="shared" si="9"/>
        <v>-50.524712253531789</v>
      </c>
      <c r="C106">
        <v>-0.55940751749619433</v>
      </c>
      <c r="D106">
        <v>-0.30760176544174828</v>
      </c>
      <c r="E106">
        <v>-0.53432350413313401</v>
      </c>
      <c r="F106">
        <v>-0.6196557030701948</v>
      </c>
      <c r="G106">
        <f t="shared" si="7"/>
        <v>-54.686551081466419</v>
      </c>
    </row>
    <row r="107" spans="1:7" x14ac:dyDescent="0.3">
      <c r="A107" t="str">
        <f t="shared" si="8"/>
        <v>2017Q2</v>
      </c>
      <c r="B107" s="4">
        <f t="shared" si="9"/>
        <v>-45.773816926091285</v>
      </c>
      <c r="C107">
        <v>-0.51396756641006203</v>
      </c>
      <c r="D107">
        <v>-0.27190737686667199</v>
      </c>
      <c r="E107">
        <v>-0.47394612629714605</v>
      </c>
      <c r="F107">
        <v>-0.57113160746977143</v>
      </c>
      <c r="G107">
        <f t="shared" si="7"/>
        <v>-49.395684635360404</v>
      </c>
    </row>
    <row r="108" spans="1:7" x14ac:dyDescent="0.3">
      <c r="A108" t="str">
        <f t="shared" si="8"/>
        <v>2017Q3</v>
      </c>
      <c r="B108" s="4">
        <f t="shared" si="9"/>
        <v>-40.404362818786446</v>
      </c>
      <c r="C108">
        <v>-0.471524120055755</v>
      </c>
      <c r="D108">
        <v>-0.22682433100248162</v>
      </c>
      <c r="E108">
        <v>-0.41938462759636475</v>
      </c>
      <c r="F108">
        <v>-0.49844143409685643</v>
      </c>
      <c r="G108">
        <f t="shared" si="7"/>
        <v>-44.545437382605989</v>
      </c>
    </row>
    <row r="109" spans="1:7" x14ac:dyDescent="0.3">
      <c r="A109" t="str">
        <f t="shared" si="8"/>
        <v>2017Q4</v>
      </c>
      <c r="B109" s="4">
        <f t="shared" si="9"/>
        <v>-35.509094506331607</v>
      </c>
      <c r="C109">
        <v>-0.42803423383980899</v>
      </c>
      <c r="D109">
        <v>-0.18662673544346103</v>
      </c>
      <c r="E109">
        <v>-0.35139763087456244</v>
      </c>
      <c r="F109">
        <v>-0.45430518009543169</v>
      </c>
      <c r="G109">
        <f t="shared" si="7"/>
        <v>-38.971593235718572</v>
      </c>
    </row>
    <row r="110" spans="1:7" x14ac:dyDescent="0.3">
      <c r="A110" t="str">
        <f t="shared" si="8"/>
        <v>2018Q1</v>
      </c>
      <c r="B110" s="4">
        <f t="shared" si="9"/>
        <v>-30.360067880232211</v>
      </c>
      <c r="C110">
        <v>-0.38492028554605801</v>
      </c>
      <c r="D110">
        <v>-0.15652854118978099</v>
      </c>
      <c r="E110">
        <v>-0.28363319757050859</v>
      </c>
      <c r="F110">
        <v>-0.38932069090294064</v>
      </c>
      <c r="G110">
        <f t="shared" si="7"/>
        <v>-33.427674155828328</v>
      </c>
    </row>
    <row r="111" spans="1:7" x14ac:dyDescent="0.3">
      <c r="A111" s="1" t="str">
        <f t="shared" si="8"/>
        <v>2018Q2</v>
      </c>
      <c r="B111" s="4">
        <f t="shared" si="9"/>
        <v>-24.540980155032656</v>
      </c>
      <c r="C111">
        <v>-0.340775045830987</v>
      </c>
      <c r="D111">
        <v>-9.1850258394376064E-2</v>
      </c>
      <c r="E111">
        <v>-0.22830047334994488</v>
      </c>
      <c r="F111">
        <v>-0.32071342862599839</v>
      </c>
      <c r="G111">
        <f t="shared" si="7"/>
        <v>-27.450695098797162</v>
      </c>
    </row>
    <row r="112" spans="1:7" x14ac:dyDescent="0.3">
      <c r="A112" s="1" t="str">
        <f t="shared" si="8"/>
        <v>2018Q3</v>
      </c>
      <c r="B112" s="4">
        <f t="shared" si="9"/>
        <v>-20.056154371830679</v>
      </c>
      <c r="C112">
        <v>-0.29799766808388101</v>
      </c>
      <c r="D112">
        <v>-4.7813275893688591E-2</v>
      </c>
      <c r="E112">
        <v>-0.18230811889664447</v>
      </c>
      <c r="F112">
        <v>-0.27412711199901324</v>
      </c>
      <c r="G112">
        <f t="shared" si="7"/>
        <v>-22.821761544782888</v>
      </c>
    </row>
    <row r="113" spans="1:7" x14ac:dyDescent="0.3">
      <c r="A113" s="1" t="str">
        <f t="shared" si="8"/>
        <v>2018Q4</v>
      </c>
      <c r="B113" s="4">
        <f t="shared" si="9"/>
        <v>-16.783070983232001</v>
      </c>
      <c r="C113">
        <v>-0.25472233022366098</v>
      </c>
      <c r="D113">
        <v>-3.9785008640460542E-2</v>
      </c>
      <c r="E113">
        <v>-0.14370838444892392</v>
      </c>
      <c r="F113">
        <v>-0.23310711601623468</v>
      </c>
      <c r="G113">
        <f t="shared" si="7"/>
        <v>-18.84077502325793</v>
      </c>
    </row>
    <row r="114" spans="1:7" x14ac:dyDescent="0.3">
      <c r="A114" t="str">
        <f t="shared" si="8"/>
        <v>2019Q1</v>
      </c>
      <c r="B114" s="4">
        <f t="shared" si="9"/>
        <v>-13.951976864097853</v>
      </c>
      <c r="C114">
        <v>-0.21868437021598799</v>
      </c>
      <c r="D114">
        <v>-3.5748419341374613E-2</v>
      </c>
      <c r="E114">
        <v>-0.10594737098403426</v>
      </c>
      <c r="F114">
        <v>-0.19769891402251721</v>
      </c>
      <c r="G114">
        <f t="shared" si="7"/>
        <v>-15.182314250327572</v>
      </c>
    </row>
    <row r="115" spans="1:7" x14ac:dyDescent="0.3">
      <c r="A115" t="str">
        <f t="shared" si="8"/>
        <v>2019Q2</v>
      </c>
      <c r="B115" s="4">
        <f t="shared" si="9"/>
        <v>-11.083683327559871</v>
      </c>
      <c r="C115">
        <v>-0.18138451443585599</v>
      </c>
      <c r="D115">
        <v>-1.8766283904178678E-2</v>
      </c>
      <c r="E115">
        <v>-8.1125373518149274E-2</v>
      </c>
      <c r="F115">
        <v>-0.16207116124421095</v>
      </c>
      <c r="G115">
        <f t="shared" si="7"/>
        <v>-12.159826738118012</v>
      </c>
    </row>
    <row r="116" spans="1:7" x14ac:dyDescent="0.3">
      <c r="A116" t="str">
        <f t="shared" si="8"/>
        <v>2019Q3</v>
      </c>
      <c r="B116" s="4">
        <f t="shared" si="9"/>
        <v>-7.6603578555637073</v>
      </c>
      <c r="C116">
        <v>-0.14681612324940899</v>
      </c>
      <c r="D116">
        <v>2.3542790791969206E-3</v>
      </c>
      <c r="E116">
        <v>-4.8646477732834009E-2</v>
      </c>
      <c r="F116">
        <v>-0.1133059923195022</v>
      </c>
      <c r="G116">
        <f t="shared" si="7"/>
        <v>-8.0976235026168109</v>
      </c>
    </row>
    <row r="117" spans="1:7" x14ac:dyDescent="0.3">
      <c r="A117" t="str">
        <f t="shared" si="8"/>
        <v>2019Q4</v>
      </c>
      <c r="B117" s="4">
        <f t="shared" si="9"/>
        <v>-5.1333338683343301</v>
      </c>
      <c r="C117">
        <v>-0.110362580896462</v>
      </c>
      <c r="D117">
        <v>-1.033360634465989E-3</v>
      </c>
      <c r="E117">
        <v>-2.9873648395641973E-2</v>
      </c>
      <c r="F117">
        <v>-6.4063764806803258E-2</v>
      </c>
      <c r="G117">
        <f t="shared" si="7"/>
        <v>-4.6968706601222614</v>
      </c>
    </row>
    <row r="118" spans="1:7" x14ac:dyDescent="0.3">
      <c r="A118" t="str">
        <f t="shared" si="8"/>
        <v>2020Q1</v>
      </c>
      <c r="B118" s="4">
        <f t="shared" si="9"/>
        <v>-2.8388594711578943</v>
      </c>
      <c r="C118">
        <v>-8.0817119969568196E-2</v>
      </c>
      <c r="D118">
        <v>1.4688085726105495E-3</v>
      </c>
      <c r="E118">
        <v>-2.7113554860500044E-5</v>
      </c>
      <c r="F118">
        <v>-3.4178953894497627E-2</v>
      </c>
      <c r="G118">
        <f t="shared" si="7"/>
        <v>-1.7103033724679064</v>
      </c>
    </row>
    <row r="119" spans="1:7" x14ac:dyDescent="0.3">
      <c r="A119" t="str">
        <f t="shared" si="8"/>
        <v>2020Q2</v>
      </c>
      <c r="B119" s="4">
        <f t="shared" si="9"/>
        <v>-1.0697905210625562</v>
      </c>
      <c r="C119">
        <v>-5.4354838462633497E-2</v>
      </c>
      <c r="D119">
        <v>3.6143856099124488E-2</v>
      </c>
      <c r="E119">
        <v>-6.0645192789005606E-3</v>
      </c>
      <c r="F119">
        <v>-1.8516119200092686E-2</v>
      </c>
      <c r="G119">
        <f t="shared" si="7"/>
        <v>-1.2290319239496623</v>
      </c>
    </row>
    <row r="120" spans="1:7" x14ac:dyDescent="0.3">
      <c r="A120" t="str">
        <f t="shared" si="8"/>
        <v>2020Q3</v>
      </c>
      <c r="B120" s="4">
        <f t="shared" si="9"/>
        <v>-0.37932699633791034</v>
      </c>
      <c r="C120">
        <v>-5.7077688026212499E-2</v>
      </c>
      <c r="D120">
        <v>3.69299577512886E-2</v>
      </c>
      <c r="E120">
        <v>-5.1881658167212286E-3</v>
      </c>
      <c r="F120">
        <v>1.0162816238128713E-2</v>
      </c>
      <c r="G120">
        <f t="shared" si="7"/>
        <v>0.24873252107037422</v>
      </c>
    </row>
    <row r="121" spans="1:7" x14ac:dyDescent="0.3">
      <c r="A121" t="str">
        <f t="shared" si="8"/>
        <v>2020Q4</v>
      </c>
      <c r="B121" s="4">
        <f t="shared" si="9"/>
        <v>0.89281396352627673</v>
      </c>
      <c r="C121">
        <v>-4.4827445560425699E-2</v>
      </c>
      <c r="D121">
        <v>3.9798111922640801E-2</v>
      </c>
      <c r="E121">
        <v>1.3743511796431907E-3</v>
      </c>
      <c r="F121">
        <v>3.9367540999192777E-2</v>
      </c>
      <c r="G121">
        <f t="shared" si="7"/>
        <v>2.0370946089417985</v>
      </c>
    </row>
    <row r="122" spans="1:7" x14ac:dyDescent="0.3">
      <c r="A122" t="str">
        <f t="shared" si="8"/>
        <v>2021Q1</v>
      </c>
      <c r="B122" s="4">
        <f t="shared" si="9"/>
        <v>1.3163600455258275</v>
      </c>
      <c r="C122">
        <v>-3.4046236156044102E-2</v>
      </c>
      <c r="D122">
        <v>4.3179484139044801E-2</v>
      </c>
      <c r="E122">
        <v>2.7746716621928989E-3</v>
      </c>
      <c r="F122">
        <v>4.0746482175839503E-2</v>
      </c>
      <c r="G122">
        <f t="shared" si="7"/>
        <v>2.1760576919016201</v>
      </c>
    </row>
    <row r="123" spans="1:7" x14ac:dyDescent="0.3">
      <c r="A123" t="str">
        <f t="shared" si="8"/>
        <v>2021Q2</v>
      </c>
      <c r="B123" s="4">
        <f t="shared" si="9"/>
        <v>2.0614256721361004</v>
      </c>
      <c r="C123">
        <v>-2.66227579724987E-2</v>
      </c>
      <c r="D123">
        <v>4.0363697403320901E-2</v>
      </c>
      <c r="E123">
        <v>2.7202705051194816E-2</v>
      </c>
      <c r="F123">
        <v>4.1513382403427002E-2</v>
      </c>
      <c r="G123">
        <f t="shared" si="7"/>
        <v>3.3783201227257855</v>
      </c>
    </row>
    <row r="124" spans="1:7" x14ac:dyDescent="0.3">
      <c r="A124" t="str">
        <f t="shared" si="8"/>
        <v>2021Q3</v>
      </c>
      <c r="B124" s="4">
        <f t="shared" si="9"/>
        <v>3.4948378250332999</v>
      </c>
      <c r="C124">
        <v>-1.27118264015836E-2</v>
      </c>
      <c r="D124">
        <v>4.6192912587621697E-2</v>
      </c>
      <c r="E124">
        <v>6.31324590012418E-2</v>
      </c>
      <c r="F124">
        <v>4.3179967814052103E-2</v>
      </c>
      <c r="G124">
        <f t="shared" si="7"/>
        <v>4.4686440200836897</v>
      </c>
    </row>
    <row r="125" spans="1:7" x14ac:dyDescent="0.3">
      <c r="A125" t="str">
        <f t="shared" si="8"/>
        <v>2021Q4</v>
      </c>
      <c r="B125" s="4">
        <f t="shared" si="9"/>
        <v>4.2252562488513643</v>
      </c>
      <c r="C125">
        <v>1.13060608512094E-2</v>
      </c>
      <c r="D125">
        <v>5.7348931699387901E-2</v>
      </c>
      <c r="E125">
        <v>5.4643454719806299E-2</v>
      </c>
      <c r="F125">
        <v>4.5711802683651E-2</v>
      </c>
      <c r="G125">
        <f t="shared" si="7"/>
        <v>5.0177628701728647</v>
      </c>
    </row>
    <row r="126" spans="1:7" x14ac:dyDescent="0.3">
      <c r="A126" t="str">
        <f t="shared" si="8"/>
        <v>2022Q1</v>
      </c>
      <c r="B126" s="4">
        <f t="shared" si="9"/>
        <v>4.7020915237148104</v>
      </c>
      <c r="C126">
        <v>3.0255813537328698E-2</v>
      </c>
      <c r="D126">
        <v>6.7958752038808495E-2</v>
      </c>
      <c r="E126">
        <v>4.38567850207498E-2</v>
      </c>
      <c r="F126">
        <v>4.6012310351705402E-2</v>
      </c>
      <c r="G126">
        <f t="shared" si="7"/>
        <v>4.4934547686227599</v>
      </c>
    </row>
    <row r="127" spans="1:7" x14ac:dyDescent="0.3">
      <c r="A127" t="str">
        <f t="shared" si="8"/>
        <v>2022Q2</v>
      </c>
      <c r="B127" s="4">
        <f t="shared" si="9"/>
        <v>5.409225226285483</v>
      </c>
      <c r="C127">
        <v>5.31452128499907E-2</v>
      </c>
      <c r="D127">
        <v>7.9727011429072805E-2</v>
      </c>
      <c r="E127">
        <v>3.6489547179603503E-2</v>
      </c>
      <c r="F127">
        <v>4.7007237592752299E-2</v>
      </c>
      <c r="G127">
        <f t="shared" si="7"/>
        <v>5.00762252213715</v>
      </c>
    </row>
    <row r="128" spans="1:7" x14ac:dyDescent="0.3">
      <c r="A128" t="str">
        <f t="shared" si="8"/>
        <v>2022Q3</v>
      </c>
      <c r="B128" s="4">
        <f t="shared" ref="B128:B137" si="10">AVERAGE(C128:F128)*100</f>
        <v>6.371510922296733</v>
      </c>
      <c r="C128">
        <v>7.9576253966268495E-2</v>
      </c>
      <c r="D128">
        <v>9.5205342597056805E-2</v>
      </c>
      <c r="E128">
        <v>3.0081755014022799E-2</v>
      </c>
      <c r="F128">
        <v>4.9997085314521197E-2</v>
      </c>
      <c r="G128">
        <f t="shared" ref="G128:G137" si="11">_xlfn.PERCENTILE.INC(C128:F128,0.5)*100</f>
        <v>6.4786669640394843</v>
      </c>
    </row>
    <row r="129" spans="1:7" x14ac:dyDescent="0.3">
      <c r="A129" t="str">
        <f t="shared" si="8"/>
        <v>2022Q4</v>
      </c>
      <c r="B129" s="4">
        <f t="shared" si="10"/>
        <v>6.64</v>
      </c>
      <c r="C129">
        <v>8.7800000000000003E-2</v>
      </c>
      <c r="D129">
        <v>9.7900000000000001E-2</v>
      </c>
      <c r="E129">
        <v>2.6599999999999999E-2</v>
      </c>
      <c r="F129">
        <v>5.33E-2</v>
      </c>
      <c r="G129">
        <f t="shared" si="11"/>
        <v>7.0549999999999997</v>
      </c>
    </row>
    <row r="130" spans="1:7" x14ac:dyDescent="0.3">
      <c r="A130" t="str">
        <f t="shared" si="8"/>
        <v>2023Q1</v>
      </c>
      <c r="B130" s="4">
        <f t="shared" si="10"/>
        <v>7.2374999999999998</v>
      </c>
      <c r="C130">
        <v>9.5299999999999996E-2</v>
      </c>
      <c r="D130">
        <v>9.7299999999999998E-2</v>
      </c>
      <c r="E130">
        <v>3.5700000000000003E-2</v>
      </c>
      <c r="F130">
        <v>6.1199999999999997E-2</v>
      </c>
      <c r="G130">
        <f t="shared" si="11"/>
        <v>7.8250000000000002</v>
      </c>
    </row>
    <row r="131" spans="1:7" x14ac:dyDescent="0.3">
      <c r="A131" t="str">
        <f t="shared" si="8"/>
        <v>2023Q2</v>
      </c>
      <c r="B131" s="4">
        <f t="shared" si="10"/>
        <v>7.8975</v>
      </c>
      <c r="C131">
        <v>0.1071</v>
      </c>
      <c r="D131">
        <v>0.1009</v>
      </c>
      <c r="E131">
        <v>4.1099999999999998E-2</v>
      </c>
      <c r="F131">
        <v>6.6799999999999998E-2</v>
      </c>
      <c r="G131">
        <f t="shared" si="11"/>
        <v>8.3850000000000016</v>
      </c>
    </row>
    <row r="132" spans="1:7" x14ac:dyDescent="0.3">
      <c r="A132" t="str">
        <f t="shared" si="8"/>
        <v>2023Q3</v>
      </c>
      <c r="B132" s="4">
        <f t="shared" si="10"/>
        <v>8.7024999999999988</v>
      </c>
      <c r="C132">
        <v>0.12559999999999999</v>
      </c>
      <c r="D132">
        <v>0.1077</v>
      </c>
      <c r="E132" s="5">
        <v>4.2000000000000003E-2</v>
      </c>
      <c r="F132">
        <v>7.2800000000000004E-2</v>
      </c>
      <c r="G132">
        <f t="shared" si="11"/>
        <v>9.0250000000000004</v>
      </c>
    </row>
    <row r="133" spans="1:7" x14ac:dyDescent="0.3">
      <c r="A133" t="str">
        <f t="shared" si="8"/>
        <v>2023Q4</v>
      </c>
      <c r="B133" s="4">
        <f t="shared" si="10"/>
        <v>9.0949999999999989</v>
      </c>
      <c r="C133">
        <v>0.1401</v>
      </c>
      <c r="D133">
        <v>0.11550000000000001</v>
      </c>
      <c r="E133">
        <v>3.3000000000000002E-2</v>
      </c>
      <c r="F133">
        <v>7.5200000000000003E-2</v>
      </c>
      <c r="G133">
        <f t="shared" si="11"/>
        <v>9.5350000000000001</v>
      </c>
    </row>
    <row r="134" spans="1:7" x14ac:dyDescent="0.3">
      <c r="A134" t="str">
        <f t="shared" si="8"/>
        <v>2024Q1</v>
      </c>
      <c r="B134" s="4">
        <f t="shared" si="10"/>
        <v>9.3400000000000016</v>
      </c>
      <c r="C134">
        <v>0.1454</v>
      </c>
      <c r="D134">
        <v>0.1174</v>
      </c>
      <c r="E134">
        <v>3.1199999999999999E-2</v>
      </c>
      <c r="F134">
        <v>7.9600000000000004E-2</v>
      </c>
      <c r="G134">
        <f t="shared" si="11"/>
        <v>9.85</v>
      </c>
    </row>
    <row r="135" spans="1:7" x14ac:dyDescent="0.3">
      <c r="A135" t="str">
        <f t="shared" si="8"/>
        <v>2024Q2</v>
      </c>
      <c r="B135" s="4">
        <f t="shared" si="10"/>
        <v>9.3449999999999989</v>
      </c>
      <c r="C135">
        <v>0.14510000000000001</v>
      </c>
      <c r="D135">
        <v>0.11749999999999999</v>
      </c>
      <c r="E135">
        <v>3.1399999999999997E-2</v>
      </c>
      <c r="F135">
        <v>7.9799999999999996E-2</v>
      </c>
      <c r="G135">
        <f t="shared" si="11"/>
        <v>9.8649999999999984</v>
      </c>
    </row>
    <row r="136" spans="1:7" x14ac:dyDescent="0.3">
      <c r="A136" t="str">
        <f t="shared" si="8"/>
        <v>2024Q3</v>
      </c>
      <c r="B136" s="4">
        <f t="shared" si="10"/>
        <v>9.1349999999999998</v>
      </c>
      <c r="C136">
        <v>0.14510000000000001</v>
      </c>
      <c r="D136">
        <v>0.11749999999999999</v>
      </c>
      <c r="E136">
        <v>2.0199999999999999E-2</v>
      </c>
      <c r="F136">
        <v>8.2600000000000007E-2</v>
      </c>
      <c r="G136">
        <f t="shared" si="11"/>
        <v>10.005000000000001</v>
      </c>
    </row>
    <row r="137" spans="1:7" x14ac:dyDescent="0.3">
      <c r="A137" t="str">
        <f t="shared" si="8"/>
        <v>2024Q4</v>
      </c>
      <c r="B137" s="4">
        <f t="shared" si="10"/>
        <v>9.7075000000000014</v>
      </c>
      <c r="C137">
        <v>0.15909999999999999</v>
      </c>
      <c r="D137">
        <v>0.125</v>
      </c>
      <c r="E137">
        <v>1.8700000000000001E-2</v>
      </c>
      <c r="F137">
        <v>8.5500000000000007E-2</v>
      </c>
      <c r="G137">
        <f t="shared" si="11"/>
        <v>10.525</v>
      </c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586b747-2a7c-4f57-bcd1-e81df5c8c005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A6984272-F038-4A3F-B25C-5765793768A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OV</vt:lpstr>
    </vt:vector>
  </TitlesOfParts>
  <Company>Central Bank of Ireland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Ghiselli, Angelica</dc:creator>
  <cp:keywords>Unrestricted</cp:keywords>
  <cp:lastModifiedBy>Mugrabi, Farah</cp:lastModifiedBy>
  <dcterms:created xsi:type="dcterms:W3CDTF">2023-03-20T16:54:42Z</dcterms:created>
  <dcterms:modified xsi:type="dcterms:W3CDTF">2025-09-10T15:44:20Z</dcterms:modified>
  <cp:category>Unrestricted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5462b29f-1f22-4fa7-8e6e-2b05221382cf</vt:lpwstr>
  </property>
  <property fmtid="{D5CDD505-2E9C-101B-9397-08002B2CF9AE}" pid="3" name="bjSaver">
    <vt:lpwstr>te4LTBtdoAgkjHYAcHQvxOgwbB0WnNS3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policy="a586b747-2a7c-4f57-bcd1-e81df5c8c005"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Unrestricted</vt:lpwstr>
  </property>
  <property fmtid="{D5CDD505-2E9C-101B-9397-08002B2CF9AE}" pid="7" name="bjClsUserRVM">
    <vt:lpwstr>[]</vt:lpwstr>
  </property>
  <property fmtid="{D5CDD505-2E9C-101B-9397-08002B2CF9AE}" pid="8" name="bjLeftHeaderLabel-first">
    <vt:lpwstr>&amp;"Times New Roman,Regular"&amp;12&amp;K000000Central Bank of Ireland - UNRESTRICTED</vt:lpwstr>
  </property>
  <property fmtid="{D5CDD505-2E9C-101B-9397-08002B2CF9AE}" pid="9" name="bjLeftHeaderLabel-even">
    <vt:lpwstr>&amp;"Times New Roman,Regular"&amp;12&amp;K000000Central Bank of Ireland - UNRESTRICTED</vt:lpwstr>
  </property>
  <property fmtid="{D5CDD505-2E9C-101B-9397-08002B2CF9AE}" pid="10" name="bjLeftHeaderLabel">
    <vt:lpwstr>&amp;"Times New Roman,Regular"&amp;12&amp;K000000Central Bank of Ireland - UNRESTRICTED</vt:lpwstr>
  </property>
</Properties>
</file>